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pivotTables/pivotTable1.xml" ContentType="application/vnd.openxmlformats-officedocument.spreadsheetml.pivotTable+xml"/>
  <Override PartName="/xl/drawings/drawing5.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Matt\Desktop\ServiceRecordsAuto\"/>
    </mc:Choice>
  </mc:AlternateContent>
  <xr:revisionPtr revIDLastSave="0" documentId="13_ncr:1_{FCB9073E-DB6A-4BAB-99F2-8E27E747B898}" xr6:coauthVersionLast="47" xr6:coauthVersionMax="47" xr10:uidLastSave="{00000000-0000-0000-0000-000000000000}"/>
  <bookViews>
    <workbookView xWindow="9950" yWindow="1150" windowWidth="20340" windowHeight="12130" tabRatio="599" xr2:uid="{00000000-000D-0000-FFFF-FFFF00000000}"/>
  </bookViews>
  <sheets>
    <sheet name="ELITE Service Record" sheetId="1" r:id="rId1"/>
    <sheet name="Peterbilt Service Record" sheetId="9" r:id="rId2"/>
    <sheet name="Kenworth Service Record" sheetId="7" r:id="rId3"/>
    <sheet name="UnitNums" sheetId="8" r:id="rId4"/>
    <sheet name="Average Days Graph" sheetId="3" r:id="rId5"/>
    <sheet name="Sheet1" sheetId="10" r:id="rId6"/>
  </sheets>
  <functionGroups builtInGroupCount="19"/>
  <externalReferences>
    <externalReference r:id="rId7"/>
  </externalReferences>
  <definedNames>
    <definedName name="_xlnm._FilterDatabase" localSheetId="0" hidden="1">'ELITE Service Record'!$B$15:$O$374</definedName>
    <definedName name="_xlnm._FilterDatabase" localSheetId="2" hidden="1">'Kenworth Service Record'!$B$15:$O$111</definedName>
    <definedName name="_xlnm._FilterDatabase" localSheetId="1" hidden="1">'Peterbilt Service Record'!$B$15:$O$2382</definedName>
    <definedName name="_xlnm.Print_Area" localSheetId="4">'Average Days Graph'!$A$1:$W$38</definedName>
    <definedName name="_xlnm.Print_Area" localSheetId="0">'ELITE Service Record'!$A$1:$O$321</definedName>
    <definedName name="_xlnm.Print_Area" localSheetId="2">'Kenworth Service Record'!$A$1:$O$15</definedName>
    <definedName name="_xlnm.Print_Area" localSheetId="1">'Peterbilt Service Record'!$A$1:$O$15</definedName>
  </definedNames>
  <calcPr calcId="191029"/>
  <pivotCaches>
    <pivotCache cacheId="0" r:id="rId8"/>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06" i="7" l="1"/>
  <c r="F2364" i="9" l="1"/>
  <c r="F2354" i="9"/>
  <c r="F2111" i="9"/>
  <c r="F2110" i="9"/>
  <c r="F2089" i="9"/>
  <c r="F2088" i="9"/>
  <c r="F2341" i="9" l="1"/>
  <c r="F2259" i="9"/>
  <c r="F2087" i="9"/>
  <c r="F2048" i="9"/>
  <c r="F2047" i="9"/>
  <c r="F2019" i="9"/>
  <c r="F2018" i="9"/>
  <c r="F2017" i="9"/>
  <c r="F1995" i="9"/>
  <c r="F1996" i="9"/>
  <c r="F1994" i="9"/>
  <c r="F1993" i="9"/>
  <c r="F2086" i="9"/>
  <c r="F2332" i="9"/>
  <c r="F2301" i="9"/>
  <c r="F2300" i="9"/>
  <c r="F2131" i="9"/>
  <c r="F2130" i="9"/>
  <c r="F2129" i="9"/>
  <c r="F2016" i="9"/>
  <c r="F2015" i="9"/>
  <c r="F1992" i="9"/>
  <c r="F2209" i="9"/>
  <c r="F2331" i="9"/>
  <c r="F2330" i="9"/>
  <c r="F1991" i="9"/>
  <c r="F1990" i="9"/>
  <c r="F1989" i="9"/>
  <c r="F1988" i="9"/>
  <c r="F2299" i="9"/>
  <c r="F2298" i="9"/>
  <c r="F2189" i="9"/>
  <c r="F2208" i="9"/>
  <c r="F2046" i="9"/>
  <c r="F2045" i="9"/>
  <c r="F2297" i="9"/>
  <c r="F2229" i="9"/>
  <c r="F2207" i="9"/>
  <c r="F2188" i="9"/>
  <c r="F2128" i="9"/>
  <c r="F2085" i="9"/>
  <c r="F1968" i="9"/>
  <c r="F338" i="1" l="1"/>
  <c r="F111" i="7" l="1"/>
  <c r="F110" i="7"/>
  <c r="F109" i="7"/>
  <c r="F337" i="1"/>
  <c r="F336" i="1"/>
  <c r="F335" i="1"/>
  <c r="F334" i="1"/>
  <c r="F17" i="1"/>
  <c r="F18" i="1"/>
  <c r="F19" i="1"/>
  <c r="F20" i="1"/>
  <c r="F21" i="1"/>
  <c r="F22" i="1"/>
  <c r="F24" i="1"/>
  <c r="F25" i="1"/>
  <c r="F23" i="1"/>
  <c r="F31" i="1"/>
  <c r="F32" i="1"/>
  <c r="F27" i="1"/>
  <c r="F33" i="1"/>
  <c r="F26" i="1"/>
  <c r="F34" i="1"/>
  <c r="F28" i="1"/>
  <c r="F29" i="1"/>
  <c r="F30" i="1"/>
  <c r="F37" i="1"/>
  <c r="F35" i="1"/>
  <c r="F36" i="1"/>
  <c r="F38" i="1"/>
  <c r="F39" i="1"/>
  <c r="F41" i="1"/>
  <c r="F42" i="1"/>
  <c r="F40" i="1"/>
  <c r="F43" i="1"/>
  <c r="F44" i="1"/>
  <c r="F45" i="1"/>
  <c r="F46" i="1"/>
  <c r="F49" i="1"/>
  <c r="F50" i="1"/>
  <c r="F47" i="1"/>
  <c r="F48" i="1"/>
  <c r="F53" i="1"/>
  <c r="F52" i="1"/>
  <c r="F51" i="1"/>
  <c r="F54" i="1"/>
  <c r="F55" i="1"/>
  <c r="F56" i="1"/>
  <c r="F58" i="1"/>
  <c r="F57" i="1"/>
  <c r="F61" i="1"/>
  <c r="F59" i="1"/>
  <c r="F60" i="1"/>
  <c r="F63" i="1"/>
  <c r="F62" i="1"/>
  <c r="F64" i="1"/>
  <c r="F65" i="1"/>
  <c r="F66" i="1"/>
  <c r="F67" i="1"/>
  <c r="F68" i="1"/>
  <c r="F72" i="1"/>
  <c r="F74" i="1"/>
  <c r="F69" i="1"/>
  <c r="F70" i="1"/>
  <c r="F71" i="1"/>
  <c r="F73" i="1"/>
  <c r="F75" i="1"/>
  <c r="F76" i="1"/>
  <c r="F78" i="1"/>
  <c r="F77" i="1"/>
  <c r="F79" i="1"/>
  <c r="F80" i="1"/>
  <c r="F81" i="1"/>
  <c r="F82" i="1"/>
  <c r="F83" i="1"/>
  <c r="F84" i="1"/>
  <c r="F85" i="1"/>
  <c r="F86" i="1"/>
  <c r="F88" i="1"/>
  <c r="F89" i="1"/>
  <c r="F87" i="1"/>
  <c r="F94" i="1"/>
  <c r="F90" i="1"/>
  <c r="F92" i="1"/>
  <c r="F91" i="1"/>
  <c r="F93" i="1"/>
  <c r="F95" i="1"/>
  <c r="F96" i="1"/>
  <c r="F98" i="1"/>
  <c r="F99" i="1"/>
  <c r="F100" i="1"/>
  <c r="F97" i="1"/>
  <c r="F101" i="1"/>
  <c r="F109" i="1"/>
  <c r="F111" i="1"/>
  <c r="F102" i="1"/>
  <c r="F103" i="1"/>
  <c r="F104" i="1"/>
  <c r="F105" i="1"/>
  <c r="F106" i="1"/>
  <c r="F107" i="1"/>
  <c r="F108" i="1"/>
  <c r="F110" i="1"/>
  <c r="F112" i="1"/>
  <c r="F113" i="1"/>
  <c r="F114" i="1"/>
  <c r="F115" i="1"/>
  <c r="F116" i="1"/>
  <c r="F117" i="1"/>
  <c r="F118" i="1"/>
  <c r="F120" i="1"/>
  <c r="F121" i="1"/>
  <c r="F119" i="1"/>
  <c r="F123" i="1"/>
  <c r="F124" i="1"/>
  <c r="F125" i="1"/>
  <c r="F122" i="1"/>
  <c r="F127" i="1"/>
  <c r="F126" i="1"/>
  <c r="F128" i="1"/>
  <c r="F129" i="1"/>
  <c r="F130" i="1"/>
  <c r="F131" i="1"/>
  <c r="F132" i="1"/>
  <c r="F133" i="1"/>
  <c r="F134" i="1"/>
  <c r="F135" i="1"/>
  <c r="F136" i="1"/>
  <c r="F138" i="1"/>
  <c r="F139" i="1"/>
  <c r="F140" i="1"/>
  <c r="F137" i="1"/>
  <c r="F141" i="1"/>
  <c r="F142" i="1"/>
  <c r="F143" i="1"/>
  <c r="F144" i="1"/>
  <c r="F145" i="1"/>
  <c r="F146" i="1"/>
  <c r="F147" i="1"/>
  <c r="F149" i="1"/>
  <c r="F148" i="1"/>
  <c r="F152" i="1"/>
  <c r="F153" i="1"/>
  <c r="F150" i="1"/>
  <c r="F151" i="1"/>
  <c r="F154" i="1"/>
  <c r="F155" i="1"/>
  <c r="F156" i="1"/>
  <c r="F157" i="1"/>
  <c r="F158" i="1"/>
  <c r="F159" i="1"/>
  <c r="F160" i="1"/>
  <c r="F162" i="1"/>
  <c r="F163" i="1"/>
  <c r="F161" i="1"/>
  <c r="F164" i="1"/>
  <c r="F168" i="1"/>
  <c r="F169" i="1"/>
  <c r="F170" i="1"/>
  <c r="F171" i="1"/>
  <c r="F165" i="1"/>
  <c r="F166" i="1"/>
  <c r="F167" i="1"/>
  <c r="F172" i="1"/>
  <c r="F174" i="1"/>
  <c r="F173" i="1"/>
  <c r="F175" i="1"/>
  <c r="F177" i="1"/>
  <c r="F176" i="1"/>
  <c r="F178" i="1"/>
  <c r="F180" i="1"/>
  <c r="F181" i="1"/>
  <c r="F182" i="1"/>
  <c r="F183" i="1"/>
  <c r="F179" i="1"/>
  <c r="F186" i="1"/>
  <c r="F185" i="1"/>
  <c r="F189" i="1"/>
  <c r="F190" i="1"/>
  <c r="F184" i="1"/>
  <c r="F187" i="1"/>
  <c r="F188" i="1"/>
  <c r="F205" i="1"/>
  <c r="F193" i="1"/>
  <c r="F194" i="1"/>
  <c r="F206" i="1"/>
  <c r="F198" i="1"/>
  <c r="F201" i="1"/>
  <c r="F191" i="1"/>
  <c r="F192" i="1"/>
  <c r="F204" i="1"/>
  <c r="F195" i="1"/>
  <c r="F203" i="1"/>
  <c r="F196" i="1"/>
  <c r="F197" i="1"/>
  <c r="F199" i="1"/>
  <c r="F200" i="1"/>
  <c r="F202" i="1"/>
  <c r="F208" i="1"/>
  <c r="F207" i="1"/>
  <c r="F211" i="1"/>
  <c r="F210" i="1"/>
  <c r="F209" i="1"/>
  <c r="F213" i="1"/>
  <c r="F214" i="1"/>
  <c r="F212" i="1"/>
  <c r="F215" i="1"/>
  <c r="F218" i="1"/>
  <c r="F219" i="1"/>
  <c r="F216" i="1"/>
  <c r="F217" i="1"/>
  <c r="F221" i="1"/>
  <c r="F222" i="1"/>
  <c r="F220" i="1"/>
  <c r="F223" i="1"/>
  <c r="F224" i="1"/>
  <c r="F226" i="1"/>
  <c r="F225" i="1"/>
  <c r="F227" i="1"/>
  <c r="F228" i="1"/>
  <c r="F229" i="1"/>
  <c r="F233" i="1"/>
  <c r="F230" i="1"/>
  <c r="F231" i="1"/>
  <c r="F232" i="1"/>
  <c r="F234" i="1"/>
  <c r="F235" i="1"/>
  <c r="F236" i="1"/>
  <c r="F237" i="1"/>
  <c r="F238" i="1"/>
  <c r="F240" i="1"/>
  <c r="F241" i="1"/>
  <c r="F242" i="1"/>
  <c r="F243" i="1"/>
  <c r="F239" i="1"/>
  <c r="F245" i="1"/>
  <c r="F244" i="1"/>
  <c r="F247" i="1"/>
  <c r="F246" i="1"/>
  <c r="F250" i="1"/>
  <c r="F251" i="1"/>
  <c r="F252" i="1"/>
  <c r="F249" i="1"/>
  <c r="F248" i="1"/>
  <c r="F253" i="1"/>
  <c r="F254" i="1"/>
  <c r="F257" i="1"/>
  <c r="F258" i="1"/>
  <c r="F256" i="1"/>
  <c r="F259" i="1"/>
  <c r="F255" i="1"/>
  <c r="F260" i="1"/>
  <c r="F261" i="1"/>
  <c r="F263" i="1"/>
  <c r="F262" i="1"/>
  <c r="F266" i="1"/>
  <c r="F264" i="1"/>
  <c r="F265" i="1"/>
  <c r="F267" i="1"/>
  <c r="F269" i="1"/>
  <c r="F268" i="1"/>
  <c r="F271" i="1"/>
  <c r="F272" i="1"/>
  <c r="F270" i="1"/>
  <c r="F273" i="1"/>
  <c r="F274" i="1"/>
  <c r="F276" i="1"/>
  <c r="F275" i="1"/>
  <c r="F277" i="1"/>
  <c r="F278" i="1"/>
  <c r="F279" i="1"/>
  <c r="F281" i="1"/>
  <c r="F280" i="1"/>
  <c r="F283" i="1"/>
  <c r="F282" i="1"/>
  <c r="F284" i="1"/>
  <c r="F285" i="1"/>
  <c r="F286" i="1"/>
  <c r="F287" i="1"/>
  <c r="F289" i="1"/>
  <c r="F288" i="1"/>
  <c r="F290" i="1"/>
  <c r="F291" i="1"/>
  <c r="F292" i="1"/>
  <c r="F294" i="1"/>
  <c r="F293" i="1"/>
  <c r="F295" i="1"/>
  <c r="F296" i="1"/>
  <c r="F297" i="1"/>
  <c r="F299" i="1"/>
  <c r="F298" i="1"/>
  <c r="F302" i="1"/>
  <c r="F303" i="1"/>
  <c r="F300" i="1"/>
  <c r="F304" i="1"/>
  <c r="F301" i="1"/>
  <c r="F306" i="1"/>
  <c r="F305" i="1"/>
  <c r="F307" i="1"/>
  <c r="F308" i="1"/>
  <c r="F310" i="1"/>
  <c r="F311" i="1"/>
  <c r="F312" i="1"/>
  <c r="F309" i="1"/>
  <c r="F313" i="1"/>
  <c r="F314" i="1"/>
  <c r="F315" i="1"/>
  <c r="F320" i="1"/>
  <c r="F316" i="1"/>
  <c r="F317" i="1"/>
  <c r="F318" i="1"/>
  <c r="F319" i="1"/>
  <c r="F322" i="1"/>
  <c r="F321" i="1"/>
  <c r="F324" i="1"/>
  <c r="F326" i="1"/>
  <c r="F325" i="1"/>
  <c r="F323" i="1"/>
  <c r="F327" i="1"/>
  <c r="F328" i="1"/>
  <c r="F329" i="1"/>
  <c r="F330" i="1"/>
  <c r="F331" i="1"/>
  <c r="F332" i="1"/>
  <c r="F333" i="1"/>
  <c r="F16" i="1"/>
  <c r="F33" i="9"/>
  <c r="F2355" i="9"/>
  <c r="F2333" i="9"/>
  <c r="F2382" i="9"/>
  <c r="F2381" i="9"/>
  <c r="F2380" i="9"/>
  <c r="F2379" i="9"/>
  <c r="F2378" i="9"/>
  <c r="F2377" i="9"/>
  <c r="F2376" i="9"/>
  <c r="F2375" i="9"/>
  <c r="F2374" i="9"/>
  <c r="F2373" i="9"/>
  <c r="F2372" i="9"/>
  <c r="F2022" i="9"/>
  <c r="F2021" i="9"/>
  <c r="F2302" i="9"/>
  <c r="F2329" i="9"/>
  <c r="F2296" i="9"/>
  <c r="F2258" i="9"/>
  <c r="F2187" i="9"/>
  <c r="F2257" i="9"/>
  <c r="F2186" i="9"/>
  <c r="F2014" i="9"/>
  <c r="F2127" i="9"/>
  <c r="F2126" i="9"/>
  <c r="F2125" i="9"/>
  <c r="F2185" i="9"/>
  <c r="F2044" i="9"/>
  <c r="F2328" i="9"/>
  <c r="F2327" i="9"/>
  <c r="F2256" i="9"/>
  <c r="F2255" i="9"/>
  <c r="F2184" i="9"/>
  <c r="F2109" i="9"/>
  <c r="F2367" i="9"/>
  <c r="F2363" i="9"/>
  <c r="F2206" i="9"/>
  <c r="F2205" i="9"/>
  <c r="F1967" i="9"/>
  <c r="F2254" i="9"/>
  <c r="F2253" i="9"/>
  <c r="F2084" i="9"/>
  <c r="F2228" i="9"/>
  <c r="F2204" i="9"/>
  <c r="F2203" i="9"/>
  <c r="F2043" i="9"/>
  <c r="F1987" i="9"/>
  <c r="F2295" i="9"/>
  <c r="F2227" i="9"/>
  <c r="F2226" i="9"/>
  <c r="F2108" i="9"/>
  <c r="F2252" i="9"/>
  <c r="F2042" i="9"/>
  <c r="F2225" i="9"/>
  <c r="F1966" i="9"/>
  <c r="F2183" i="9"/>
  <c r="F2182" i="9"/>
  <c r="F2181" i="9"/>
  <c r="F1986" i="9"/>
  <c r="F2083" i="9"/>
  <c r="F2041" i="9"/>
  <c r="F2180" i="9"/>
  <c r="F2154" i="9"/>
  <c r="F2326" i="9"/>
  <c r="F2124" i="9"/>
  <c r="F2325" i="9"/>
  <c r="F2153" i="9"/>
  <c r="F2123" i="9"/>
  <c r="F2040" i="9"/>
  <c r="F2362" i="9"/>
  <c r="F1965" i="9"/>
  <c r="F2122" i="9"/>
  <c r="F1964" i="9"/>
  <c r="F2202" i="9"/>
  <c r="F2152" i="9"/>
  <c r="F2151" i="9"/>
  <c r="F2107" i="9"/>
  <c r="F2106" i="9"/>
  <c r="F2150" i="9"/>
  <c r="F2324" i="9"/>
  <c r="F2105" i="9"/>
  <c r="F2294" i="9"/>
  <c r="F2224" i="9"/>
  <c r="F2223" i="9"/>
  <c r="F2293" i="9"/>
  <c r="F1963" i="9"/>
  <c r="F2201" i="9"/>
  <c r="F2149" i="9"/>
  <c r="F2148" i="9"/>
  <c r="F2104" i="9"/>
  <c r="F2039" i="9"/>
  <c r="F1985" i="9"/>
  <c r="F2361" i="9"/>
  <c r="F2082" i="9"/>
  <c r="F2038" i="9"/>
  <c r="F2323" i="9"/>
  <c r="F2251" i="9"/>
  <c r="F2013" i="9"/>
  <c r="F2081" i="9"/>
  <c r="F2179" i="9"/>
  <c r="F2322" i="9"/>
  <c r="F2200" i="9"/>
  <c r="F2147" i="9"/>
  <c r="F2146" i="9"/>
  <c r="F2292" i="9"/>
  <c r="F2037" i="9"/>
  <c r="F2360" i="9"/>
  <c r="F2359" i="9"/>
  <c r="F2358" i="9"/>
  <c r="F2036" i="9"/>
  <c r="F2321" i="9"/>
  <c r="F2222" i="9"/>
  <c r="F2145" i="9"/>
  <c r="F2320" i="9"/>
  <c r="F2291" i="9"/>
  <c r="F2080" i="9"/>
  <c r="F1962" i="9"/>
  <c r="F2319" i="9"/>
  <c r="F2250" i="9"/>
  <c r="F2121" i="9"/>
  <c r="F2120" i="9"/>
  <c r="F1984" i="9"/>
  <c r="F2103" i="9"/>
  <c r="F2102" i="9"/>
  <c r="F2249" i="9"/>
  <c r="F2178" i="9"/>
  <c r="F2144" i="9"/>
  <c r="F2143" i="9"/>
  <c r="F2142" i="9"/>
  <c r="F1961" i="9"/>
  <c r="F2357" i="9"/>
  <c r="F2012" i="9"/>
  <c r="F1983" i="9"/>
  <c r="F2199" i="9"/>
  <c r="F2119" i="9"/>
  <c r="F2079" i="9"/>
  <c r="F1956" i="9"/>
  <c r="F2290" i="9"/>
  <c r="F2289" i="9"/>
  <c r="F2248" i="9"/>
  <c r="F2318" i="9"/>
  <c r="F2288" i="9"/>
  <c r="F2101" i="9"/>
  <c r="F2035" i="9"/>
  <c r="F1955" i="9"/>
  <c r="F2118" i="9"/>
  <c r="F2011" i="9"/>
  <c r="F1954" i="9"/>
  <c r="F2117" i="9"/>
  <c r="F2247" i="9"/>
  <c r="F2078" i="9"/>
  <c r="F1953" i="9"/>
  <c r="F2356" i="9"/>
  <c r="F2246" i="9"/>
  <c r="F2010" i="9"/>
  <c r="F2317" i="9"/>
  <c r="F2221" i="9"/>
  <c r="F2177" i="9"/>
  <c r="F2141" i="9"/>
  <c r="F2353" i="9"/>
  <c r="F2287" i="9"/>
  <c r="F2140" i="9"/>
  <c r="F2245" i="9"/>
  <c r="F2176" i="9"/>
  <c r="F2316" i="9"/>
  <c r="F2175" i="9"/>
  <c r="F2116" i="9"/>
  <c r="F2077" i="9"/>
  <c r="F2009" i="9"/>
  <c r="F2244" i="9"/>
  <c r="F2115" i="9"/>
  <c r="F2174" i="9"/>
  <c r="F2076" i="9"/>
  <c r="F2173" i="9"/>
  <c r="F2139" i="9"/>
  <c r="F2286" i="9"/>
  <c r="F2352" i="9"/>
  <c r="F2351" i="9"/>
  <c r="F2350" i="9"/>
  <c r="F2285" i="9"/>
  <c r="F2100" i="9"/>
  <c r="F2008" i="9"/>
  <c r="F1982" i="9"/>
  <c r="F2220" i="9"/>
  <c r="F2243" i="9"/>
  <c r="F2198" i="9"/>
  <c r="F2114" i="9"/>
  <c r="F2075" i="9"/>
  <c r="F2315" i="9"/>
  <c r="F2219" i="9"/>
  <c r="F2074" i="9"/>
  <c r="F2242" i="9"/>
  <c r="F2241" i="9"/>
  <c r="F2138" i="9"/>
  <c r="F2073" i="9"/>
  <c r="F2034" i="9"/>
  <c r="F2007" i="9"/>
  <c r="F2006" i="9"/>
  <c r="F2172" i="9"/>
  <c r="F2171" i="9"/>
  <c r="F2170" i="9"/>
  <c r="F2169" i="9"/>
  <c r="F2168" i="9"/>
  <c r="F2314" i="9"/>
  <c r="F2197" i="9"/>
  <c r="F2196" i="9"/>
  <c r="F2099" i="9"/>
  <c r="F1981" i="9"/>
  <c r="F2284" i="9"/>
  <c r="F2195" i="9"/>
  <c r="F2194" i="9"/>
  <c r="F2167" i="9"/>
  <c r="F2098" i="9"/>
  <c r="F2097" i="9"/>
  <c r="F2096" i="9"/>
  <c r="F2095" i="9"/>
  <c r="F2349" i="9"/>
  <c r="F2240" i="9"/>
  <c r="F2033" i="9"/>
  <c r="F1952" i="9"/>
  <c r="F1951" i="9"/>
  <c r="F2313" i="9"/>
  <c r="F2283" i="9"/>
  <c r="F2239" i="9"/>
  <c r="F1980" i="9"/>
  <c r="F1939" i="9"/>
  <c r="F2282" i="9"/>
  <c r="F2218" i="9"/>
  <c r="F2072" i="9"/>
  <c r="F2071" i="9"/>
  <c r="F2070" i="9"/>
  <c r="F2312" i="9"/>
  <c r="F2311" i="9"/>
  <c r="F2166" i="9"/>
  <c r="F2069" i="9"/>
  <c r="F2068" i="9"/>
  <c r="F1979" i="9"/>
  <c r="F2281" i="9"/>
  <c r="F2280" i="9"/>
  <c r="F2238" i="9"/>
  <c r="F2217" i="9"/>
  <c r="F2216" i="9"/>
  <c r="F2032" i="9"/>
  <c r="F2193" i="9"/>
  <c r="F2165" i="9"/>
  <c r="F2031" i="9"/>
  <c r="F2094" i="9"/>
  <c r="F1978" i="9"/>
  <c r="F1943" i="9"/>
  <c r="F1942" i="9"/>
  <c r="F2137" i="9"/>
  <c r="F2067" i="9"/>
  <c r="F2066" i="9"/>
  <c r="F1977" i="9"/>
  <c r="F1976" i="9"/>
  <c r="F1915" i="9"/>
  <c r="F1906" i="9"/>
  <c r="F1857" i="9"/>
  <c r="F1850" i="9"/>
  <c r="F1843" i="9"/>
  <c r="F2237" i="9"/>
  <c r="F2113" i="9"/>
  <c r="F2348" i="9"/>
  <c r="F2347" i="9"/>
  <c r="F2065" i="9"/>
  <c r="F2064" i="9"/>
  <c r="F2030" i="9"/>
  <c r="F1938" i="9"/>
  <c r="F2279" i="9"/>
  <c r="F2278" i="9"/>
  <c r="F2277" i="9"/>
  <c r="F2236" i="9"/>
  <c r="F2235" i="9"/>
  <c r="F2136" i="9"/>
  <c r="F2135" i="9"/>
  <c r="F2029" i="9"/>
  <c r="F2276" i="9"/>
  <c r="F2215" i="9"/>
  <c r="F2164" i="9"/>
  <c r="F2163" i="9"/>
  <c r="F2093" i="9"/>
  <c r="F1934" i="9"/>
  <c r="F1933" i="9"/>
  <c r="F1932" i="9"/>
  <c r="F1931" i="9"/>
  <c r="F1930" i="9"/>
  <c r="F1929" i="9"/>
  <c r="F1928" i="9"/>
  <c r="F1927" i="9"/>
  <c r="F1923" i="9"/>
  <c r="F1922" i="9"/>
  <c r="F1921" i="9"/>
  <c r="F1920" i="9"/>
  <c r="F1919" i="9"/>
  <c r="F1918" i="9"/>
  <c r="F2275" i="9"/>
  <c r="F2063" i="9"/>
  <c r="F1833" i="9"/>
  <c r="F1950" i="9"/>
  <c r="F1905" i="9"/>
  <c r="F1937" i="9"/>
  <c r="F2092" i="9"/>
  <c r="F2274" i="9"/>
  <c r="F2162" i="9"/>
  <c r="F2161" i="9"/>
  <c r="F2005" i="9"/>
  <c r="F2004" i="9"/>
  <c r="F2346" i="9"/>
  <c r="F2345" i="9"/>
  <c r="F2310" i="9"/>
  <c r="F2273" i="9"/>
  <c r="F2234" i="9"/>
  <c r="F2233" i="9"/>
  <c r="F2003" i="9"/>
  <c r="F2002" i="9"/>
  <c r="F1975" i="9"/>
  <c r="F1974" i="9"/>
  <c r="F2344" i="9"/>
  <c r="F2272" i="9"/>
  <c r="F2192" i="9"/>
  <c r="F2091" i="9"/>
  <c r="F2062" i="9"/>
  <c r="F2061" i="9"/>
  <c r="F2060" i="9"/>
  <c r="F2059" i="9"/>
  <c r="F2058" i="9"/>
  <c r="F2057" i="9"/>
  <c r="F2028" i="9"/>
  <c r="F1949" i="9"/>
  <c r="F1948" i="9"/>
  <c r="F2343" i="9"/>
  <c r="F2309" i="9"/>
  <c r="F2232" i="9"/>
  <c r="F2214" i="9"/>
  <c r="F2213" i="9"/>
  <c r="F2212" i="9"/>
  <c r="F2191" i="9"/>
  <c r="F2190" i="9"/>
  <c r="F1960" i="9"/>
  <c r="F1959" i="9"/>
  <c r="F1958" i="9"/>
  <c r="F1957" i="9"/>
  <c r="F2160" i="9"/>
  <c r="F2159" i="9"/>
  <c r="F2158" i="9"/>
  <c r="F2157" i="9"/>
  <c r="F2156" i="9"/>
  <c r="F2134" i="9"/>
  <c r="F2133" i="9"/>
  <c r="F2132" i="9"/>
  <c r="F2112" i="9"/>
  <c r="F2090" i="9"/>
  <c r="F2056" i="9"/>
  <c r="F2055" i="9"/>
  <c r="F2054" i="9"/>
  <c r="F2053" i="9"/>
  <c r="F2027" i="9"/>
  <c r="F2026" i="9"/>
  <c r="F2001" i="9"/>
  <c r="F2000" i="9"/>
  <c r="F1973" i="9"/>
  <c r="F1972" i="9"/>
  <c r="F1947" i="9"/>
  <c r="F1946" i="9"/>
  <c r="F1945" i="9"/>
  <c r="F1941" i="9"/>
  <c r="F1936" i="9"/>
  <c r="F1935" i="9"/>
  <c r="F1926" i="9"/>
  <c r="F1925" i="9"/>
  <c r="F1917" i="9"/>
  <c r="F1916" i="9"/>
  <c r="F1904" i="9"/>
  <c r="F1888" i="9"/>
  <c r="F1882" i="9"/>
  <c r="F1859" i="9"/>
  <c r="F1296" i="9"/>
  <c r="F2052" i="9"/>
  <c r="F2025" i="9"/>
  <c r="F2271" i="9"/>
  <c r="F2270" i="9"/>
  <c r="F2231" i="9"/>
  <c r="F1971" i="9"/>
  <c r="F1924" i="9"/>
  <c r="F2269" i="9"/>
  <c r="F2211" i="9"/>
  <c r="F1970" i="9"/>
  <c r="F2308" i="9"/>
  <c r="F2155" i="9"/>
  <c r="F2051" i="9"/>
  <c r="F1999" i="9"/>
  <c r="F1998" i="9"/>
  <c r="F1944" i="9"/>
  <c r="F2342" i="9"/>
  <c r="F2340" i="9"/>
  <c r="F2307" i="9"/>
  <c r="F2268" i="9"/>
  <c r="F2267" i="9"/>
  <c r="F2024" i="9"/>
  <c r="F2339" i="9"/>
  <c r="F2338" i="9"/>
  <c r="F2337" i="9"/>
  <c r="F1914" i="9"/>
  <c r="F1913" i="9"/>
  <c r="F1912" i="9"/>
  <c r="F2050" i="9"/>
  <c r="F1911" i="9"/>
  <c r="F1910" i="9"/>
  <c r="F1969" i="9"/>
  <c r="F1909" i="9"/>
  <c r="F1908" i="9"/>
  <c r="F1907" i="9"/>
  <c r="F2336" i="9"/>
  <c r="F2306" i="9"/>
  <c r="F2335" i="9"/>
  <c r="F1903" i="9"/>
  <c r="F1902" i="9"/>
  <c r="F1901" i="9"/>
  <c r="F1900" i="9"/>
  <c r="F1899" i="9"/>
  <c r="F1898" i="9"/>
  <c r="F1897" i="9"/>
  <c r="F1896" i="9"/>
  <c r="F1895" i="9"/>
  <c r="F1894" i="9"/>
  <c r="F1893" i="9"/>
  <c r="F1892" i="9"/>
  <c r="F1891" i="9"/>
  <c r="F1890" i="9"/>
  <c r="F1889" i="9"/>
  <c r="F2230" i="9"/>
  <c r="F1887" i="9"/>
  <c r="F1886" i="9"/>
  <c r="F1885" i="9"/>
  <c r="F1884" i="9"/>
  <c r="F1883" i="9"/>
  <c r="F2049" i="9"/>
  <c r="F1881" i="9"/>
  <c r="F1880" i="9"/>
  <c r="F1879" i="9"/>
  <c r="F1878" i="9"/>
  <c r="F1877" i="9"/>
  <c r="F1876" i="9"/>
  <c r="F1875" i="9"/>
  <c r="F1874" i="9"/>
  <c r="F1873" i="9"/>
  <c r="F1872" i="9"/>
  <c r="F1871" i="9"/>
  <c r="F1870" i="9"/>
  <c r="F1869" i="9"/>
  <c r="F1868" i="9"/>
  <c r="F1867" i="9"/>
  <c r="F1866" i="9"/>
  <c r="F1865" i="9"/>
  <c r="F1864" i="9"/>
  <c r="F1863" i="9"/>
  <c r="F1862" i="9"/>
  <c r="F1861" i="9"/>
  <c r="F1860" i="9"/>
  <c r="F2334" i="9"/>
  <c r="F1858" i="9"/>
  <c r="F2266" i="9"/>
  <c r="F1856" i="9"/>
  <c r="F1855" i="9"/>
  <c r="F1854" i="9"/>
  <c r="F1853" i="9"/>
  <c r="F1852" i="9"/>
  <c r="F1851" i="9"/>
  <c r="F2265" i="9"/>
  <c r="F1849" i="9"/>
  <c r="F1848" i="9"/>
  <c r="F1847" i="9"/>
  <c r="F1846" i="9"/>
  <c r="F1845" i="9"/>
  <c r="F1844" i="9"/>
  <c r="F2305" i="9"/>
  <c r="F1842" i="9"/>
  <c r="F1841" i="9"/>
  <c r="F1840" i="9"/>
  <c r="F1839" i="9"/>
  <c r="F1838" i="9"/>
  <c r="F1837" i="9"/>
  <c r="F1836" i="9"/>
  <c r="F1835" i="9"/>
  <c r="F1834" i="9"/>
  <c r="F2264" i="9"/>
  <c r="F1832" i="9"/>
  <c r="F1831" i="9"/>
  <c r="F1830" i="9"/>
  <c r="F1829" i="9"/>
  <c r="F1828" i="9"/>
  <c r="F1827" i="9"/>
  <c r="F1826" i="9"/>
  <c r="F1825" i="9"/>
  <c r="F1824" i="9"/>
  <c r="F1823" i="9"/>
  <c r="F1822" i="9"/>
  <c r="F1821" i="9"/>
  <c r="F1820" i="9"/>
  <c r="F1819" i="9"/>
  <c r="F1818" i="9"/>
  <c r="F1817" i="9"/>
  <c r="F1816" i="9"/>
  <c r="F1815" i="9"/>
  <c r="F1814" i="9"/>
  <c r="F1813" i="9"/>
  <c r="F1812" i="9"/>
  <c r="F1811" i="9"/>
  <c r="F1810" i="9"/>
  <c r="F1809" i="9"/>
  <c r="F1808" i="9"/>
  <c r="F1807" i="9"/>
  <c r="F1806" i="9"/>
  <c r="F1805" i="9"/>
  <c r="F1804" i="9"/>
  <c r="F1803" i="9"/>
  <c r="F1802" i="9"/>
  <c r="F1801" i="9"/>
  <c r="F1800" i="9"/>
  <c r="F1799" i="9"/>
  <c r="F1798" i="9"/>
  <c r="F1797" i="9"/>
  <c r="F1796" i="9"/>
  <c r="F1795" i="9"/>
  <c r="F1794" i="9"/>
  <c r="F1793" i="9"/>
  <c r="F1792" i="9"/>
  <c r="F1791" i="9"/>
  <c r="F1790" i="9"/>
  <c r="F1789" i="9"/>
  <c r="F1788" i="9"/>
  <c r="F1787" i="9"/>
  <c r="F1786" i="9"/>
  <c r="F1785" i="9"/>
  <c r="F1784" i="9"/>
  <c r="F1783" i="9"/>
  <c r="F1782" i="9"/>
  <c r="F1781" i="9"/>
  <c r="F1780" i="9"/>
  <c r="F1779" i="9"/>
  <c r="F1778" i="9"/>
  <c r="F1777" i="9"/>
  <c r="F1776" i="9"/>
  <c r="F1775" i="9"/>
  <c r="F1774" i="9"/>
  <c r="F1773" i="9"/>
  <c r="F1772" i="9"/>
  <c r="F1771" i="9"/>
  <c r="F1770" i="9"/>
  <c r="F1769" i="9"/>
  <c r="F1768" i="9"/>
  <c r="F1767" i="9"/>
  <c r="F1766" i="9"/>
  <c r="F1765" i="9"/>
  <c r="F1764" i="9"/>
  <c r="F1763" i="9"/>
  <c r="F1762" i="9"/>
  <c r="F1761" i="9"/>
  <c r="F1760" i="9"/>
  <c r="F1759" i="9"/>
  <c r="F1758" i="9"/>
  <c r="F1757" i="9"/>
  <c r="F1756" i="9"/>
  <c r="F1755" i="9"/>
  <c r="F1754" i="9"/>
  <c r="F1753" i="9"/>
  <c r="F1752" i="9"/>
  <c r="F1751" i="9"/>
  <c r="F1750" i="9"/>
  <c r="F1749" i="9"/>
  <c r="F1748" i="9"/>
  <c r="F1747" i="9"/>
  <c r="F1746" i="9"/>
  <c r="F1745" i="9"/>
  <c r="F1744" i="9"/>
  <c r="F1743" i="9"/>
  <c r="F1742" i="9"/>
  <c r="F1741" i="9"/>
  <c r="F1740" i="9"/>
  <c r="F1739" i="9"/>
  <c r="F1738" i="9"/>
  <c r="F1737" i="9"/>
  <c r="F1736" i="9"/>
  <c r="F1735" i="9"/>
  <c r="F1734" i="9"/>
  <c r="F1733" i="9"/>
  <c r="F1732" i="9"/>
  <c r="F1731" i="9"/>
  <c r="F1730" i="9"/>
  <c r="F1729" i="9"/>
  <c r="F1728" i="9"/>
  <c r="F1727" i="9"/>
  <c r="F1726" i="9"/>
  <c r="F1725" i="9"/>
  <c r="F1724" i="9"/>
  <c r="F1723" i="9"/>
  <c r="F1722" i="9"/>
  <c r="F1721" i="9"/>
  <c r="F1720" i="9"/>
  <c r="F1719" i="9"/>
  <c r="F1718" i="9"/>
  <c r="F1717" i="9"/>
  <c r="F1716" i="9"/>
  <c r="F1715" i="9"/>
  <c r="F1714" i="9"/>
  <c r="F1713" i="9"/>
  <c r="F1712" i="9"/>
  <c r="F1711" i="9"/>
  <c r="F1710" i="9"/>
  <c r="F1709" i="9"/>
  <c r="F1708" i="9"/>
  <c r="F1707" i="9"/>
  <c r="F1706" i="9"/>
  <c r="F1705" i="9"/>
  <c r="F1704" i="9"/>
  <c r="F1703" i="9"/>
  <c r="F1702" i="9"/>
  <c r="F1701" i="9"/>
  <c r="F1700" i="9"/>
  <c r="F1699" i="9"/>
  <c r="F1698" i="9"/>
  <c r="F1697" i="9"/>
  <c r="F1696" i="9"/>
  <c r="F1695" i="9"/>
  <c r="F1694" i="9"/>
  <c r="F1693" i="9"/>
  <c r="F1692" i="9"/>
  <c r="F1691" i="9"/>
  <c r="F1690" i="9"/>
  <c r="F1689" i="9"/>
  <c r="F1688" i="9"/>
  <c r="F1687" i="9"/>
  <c r="F1686" i="9"/>
  <c r="F1685" i="9"/>
  <c r="F1684" i="9"/>
  <c r="F1683" i="9"/>
  <c r="F1682" i="9"/>
  <c r="F1681" i="9"/>
  <c r="F1680" i="9"/>
  <c r="F1679" i="9"/>
  <c r="F1678" i="9"/>
  <c r="F1677" i="9"/>
  <c r="F1676" i="9"/>
  <c r="F1675" i="9"/>
  <c r="F1674" i="9"/>
  <c r="F1673" i="9"/>
  <c r="F1672" i="9"/>
  <c r="F1671" i="9"/>
  <c r="F1670" i="9"/>
  <c r="F1669" i="9"/>
  <c r="F1668" i="9"/>
  <c r="F1667" i="9"/>
  <c r="F1666" i="9"/>
  <c r="F1665" i="9"/>
  <c r="F1664" i="9"/>
  <c r="F1663" i="9"/>
  <c r="F1662" i="9"/>
  <c r="F1661" i="9"/>
  <c r="F1660" i="9"/>
  <c r="F1659" i="9"/>
  <c r="F1658" i="9"/>
  <c r="F1657" i="9"/>
  <c r="F1656" i="9"/>
  <c r="F1655" i="9"/>
  <c r="F1654" i="9"/>
  <c r="F1653" i="9"/>
  <c r="F1652" i="9"/>
  <c r="F1651" i="9"/>
  <c r="F1650" i="9"/>
  <c r="F1649" i="9"/>
  <c r="F1648" i="9"/>
  <c r="F1647" i="9"/>
  <c r="F1646" i="9"/>
  <c r="F1645" i="9"/>
  <c r="F1644" i="9"/>
  <c r="F1643" i="9"/>
  <c r="F1642" i="9"/>
  <c r="F1641" i="9"/>
  <c r="F1640" i="9"/>
  <c r="F1639" i="9"/>
  <c r="F1638" i="9"/>
  <c r="F1637" i="9"/>
  <c r="F1636" i="9"/>
  <c r="F1635" i="9"/>
  <c r="F1634" i="9"/>
  <c r="F1633" i="9"/>
  <c r="F1632" i="9"/>
  <c r="F1631" i="9"/>
  <c r="F1630" i="9"/>
  <c r="F1629" i="9"/>
  <c r="F1628" i="9"/>
  <c r="F1627" i="9"/>
  <c r="F1626" i="9"/>
  <c r="F1625" i="9"/>
  <c r="F1624" i="9"/>
  <c r="F1623" i="9"/>
  <c r="F1622" i="9"/>
  <c r="F1621" i="9"/>
  <c r="F1620" i="9"/>
  <c r="F1619" i="9"/>
  <c r="F1618" i="9"/>
  <c r="F1617" i="9"/>
  <c r="F1616" i="9"/>
  <c r="F1615" i="9"/>
  <c r="F1614" i="9"/>
  <c r="F1613" i="9"/>
  <c r="F1612" i="9"/>
  <c r="F1611" i="9"/>
  <c r="F1610" i="9"/>
  <c r="F1609" i="9"/>
  <c r="F1608" i="9"/>
  <c r="F1607" i="9"/>
  <c r="F1606" i="9"/>
  <c r="F1605" i="9"/>
  <c r="F1604" i="9"/>
  <c r="F1603" i="9"/>
  <c r="F1602" i="9"/>
  <c r="F1601" i="9"/>
  <c r="F1600" i="9"/>
  <c r="F1599" i="9"/>
  <c r="F1598" i="9"/>
  <c r="F1597" i="9"/>
  <c r="F1596" i="9"/>
  <c r="F1595" i="9"/>
  <c r="F1594" i="9"/>
  <c r="F1593" i="9"/>
  <c r="F1592" i="9"/>
  <c r="F1591" i="9"/>
  <c r="F1590" i="9"/>
  <c r="F1589" i="9"/>
  <c r="F1588" i="9"/>
  <c r="F1587" i="9"/>
  <c r="F1586" i="9"/>
  <c r="F1585" i="9"/>
  <c r="F1584" i="9"/>
  <c r="F1583" i="9"/>
  <c r="F1582" i="9"/>
  <c r="F1581" i="9"/>
  <c r="F1580" i="9"/>
  <c r="F1579" i="9"/>
  <c r="F1578" i="9"/>
  <c r="F1577" i="9"/>
  <c r="F1576" i="9"/>
  <c r="F1575" i="9"/>
  <c r="F1574" i="9"/>
  <c r="F1573" i="9"/>
  <c r="F1572" i="9"/>
  <c r="F1571" i="9"/>
  <c r="F1570" i="9"/>
  <c r="F1569" i="9"/>
  <c r="F1568" i="9"/>
  <c r="F1567" i="9"/>
  <c r="F1566" i="9"/>
  <c r="F1565" i="9"/>
  <c r="F1564" i="9"/>
  <c r="F1563" i="9"/>
  <c r="F1562" i="9"/>
  <c r="F1561" i="9"/>
  <c r="F1560" i="9"/>
  <c r="F1559" i="9"/>
  <c r="F1558" i="9"/>
  <c r="F1557" i="9"/>
  <c r="F1556" i="9"/>
  <c r="F1555" i="9"/>
  <c r="F1554" i="9"/>
  <c r="F1553" i="9"/>
  <c r="F1552" i="9"/>
  <c r="F1551" i="9"/>
  <c r="F1550" i="9"/>
  <c r="F1549" i="9"/>
  <c r="F1548" i="9"/>
  <c r="F1547" i="9"/>
  <c r="F1546" i="9"/>
  <c r="F1545" i="9"/>
  <c r="F1544" i="9"/>
  <c r="F1543" i="9"/>
  <c r="F1542" i="9"/>
  <c r="F1541" i="9"/>
  <c r="F1540" i="9"/>
  <c r="F1539" i="9"/>
  <c r="F1538" i="9"/>
  <c r="F1537" i="9"/>
  <c r="F1536" i="9"/>
  <c r="F1535" i="9"/>
  <c r="F1534" i="9"/>
  <c r="F1533" i="9"/>
  <c r="F1532" i="9"/>
  <c r="F1531" i="9"/>
  <c r="F1530" i="9"/>
  <c r="F1529" i="9"/>
  <c r="F1528" i="9"/>
  <c r="F1527" i="9"/>
  <c r="F1526" i="9"/>
  <c r="F1525" i="9"/>
  <c r="F1524" i="9"/>
  <c r="F1523" i="9"/>
  <c r="F1522" i="9"/>
  <c r="F1521" i="9"/>
  <c r="F1520" i="9"/>
  <c r="F1519" i="9"/>
  <c r="F1518" i="9"/>
  <c r="F1517" i="9"/>
  <c r="F1516" i="9"/>
  <c r="F1515" i="9"/>
  <c r="F1514" i="9"/>
  <c r="F1513" i="9"/>
  <c r="F1512" i="9"/>
  <c r="F1511" i="9"/>
  <c r="F1510" i="9"/>
  <c r="F1509" i="9"/>
  <c r="F1508" i="9"/>
  <c r="F1507" i="9"/>
  <c r="F1506" i="9"/>
  <c r="F1505" i="9"/>
  <c r="F1504" i="9"/>
  <c r="F1503" i="9"/>
  <c r="F1502" i="9"/>
  <c r="F1501" i="9"/>
  <c r="F1500" i="9"/>
  <c r="F1499" i="9"/>
  <c r="F1498" i="9"/>
  <c r="F1497" i="9"/>
  <c r="F1496" i="9"/>
  <c r="F1495" i="9"/>
  <c r="F1494" i="9"/>
  <c r="F1493" i="9"/>
  <c r="F1492" i="9"/>
  <c r="F1491" i="9"/>
  <c r="F1490" i="9"/>
  <c r="F1489" i="9"/>
  <c r="F1488" i="9"/>
  <c r="F1487" i="9"/>
  <c r="F1486" i="9"/>
  <c r="F1485" i="9"/>
  <c r="F1484" i="9"/>
  <c r="F1483" i="9"/>
  <c r="F1482" i="9"/>
  <c r="F1481" i="9"/>
  <c r="F1480" i="9"/>
  <c r="F1479" i="9"/>
  <c r="F1478" i="9"/>
  <c r="F1477" i="9"/>
  <c r="F1476" i="9"/>
  <c r="F1475" i="9"/>
  <c r="F1474" i="9"/>
  <c r="F1473" i="9"/>
  <c r="F1472" i="9"/>
  <c r="F1471" i="9"/>
  <c r="F1470" i="9"/>
  <c r="F1469" i="9"/>
  <c r="F1468" i="9"/>
  <c r="F1467" i="9"/>
  <c r="F1466" i="9"/>
  <c r="F1465" i="9"/>
  <c r="F1464" i="9"/>
  <c r="F1463" i="9"/>
  <c r="F1462" i="9"/>
  <c r="F1461" i="9"/>
  <c r="F1460" i="9"/>
  <c r="F1459" i="9"/>
  <c r="F1458" i="9"/>
  <c r="F1457" i="9"/>
  <c r="F1456" i="9"/>
  <c r="F1455" i="9"/>
  <c r="F1454" i="9"/>
  <c r="F1453" i="9"/>
  <c r="F1452" i="9"/>
  <c r="F1451" i="9"/>
  <c r="F1450" i="9"/>
  <c r="F1449" i="9"/>
  <c r="F1448" i="9"/>
  <c r="F1447" i="9"/>
  <c r="F1446" i="9"/>
  <c r="F1445" i="9"/>
  <c r="F1444" i="9"/>
  <c r="F1443" i="9"/>
  <c r="F1442" i="9"/>
  <c r="F1441" i="9"/>
  <c r="F1440" i="9"/>
  <c r="F1439" i="9"/>
  <c r="F1438" i="9"/>
  <c r="F1437" i="9"/>
  <c r="F1436" i="9"/>
  <c r="F1435" i="9"/>
  <c r="F1434" i="9"/>
  <c r="F1433" i="9"/>
  <c r="F1432" i="9"/>
  <c r="F1431" i="9"/>
  <c r="F1430" i="9"/>
  <c r="F1429" i="9"/>
  <c r="F1428" i="9"/>
  <c r="F1427" i="9"/>
  <c r="F1426" i="9"/>
  <c r="F1425" i="9"/>
  <c r="F1424" i="9"/>
  <c r="F1423" i="9"/>
  <c r="F1422" i="9"/>
  <c r="F1421" i="9"/>
  <c r="F1420" i="9"/>
  <c r="F1419" i="9"/>
  <c r="F1418" i="9"/>
  <c r="F1417" i="9"/>
  <c r="F1416" i="9"/>
  <c r="F1415" i="9"/>
  <c r="F1414" i="9"/>
  <c r="F1413" i="9"/>
  <c r="F1412" i="9"/>
  <c r="F1411" i="9"/>
  <c r="F1410" i="9"/>
  <c r="F1409" i="9"/>
  <c r="F1408" i="9"/>
  <c r="F1407" i="9"/>
  <c r="F1406" i="9"/>
  <c r="F1405" i="9"/>
  <c r="F1404" i="9"/>
  <c r="F1403" i="9"/>
  <c r="F1402" i="9"/>
  <c r="F1401" i="9"/>
  <c r="F1400" i="9"/>
  <c r="F1399" i="9"/>
  <c r="F1398" i="9"/>
  <c r="F1397" i="9"/>
  <c r="F1396" i="9"/>
  <c r="F1395" i="9"/>
  <c r="F1394" i="9"/>
  <c r="F1393" i="9"/>
  <c r="F1392" i="9"/>
  <c r="F1391" i="9"/>
  <c r="F1390" i="9"/>
  <c r="F1389" i="9"/>
  <c r="F1388" i="9"/>
  <c r="F1387" i="9"/>
  <c r="F1386" i="9"/>
  <c r="F1385" i="9"/>
  <c r="F1384" i="9"/>
  <c r="F1383" i="9"/>
  <c r="F1382" i="9"/>
  <c r="F1381" i="9"/>
  <c r="F1380" i="9"/>
  <c r="F1379" i="9"/>
  <c r="F1378" i="9"/>
  <c r="F1377" i="9"/>
  <c r="F1376" i="9"/>
  <c r="F1375" i="9"/>
  <c r="F1374" i="9"/>
  <c r="F1373" i="9"/>
  <c r="F1372" i="9"/>
  <c r="F1371" i="9"/>
  <c r="F1370" i="9"/>
  <c r="F1369" i="9"/>
  <c r="F1368" i="9"/>
  <c r="F1367" i="9"/>
  <c r="F1366" i="9"/>
  <c r="F1365" i="9"/>
  <c r="F1364" i="9"/>
  <c r="F1363" i="9"/>
  <c r="F1362" i="9"/>
  <c r="F1361" i="9"/>
  <c r="F1360" i="9"/>
  <c r="F1359" i="9"/>
  <c r="F1358" i="9"/>
  <c r="F1357" i="9"/>
  <c r="F1356" i="9"/>
  <c r="F1355" i="9"/>
  <c r="F1354" i="9"/>
  <c r="F1353" i="9"/>
  <c r="F1352" i="9"/>
  <c r="F1351" i="9"/>
  <c r="F1350" i="9"/>
  <c r="F1349" i="9"/>
  <c r="F1348" i="9"/>
  <c r="F1347" i="9"/>
  <c r="F1346" i="9"/>
  <c r="F1345" i="9"/>
  <c r="F1344" i="9"/>
  <c r="F1343" i="9"/>
  <c r="F1342" i="9"/>
  <c r="F1341" i="9"/>
  <c r="F1340" i="9"/>
  <c r="F1339" i="9"/>
  <c r="F1338" i="9"/>
  <c r="F1337" i="9"/>
  <c r="F1336" i="9"/>
  <c r="F1335" i="9"/>
  <c r="F1334" i="9"/>
  <c r="F1333" i="9"/>
  <c r="F1332" i="9"/>
  <c r="F1331" i="9"/>
  <c r="F1330" i="9"/>
  <c r="F1329" i="9"/>
  <c r="F1328" i="9"/>
  <c r="F1327" i="9"/>
  <c r="F1326" i="9"/>
  <c r="F1325" i="9"/>
  <c r="F1324" i="9"/>
  <c r="F1323" i="9"/>
  <c r="F1322" i="9"/>
  <c r="F1321" i="9"/>
  <c r="F1320" i="9"/>
  <c r="F1319" i="9"/>
  <c r="F1318" i="9"/>
  <c r="F1317" i="9"/>
  <c r="F1316" i="9"/>
  <c r="F1315" i="9"/>
  <c r="F1314" i="9"/>
  <c r="F1313" i="9"/>
  <c r="F1312" i="9"/>
  <c r="F1311" i="9"/>
  <c r="F1310" i="9"/>
  <c r="F1309" i="9"/>
  <c r="F1308" i="9"/>
  <c r="F1307" i="9"/>
  <c r="F1306" i="9"/>
  <c r="F1305" i="9"/>
  <c r="F1304" i="9"/>
  <c r="F1303" i="9"/>
  <c r="F1302" i="9"/>
  <c r="F1301" i="9"/>
  <c r="F1300" i="9"/>
  <c r="F1299" i="9"/>
  <c r="F1298" i="9"/>
  <c r="F1297" i="9"/>
  <c r="F1295" i="9"/>
  <c r="F1294" i="9"/>
  <c r="F1293" i="9"/>
  <c r="F1292" i="9"/>
  <c r="F1291" i="9"/>
  <c r="F1290" i="9"/>
  <c r="F1289" i="9"/>
  <c r="F1940" i="9"/>
  <c r="F1288" i="9"/>
  <c r="F1287" i="9"/>
  <c r="F1286" i="9"/>
  <c r="F1285" i="9"/>
  <c r="F1284" i="9"/>
  <c r="F1283" i="9"/>
  <c r="F1282" i="9"/>
  <c r="F1281" i="9"/>
  <c r="F1280" i="9"/>
  <c r="F1279" i="9"/>
  <c r="F1278" i="9"/>
  <c r="F1277" i="9"/>
  <c r="F1276" i="9"/>
  <c r="F1275" i="9"/>
  <c r="F1274" i="9"/>
  <c r="F1273" i="9"/>
  <c r="F1272" i="9"/>
  <c r="F1271" i="9"/>
  <c r="F1270" i="9"/>
  <c r="F1269" i="9"/>
  <c r="F1268" i="9"/>
  <c r="F1267" i="9"/>
  <c r="F1266" i="9"/>
  <c r="F1265" i="9"/>
  <c r="F1264" i="9"/>
  <c r="F1263" i="9"/>
  <c r="F1262" i="9"/>
  <c r="F1261" i="9"/>
  <c r="F1260" i="9"/>
  <c r="F1259" i="9"/>
  <c r="F1258" i="9"/>
  <c r="F1257" i="9"/>
  <c r="F1256" i="9"/>
  <c r="F1255" i="9"/>
  <c r="F1254" i="9"/>
  <c r="F1253" i="9"/>
  <c r="F1252" i="9"/>
  <c r="F1251" i="9"/>
  <c r="F1250" i="9"/>
  <c r="F1249" i="9"/>
  <c r="F1248" i="9"/>
  <c r="F1247" i="9"/>
  <c r="F1246" i="9"/>
  <c r="F1245" i="9"/>
  <c r="F1244" i="9"/>
  <c r="F1243" i="9"/>
  <c r="F1242" i="9"/>
  <c r="F1241" i="9"/>
  <c r="F1240" i="9"/>
  <c r="F1239" i="9"/>
  <c r="F1238" i="9"/>
  <c r="F1237" i="9"/>
  <c r="F1236" i="9"/>
  <c r="F1235" i="9"/>
  <c r="F1234" i="9"/>
  <c r="F1233" i="9"/>
  <c r="F1232" i="9"/>
  <c r="F1231" i="9"/>
  <c r="F1230" i="9"/>
  <c r="F1229" i="9"/>
  <c r="F1228" i="9"/>
  <c r="F1227" i="9"/>
  <c r="F1226" i="9"/>
  <c r="F1225" i="9"/>
  <c r="F1224" i="9"/>
  <c r="F1223" i="9"/>
  <c r="F1222" i="9"/>
  <c r="F1221" i="9"/>
  <c r="F1220" i="9"/>
  <c r="F1219" i="9"/>
  <c r="F1218" i="9"/>
  <c r="F1217" i="9"/>
  <c r="F1216" i="9"/>
  <c r="F1215" i="9"/>
  <c r="F1214" i="9"/>
  <c r="F1213" i="9"/>
  <c r="F1212" i="9"/>
  <c r="F1211" i="9"/>
  <c r="F1210" i="9"/>
  <c r="F1209" i="9"/>
  <c r="F1208" i="9"/>
  <c r="F1207" i="9"/>
  <c r="F1206" i="9"/>
  <c r="F1205" i="9"/>
  <c r="F1204" i="9"/>
  <c r="F1203" i="9"/>
  <c r="F1202" i="9"/>
  <c r="F1201" i="9"/>
  <c r="F1200" i="9"/>
  <c r="F1199" i="9"/>
  <c r="F1198" i="9"/>
  <c r="F1197" i="9"/>
  <c r="F1196" i="9"/>
  <c r="F1195" i="9"/>
  <c r="F1194" i="9"/>
  <c r="F1193" i="9"/>
  <c r="F1192" i="9"/>
  <c r="F1191" i="9"/>
  <c r="F1190" i="9"/>
  <c r="F1189" i="9"/>
  <c r="F1188" i="9"/>
  <c r="F1187" i="9"/>
  <c r="F1186" i="9"/>
  <c r="F1185" i="9"/>
  <c r="F1184" i="9"/>
  <c r="F1183" i="9"/>
  <c r="F1182" i="9"/>
  <c r="F1181" i="9"/>
  <c r="F1180" i="9"/>
  <c r="F1179" i="9"/>
  <c r="F1178" i="9"/>
  <c r="F1177" i="9"/>
  <c r="F1176" i="9"/>
  <c r="F1175" i="9"/>
  <c r="F1174" i="9"/>
  <c r="F1173" i="9"/>
  <c r="F1172" i="9"/>
  <c r="F1171" i="9"/>
  <c r="F1170" i="9"/>
  <c r="F1169" i="9"/>
  <c r="F1168" i="9"/>
  <c r="F1167" i="9"/>
  <c r="F1166" i="9"/>
  <c r="F1165" i="9"/>
  <c r="F1164" i="9"/>
  <c r="F1163" i="9"/>
  <c r="F1162" i="9"/>
  <c r="F1161" i="9"/>
  <c r="F1160" i="9"/>
  <c r="F1159" i="9"/>
  <c r="F1158" i="9"/>
  <c r="F1157" i="9"/>
  <c r="F1156" i="9"/>
  <c r="F1155" i="9"/>
  <c r="F1154" i="9"/>
  <c r="F1153" i="9"/>
  <c r="F1152" i="9"/>
  <c r="F1151" i="9"/>
  <c r="F1150" i="9"/>
  <c r="F1149" i="9"/>
  <c r="F1148" i="9"/>
  <c r="F1147" i="9"/>
  <c r="F1146" i="9"/>
  <c r="F1145" i="9"/>
  <c r="F1144" i="9"/>
  <c r="F1143" i="9"/>
  <c r="F1142" i="9"/>
  <c r="F1141" i="9"/>
  <c r="F1140" i="9"/>
  <c r="F1139" i="9"/>
  <c r="F1138" i="9"/>
  <c r="F1137" i="9"/>
  <c r="F1136" i="9"/>
  <c r="F1135" i="9"/>
  <c r="F1134" i="9"/>
  <c r="F1133" i="9"/>
  <c r="F1132" i="9"/>
  <c r="F1131" i="9"/>
  <c r="F1130" i="9"/>
  <c r="F1129" i="9"/>
  <c r="F1128" i="9"/>
  <c r="F1127" i="9"/>
  <c r="F1126" i="9"/>
  <c r="F1125" i="9"/>
  <c r="F1124" i="9"/>
  <c r="F1123" i="9"/>
  <c r="F1122" i="9"/>
  <c r="F1121" i="9"/>
  <c r="F1120" i="9"/>
  <c r="F1119" i="9"/>
  <c r="F1118" i="9"/>
  <c r="F1117" i="9"/>
  <c r="F1116" i="9"/>
  <c r="F1115" i="9"/>
  <c r="F1114" i="9"/>
  <c r="F1113" i="9"/>
  <c r="F1112" i="9"/>
  <c r="F1111" i="9"/>
  <c r="F1110" i="9"/>
  <c r="F1109" i="9"/>
  <c r="F1108" i="9"/>
  <c r="F1107" i="9"/>
  <c r="F1106" i="9"/>
  <c r="F1105" i="9"/>
  <c r="F1104" i="9"/>
  <c r="F1103" i="9"/>
  <c r="F1102" i="9"/>
  <c r="F1101" i="9"/>
  <c r="F1100" i="9"/>
  <c r="F1099" i="9"/>
  <c r="F1098" i="9"/>
  <c r="F1097" i="9"/>
  <c r="F1096" i="9"/>
  <c r="F1095" i="9"/>
  <c r="F1094" i="9"/>
  <c r="F1093" i="9"/>
  <c r="F1092" i="9"/>
  <c r="F1091" i="9"/>
  <c r="F1090" i="9"/>
  <c r="F1089" i="9"/>
  <c r="F1088" i="9"/>
  <c r="F1087" i="9"/>
  <c r="F1086" i="9"/>
  <c r="F1085" i="9"/>
  <c r="F1084" i="9"/>
  <c r="F1083" i="9"/>
  <c r="F1082" i="9"/>
  <c r="F1081" i="9"/>
  <c r="F1080" i="9"/>
  <c r="F1079" i="9"/>
  <c r="F1078" i="9"/>
  <c r="F1077" i="9"/>
  <c r="F1076" i="9"/>
  <c r="F1075" i="9"/>
  <c r="F1074" i="9"/>
  <c r="F1073" i="9"/>
  <c r="F1072" i="9"/>
  <c r="F1071" i="9"/>
  <c r="F1070" i="9"/>
  <c r="F1069" i="9"/>
  <c r="F1068" i="9"/>
  <c r="F1067" i="9"/>
  <c r="F1066" i="9"/>
  <c r="F1065" i="9"/>
  <c r="F1064" i="9"/>
  <c r="F1063" i="9"/>
  <c r="F1062" i="9"/>
  <c r="F1061" i="9"/>
  <c r="F1060" i="9"/>
  <c r="F1059" i="9"/>
  <c r="F1058" i="9"/>
  <c r="F1057" i="9"/>
  <c r="F1056" i="9"/>
  <c r="F1055" i="9"/>
  <c r="F1054" i="9"/>
  <c r="F1053" i="9"/>
  <c r="F1052" i="9"/>
  <c r="F1051" i="9"/>
  <c r="F1050" i="9"/>
  <c r="F1049" i="9"/>
  <c r="F1048" i="9"/>
  <c r="F1047" i="9"/>
  <c r="F1046" i="9"/>
  <c r="F1045" i="9"/>
  <c r="F1044" i="9"/>
  <c r="F1043" i="9"/>
  <c r="F1042" i="9"/>
  <c r="F1041" i="9"/>
  <c r="F1040" i="9"/>
  <c r="F1039" i="9"/>
  <c r="F1038" i="9"/>
  <c r="F1037" i="9"/>
  <c r="F1036" i="9"/>
  <c r="F1035" i="9"/>
  <c r="F1034" i="9"/>
  <c r="F1033" i="9"/>
  <c r="F1032" i="9"/>
  <c r="F1031" i="9"/>
  <c r="F1030" i="9"/>
  <c r="F1029" i="9"/>
  <c r="F1028" i="9"/>
  <c r="F1027" i="9"/>
  <c r="F1026" i="9"/>
  <c r="F1025" i="9"/>
  <c r="F1024" i="9"/>
  <c r="F1023" i="9"/>
  <c r="F1022" i="9"/>
  <c r="F1021" i="9"/>
  <c r="F1020" i="9"/>
  <c r="F1019" i="9"/>
  <c r="F1018" i="9"/>
  <c r="F1017" i="9"/>
  <c r="F1016" i="9"/>
  <c r="F1015" i="9"/>
  <c r="F1014" i="9"/>
  <c r="F1013" i="9"/>
  <c r="F1012" i="9"/>
  <c r="F1011" i="9"/>
  <c r="F1010" i="9"/>
  <c r="F1009" i="9"/>
  <c r="F1008" i="9"/>
  <c r="F1007" i="9"/>
  <c r="F1006" i="9"/>
  <c r="F1005" i="9"/>
  <c r="F1004" i="9"/>
  <c r="F1003" i="9"/>
  <c r="F1002" i="9"/>
  <c r="F1001" i="9"/>
  <c r="F1000" i="9"/>
  <c r="F999" i="9"/>
  <c r="F998" i="9"/>
  <c r="F997" i="9"/>
  <c r="F996" i="9"/>
  <c r="F995" i="9"/>
  <c r="F994" i="9"/>
  <c r="F993" i="9"/>
  <c r="F992" i="9"/>
  <c r="F991" i="9"/>
  <c r="F990" i="9"/>
  <c r="F989" i="9"/>
  <c r="F988" i="9"/>
  <c r="F987" i="9"/>
  <c r="F986" i="9"/>
  <c r="F985" i="9"/>
  <c r="F984" i="9"/>
  <c r="F983" i="9"/>
  <c r="F982" i="9"/>
  <c r="F981" i="9"/>
  <c r="F980" i="9"/>
  <c r="F979" i="9"/>
  <c r="F978" i="9"/>
  <c r="F977" i="9"/>
  <c r="F976" i="9"/>
  <c r="F975" i="9"/>
  <c r="F974" i="9"/>
  <c r="F973" i="9"/>
  <c r="F972" i="9"/>
  <c r="F971" i="9"/>
  <c r="F970" i="9"/>
  <c r="F969" i="9"/>
  <c r="F968" i="9"/>
  <c r="F967" i="9"/>
  <c r="F966" i="9"/>
  <c r="F965" i="9"/>
  <c r="F964" i="9"/>
  <c r="F963" i="9"/>
  <c r="F962" i="9"/>
  <c r="F961" i="9"/>
  <c r="F960" i="9"/>
  <c r="F959" i="9"/>
  <c r="F958" i="9"/>
  <c r="F957" i="9"/>
  <c r="F956" i="9"/>
  <c r="F955" i="9"/>
  <c r="F954" i="9"/>
  <c r="F953" i="9"/>
  <c r="F952" i="9"/>
  <c r="F951" i="9"/>
  <c r="F950" i="9"/>
  <c r="F949" i="9"/>
  <c r="F948" i="9"/>
  <c r="F947" i="9"/>
  <c r="F946" i="9"/>
  <c r="F945" i="9"/>
  <c r="F944" i="9"/>
  <c r="F943" i="9"/>
  <c r="F942" i="9"/>
  <c r="F941" i="9"/>
  <c r="F940" i="9"/>
  <c r="F939" i="9"/>
  <c r="F938" i="9"/>
  <c r="F937" i="9"/>
  <c r="F936" i="9"/>
  <c r="F935" i="9"/>
  <c r="F934" i="9"/>
  <c r="F933" i="9"/>
  <c r="F932" i="9"/>
  <c r="F931" i="9"/>
  <c r="F930" i="9"/>
  <c r="F929" i="9"/>
  <c r="F928" i="9"/>
  <c r="F927" i="9"/>
  <c r="F926" i="9"/>
  <c r="F925" i="9"/>
  <c r="F924" i="9"/>
  <c r="F923" i="9"/>
  <c r="F922" i="9"/>
  <c r="F921" i="9"/>
  <c r="F920" i="9"/>
  <c r="F919" i="9"/>
  <c r="F918" i="9"/>
  <c r="F917" i="9"/>
  <c r="F916" i="9"/>
  <c r="F915" i="9"/>
  <c r="F914" i="9"/>
  <c r="F913" i="9"/>
  <c r="F912" i="9"/>
  <c r="F911" i="9"/>
  <c r="F910" i="9"/>
  <c r="F909" i="9"/>
  <c r="F908" i="9"/>
  <c r="F907" i="9"/>
  <c r="F906" i="9"/>
  <c r="F905" i="9"/>
  <c r="F904" i="9"/>
  <c r="F903" i="9"/>
  <c r="F902" i="9"/>
  <c r="F901" i="9"/>
  <c r="F900" i="9"/>
  <c r="F899" i="9"/>
  <c r="F898" i="9"/>
  <c r="F897" i="9"/>
  <c r="F896" i="9"/>
  <c r="F895" i="9"/>
  <c r="F894" i="9"/>
  <c r="F893" i="9"/>
  <c r="F892" i="9"/>
  <c r="F891" i="9"/>
  <c r="F890" i="9"/>
  <c r="F889" i="9"/>
  <c r="F888" i="9"/>
  <c r="F887" i="9"/>
  <c r="F886" i="9"/>
  <c r="F885" i="9"/>
  <c r="F884" i="9"/>
  <c r="F883" i="9"/>
  <c r="F882" i="9"/>
  <c r="F881" i="9"/>
  <c r="F880" i="9"/>
  <c r="F879" i="9"/>
  <c r="F878" i="9"/>
  <c r="F877" i="9"/>
  <c r="F876" i="9"/>
  <c r="F875" i="9"/>
  <c r="F874" i="9"/>
  <c r="F873" i="9"/>
  <c r="F872" i="9"/>
  <c r="F871" i="9"/>
  <c r="F870" i="9"/>
  <c r="F869" i="9"/>
  <c r="F868" i="9"/>
  <c r="F867" i="9"/>
  <c r="F866" i="9"/>
  <c r="F865" i="9"/>
  <c r="F864" i="9"/>
  <c r="F863" i="9"/>
  <c r="F862" i="9"/>
  <c r="F861" i="9"/>
  <c r="F860" i="9"/>
  <c r="F859" i="9"/>
  <c r="F858" i="9"/>
  <c r="F857" i="9"/>
  <c r="F856" i="9"/>
  <c r="F855" i="9"/>
  <c r="F854" i="9"/>
  <c r="F853" i="9"/>
  <c r="F852" i="9"/>
  <c r="F851" i="9"/>
  <c r="F850" i="9"/>
  <c r="F849" i="9"/>
  <c r="F848" i="9"/>
  <c r="F847" i="9"/>
  <c r="F846" i="9"/>
  <c r="F845" i="9"/>
  <c r="F844" i="9"/>
  <c r="F843" i="9"/>
  <c r="F842" i="9"/>
  <c r="F841" i="9"/>
  <c r="F840" i="9"/>
  <c r="F839" i="9"/>
  <c r="F838" i="9"/>
  <c r="F837" i="9"/>
  <c r="F836" i="9"/>
  <c r="F835" i="9"/>
  <c r="F834" i="9"/>
  <c r="F833" i="9"/>
  <c r="F832" i="9"/>
  <c r="F831" i="9"/>
  <c r="F830" i="9"/>
  <c r="F829" i="9"/>
  <c r="F828" i="9"/>
  <c r="F827" i="9"/>
  <c r="F826" i="9"/>
  <c r="F825" i="9"/>
  <c r="F824" i="9"/>
  <c r="F823" i="9"/>
  <c r="F822" i="9"/>
  <c r="F821" i="9"/>
  <c r="F820" i="9"/>
  <c r="F819" i="9"/>
  <c r="F818" i="9"/>
  <c r="F817" i="9"/>
  <c r="F816" i="9"/>
  <c r="F815" i="9"/>
  <c r="F814" i="9"/>
  <c r="F813" i="9"/>
  <c r="F812" i="9"/>
  <c r="F811" i="9"/>
  <c r="F810" i="9"/>
  <c r="F809" i="9"/>
  <c r="F808" i="9"/>
  <c r="F807" i="9"/>
  <c r="F806" i="9"/>
  <c r="F805" i="9"/>
  <c r="F804" i="9"/>
  <c r="F803" i="9"/>
  <c r="F802" i="9"/>
  <c r="F801" i="9"/>
  <c r="F800" i="9"/>
  <c r="F799" i="9"/>
  <c r="F798" i="9"/>
  <c r="F797" i="9"/>
  <c r="F796" i="9"/>
  <c r="F795" i="9"/>
  <c r="F794" i="9"/>
  <c r="F793" i="9"/>
  <c r="F792" i="9"/>
  <c r="F791" i="9"/>
  <c r="F790" i="9"/>
  <c r="F789" i="9"/>
  <c r="F788" i="9"/>
  <c r="F787" i="9"/>
  <c r="F786" i="9"/>
  <c r="F785" i="9"/>
  <c r="F784" i="9"/>
  <c r="F783" i="9"/>
  <c r="F782" i="9"/>
  <c r="F781" i="9"/>
  <c r="F780" i="9"/>
  <c r="F779" i="9"/>
  <c r="F778" i="9"/>
  <c r="F777" i="9"/>
  <c r="F776" i="9"/>
  <c r="F775" i="9"/>
  <c r="F774" i="9"/>
  <c r="F773" i="9"/>
  <c r="F772" i="9"/>
  <c r="F771" i="9"/>
  <c r="F770" i="9"/>
  <c r="F769" i="9"/>
  <c r="F768" i="9"/>
  <c r="F767" i="9"/>
  <c r="F766" i="9"/>
  <c r="F765" i="9"/>
  <c r="F764" i="9"/>
  <c r="F763" i="9"/>
  <c r="F762" i="9"/>
  <c r="F761" i="9"/>
  <c r="F760" i="9"/>
  <c r="F759" i="9"/>
  <c r="F758" i="9"/>
  <c r="F757" i="9"/>
  <c r="F756" i="9"/>
  <c r="F755" i="9"/>
  <c r="F754" i="9"/>
  <c r="F753" i="9"/>
  <c r="F752" i="9"/>
  <c r="F751" i="9"/>
  <c r="F750" i="9"/>
  <c r="F749" i="9"/>
  <c r="F748" i="9"/>
  <c r="F747" i="9"/>
  <c r="F746" i="9"/>
  <c r="F745" i="9"/>
  <c r="F744" i="9"/>
  <c r="F743" i="9"/>
  <c r="F742" i="9"/>
  <c r="F741" i="9"/>
  <c r="F740" i="9"/>
  <c r="F739" i="9"/>
  <c r="F738" i="9"/>
  <c r="F737" i="9"/>
  <c r="F736" i="9"/>
  <c r="F735" i="9"/>
  <c r="F734" i="9"/>
  <c r="F733" i="9"/>
  <c r="F732" i="9"/>
  <c r="F731" i="9"/>
  <c r="F730" i="9"/>
  <c r="F729" i="9"/>
  <c r="F728" i="9"/>
  <c r="F727" i="9"/>
  <c r="F726" i="9"/>
  <c r="F725" i="9"/>
  <c r="F724" i="9"/>
  <c r="F723" i="9"/>
  <c r="F722" i="9"/>
  <c r="F721" i="9"/>
  <c r="F720" i="9"/>
  <c r="F719" i="9"/>
  <c r="F718" i="9"/>
  <c r="F717" i="9"/>
  <c r="F716" i="9"/>
  <c r="F715" i="9"/>
  <c r="F714" i="9"/>
  <c r="F713" i="9"/>
  <c r="F712" i="9"/>
  <c r="F711" i="9"/>
  <c r="F710" i="9"/>
  <c r="F709" i="9"/>
  <c r="F708" i="9"/>
  <c r="F707" i="9"/>
  <c r="F706" i="9"/>
  <c r="F705" i="9"/>
  <c r="F704" i="9"/>
  <c r="F703" i="9"/>
  <c r="F702" i="9"/>
  <c r="F701" i="9"/>
  <c r="F700" i="9"/>
  <c r="F699" i="9"/>
  <c r="F698" i="9"/>
  <c r="F697" i="9"/>
  <c r="F696" i="9"/>
  <c r="F695" i="9"/>
  <c r="F694" i="9"/>
  <c r="F693" i="9"/>
  <c r="F692" i="9"/>
  <c r="F691" i="9"/>
  <c r="F690" i="9"/>
  <c r="F689" i="9"/>
  <c r="F688" i="9"/>
  <c r="F687" i="9"/>
  <c r="F686" i="9"/>
  <c r="F685" i="9"/>
  <c r="F684" i="9"/>
  <c r="F683" i="9"/>
  <c r="F682" i="9"/>
  <c r="F681" i="9"/>
  <c r="F680" i="9"/>
  <c r="F679" i="9"/>
  <c r="F678" i="9"/>
  <c r="F677" i="9"/>
  <c r="F676" i="9"/>
  <c r="F675" i="9"/>
  <c r="F674" i="9"/>
  <c r="F673" i="9"/>
  <c r="F672" i="9"/>
  <c r="F671" i="9"/>
  <c r="F670" i="9"/>
  <c r="F669" i="9"/>
  <c r="F668" i="9"/>
  <c r="F667" i="9"/>
  <c r="F666" i="9"/>
  <c r="F665" i="9"/>
  <c r="F664" i="9"/>
  <c r="F663" i="9"/>
  <c r="F662" i="9"/>
  <c r="F661" i="9"/>
  <c r="F660" i="9"/>
  <c r="F659" i="9"/>
  <c r="F658" i="9"/>
  <c r="F657" i="9"/>
  <c r="F656" i="9"/>
  <c r="F655" i="9"/>
  <c r="F654" i="9"/>
  <c r="F653" i="9"/>
  <c r="F652" i="9"/>
  <c r="F651" i="9"/>
  <c r="F650" i="9"/>
  <c r="F649" i="9"/>
  <c r="F648" i="9"/>
  <c r="F647" i="9"/>
  <c r="F646" i="9"/>
  <c r="F645" i="9"/>
  <c r="F644" i="9"/>
  <c r="F643" i="9"/>
  <c r="F642" i="9"/>
  <c r="F641" i="9"/>
  <c r="F640" i="9"/>
  <c r="F639" i="9"/>
  <c r="F638" i="9"/>
  <c r="F637" i="9"/>
  <c r="F636" i="9"/>
  <c r="F635" i="9"/>
  <c r="F634" i="9"/>
  <c r="F633" i="9"/>
  <c r="F632" i="9"/>
  <c r="F631" i="9"/>
  <c r="F630" i="9"/>
  <c r="F629" i="9"/>
  <c r="F628" i="9"/>
  <c r="F627" i="9"/>
  <c r="F626" i="9"/>
  <c r="F625" i="9"/>
  <c r="F624" i="9"/>
  <c r="F623" i="9"/>
  <c r="F622" i="9"/>
  <c r="F621" i="9"/>
  <c r="F620" i="9"/>
  <c r="F619" i="9"/>
  <c r="F618" i="9"/>
  <c r="F617" i="9"/>
  <c r="F616" i="9"/>
  <c r="F615" i="9"/>
  <c r="F614" i="9"/>
  <c r="F613" i="9"/>
  <c r="F612" i="9"/>
  <c r="F611" i="9"/>
  <c r="F610" i="9"/>
  <c r="F609" i="9"/>
  <c r="F608" i="9"/>
  <c r="F607" i="9"/>
  <c r="F606" i="9"/>
  <c r="F605" i="9"/>
  <c r="F604" i="9"/>
  <c r="F603" i="9"/>
  <c r="F602" i="9"/>
  <c r="F601" i="9"/>
  <c r="F600" i="9"/>
  <c r="F599" i="9"/>
  <c r="F598" i="9"/>
  <c r="F597" i="9"/>
  <c r="F596" i="9"/>
  <c r="F595" i="9"/>
  <c r="F594" i="9"/>
  <c r="F593" i="9"/>
  <c r="F592" i="9"/>
  <c r="F591" i="9"/>
  <c r="F590" i="9"/>
  <c r="F589" i="9"/>
  <c r="F588" i="9"/>
  <c r="F587" i="9"/>
  <c r="F586" i="9"/>
  <c r="F585" i="9"/>
  <c r="F584" i="9"/>
  <c r="F583" i="9"/>
  <c r="F582" i="9"/>
  <c r="F581" i="9"/>
  <c r="F580" i="9"/>
  <c r="F579" i="9"/>
  <c r="F578" i="9"/>
  <c r="F577" i="9"/>
  <c r="F576" i="9"/>
  <c r="F575" i="9"/>
  <c r="F574" i="9"/>
  <c r="F573" i="9"/>
  <c r="F572" i="9"/>
  <c r="F571" i="9"/>
  <c r="F570" i="9"/>
  <c r="F569" i="9"/>
  <c r="F568" i="9"/>
  <c r="F567" i="9"/>
  <c r="F566" i="9"/>
  <c r="F565" i="9"/>
  <c r="F564" i="9"/>
  <c r="F563" i="9"/>
  <c r="F562" i="9"/>
  <c r="F561" i="9"/>
  <c r="F560" i="9"/>
  <c r="F559" i="9"/>
  <c r="F558" i="9"/>
  <c r="F557" i="9"/>
  <c r="F556" i="9"/>
  <c r="F555" i="9"/>
  <c r="F554" i="9"/>
  <c r="F553" i="9"/>
  <c r="F552" i="9"/>
  <c r="F551" i="9"/>
  <c r="F550" i="9"/>
  <c r="F549" i="9"/>
  <c r="F548" i="9"/>
  <c r="F547" i="9"/>
  <c r="F546" i="9"/>
  <c r="F545" i="9"/>
  <c r="F544" i="9"/>
  <c r="F543" i="9"/>
  <c r="F542" i="9"/>
  <c r="F541" i="9"/>
  <c r="F540" i="9"/>
  <c r="F539" i="9"/>
  <c r="F538" i="9"/>
  <c r="F537" i="9"/>
  <c r="F536" i="9"/>
  <c r="F535" i="9"/>
  <c r="F534" i="9"/>
  <c r="F533" i="9"/>
  <c r="F532" i="9"/>
  <c r="F531" i="9"/>
  <c r="F530" i="9"/>
  <c r="F529" i="9"/>
  <c r="F528" i="9"/>
  <c r="F527" i="9"/>
  <c r="F526" i="9"/>
  <c r="F525" i="9"/>
  <c r="F524" i="9"/>
  <c r="F523" i="9"/>
  <c r="F522" i="9"/>
  <c r="F521" i="9"/>
  <c r="F520" i="9"/>
  <c r="F519" i="9"/>
  <c r="F518" i="9"/>
  <c r="F517" i="9"/>
  <c r="F516" i="9"/>
  <c r="F515" i="9"/>
  <c r="F514" i="9"/>
  <c r="F513" i="9"/>
  <c r="F512" i="9"/>
  <c r="F511" i="9"/>
  <c r="F510" i="9"/>
  <c r="F509" i="9"/>
  <c r="F508" i="9"/>
  <c r="F507" i="9"/>
  <c r="F506" i="9"/>
  <c r="F505" i="9"/>
  <c r="F504" i="9"/>
  <c r="F503" i="9"/>
  <c r="F502" i="9"/>
  <c r="F501" i="9"/>
  <c r="F500" i="9"/>
  <c r="F499" i="9"/>
  <c r="F498" i="9"/>
  <c r="F497" i="9"/>
  <c r="F496" i="9"/>
  <c r="F495" i="9"/>
  <c r="F494" i="9"/>
  <c r="F493" i="9"/>
  <c r="F492" i="9"/>
  <c r="F491" i="9"/>
  <c r="F490" i="9"/>
  <c r="F489" i="9"/>
  <c r="F488" i="9"/>
  <c r="F487" i="9"/>
  <c r="F486" i="9"/>
  <c r="F485" i="9"/>
  <c r="F484" i="9"/>
  <c r="F483" i="9"/>
  <c r="F482" i="9"/>
  <c r="F481" i="9"/>
  <c r="F480" i="9"/>
  <c r="F479" i="9"/>
  <c r="F478" i="9"/>
  <c r="F477" i="9"/>
  <c r="F476" i="9"/>
  <c r="F475" i="9"/>
  <c r="F474" i="9"/>
  <c r="F473" i="9"/>
  <c r="F472" i="9"/>
  <c r="F471" i="9"/>
  <c r="F470" i="9"/>
  <c r="F469" i="9"/>
  <c r="F468" i="9"/>
  <c r="F467" i="9"/>
  <c r="F466" i="9"/>
  <c r="F465" i="9"/>
  <c r="F464" i="9"/>
  <c r="F463" i="9"/>
  <c r="F462" i="9"/>
  <c r="F461" i="9"/>
  <c r="F460" i="9"/>
  <c r="F459" i="9"/>
  <c r="F458" i="9"/>
  <c r="F457" i="9"/>
  <c r="F456" i="9"/>
  <c r="F455" i="9"/>
  <c r="F454" i="9"/>
  <c r="F453" i="9"/>
  <c r="F452" i="9"/>
  <c r="F451" i="9"/>
  <c r="F450" i="9"/>
  <c r="F449" i="9"/>
  <c r="F448" i="9"/>
  <c r="F447" i="9"/>
  <c r="F446" i="9"/>
  <c r="F445" i="9"/>
  <c r="F444" i="9"/>
  <c r="F443" i="9"/>
  <c r="F442" i="9"/>
  <c r="F441" i="9"/>
  <c r="F440" i="9"/>
  <c r="F439" i="9"/>
  <c r="F438" i="9"/>
  <c r="F437" i="9"/>
  <c r="F436" i="9"/>
  <c r="F435" i="9"/>
  <c r="F434" i="9"/>
  <c r="F433" i="9"/>
  <c r="F432" i="9"/>
  <c r="F431" i="9"/>
  <c r="F430" i="9"/>
  <c r="F429" i="9"/>
  <c r="F428" i="9"/>
  <c r="F427" i="9"/>
  <c r="F426" i="9"/>
  <c r="F425" i="9"/>
  <c r="F424" i="9"/>
  <c r="F423" i="9"/>
  <c r="F422" i="9"/>
  <c r="F421" i="9"/>
  <c r="F420" i="9"/>
  <c r="F419" i="9"/>
  <c r="F418" i="9"/>
  <c r="F417" i="9"/>
  <c r="F416" i="9"/>
  <c r="F415" i="9"/>
  <c r="F414" i="9"/>
  <c r="F413" i="9"/>
  <c r="F412" i="9"/>
  <c r="F411" i="9"/>
  <c r="F410" i="9"/>
  <c r="F409" i="9"/>
  <c r="F408" i="9"/>
  <c r="F407" i="9"/>
  <c r="F406" i="9"/>
  <c r="F405" i="9"/>
  <c r="F404" i="9"/>
  <c r="F403" i="9"/>
  <c r="F402" i="9"/>
  <c r="F401" i="9"/>
  <c r="F400" i="9"/>
  <c r="F399" i="9"/>
  <c r="F398" i="9"/>
  <c r="F397" i="9"/>
  <c r="F396" i="9"/>
  <c r="F395" i="9"/>
  <c r="F394" i="9"/>
  <c r="F393" i="9"/>
  <c r="F392" i="9"/>
  <c r="F391" i="9"/>
  <c r="F390" i="9"/>
  <c r="F389" i="9"/>
  <c r="F388" i="9"/>
  <c r="F387" i="9"/>
  <c r="F386" i="9"/>
  <c r="F385" i="9"/>
  <c r="F384" i="9"/>
  <c r="F383" i="9"/>
  <c r="F382" i="9"/>
  <c r="F381" i="9"/>
  <c r="F380" i="9"/>
  <c r="F379" i="9"/>
  <c r="F378" i="9"/>
  <c r="F377" i="9"/>
  <c r="F376" i="9"/>
  <c r="F375" i="9"/>
  <c r="F374" i="9"/>
  <c r="F373" i="9"/>
  <c r="F372" i="9"/>
  <c r="F371" i="9"/>
  <c r="F370" i="9"/>
  <c r="F369" i="9"/>
  <c r="F368" i="9"/>
  <c r="F367" i="9"/>
  <c r="F366" i="9"/>
  <c r="F365" i="9"/>
  <c r="F364" i="9"/>
  <c r="F363" i="9"/>
  <c r="F362" i="9"/>
  <c r="F361" i="9"/>
  <c r="F360" i="9"/>
  <c r="F359" i="9"/>
  <c r="F358" i="9"/>
  <c r="F357" i="9"/>
  <c r="F356" i="9"/>
  <c r="F355" i="9"/>
  <c r="F354" i="9"/>
  <c r="F353" i="9"/>
  <c r="F352" i="9"/>
  <c r="F351" i="9"/>
  <c r="F350" i="9"/>
  <c r="F349" i="9"/>
  <c r="F348" i="9"/>
  <c r="F347" i="9"/>
  <c r="F346" i="9"/>
  <c r="F345" i="9"/>
  <c r="F344" i="9"/>
  <c r="F343" i="9"/>
  <c r="F342" i="9"/>
  <c r="F341" i="9"/>
  <c r="F340" i="9"/>
  <c r="F339" i="9"/>
  <c r="F338" i="9"/>
  <c r="F337" i="9"/>
  <c r="F336" i="9"/>
  <c r="F335" i="9"/>
  <c r="F334" i="9"/>
  <c r="F333" i="9"/>
  <c r="F332" i="9"/>
  <c r="F331" i="9"/>
  <c r="F330" i="9"/>
  <c r="F329" i="9"/>
  <c r="F328" i="9"/>
  <c r="F327" i="9"/>
  <c r="F326" i="9"/>
  <c r="F325" i="9"/>
  <c r="F324" i="9"/>
  <c r="F323" i="9"/>
  <c r="F322" i="9"/>
  <c r="F321" i="9"/>
  <c r="F320" i="9"/>
  <c r="F319" i="9"/>
  <c r="F318" i="9"/>
  <c r="F317" i="9"/>
  <c r="F316" i="9"/>
  <c r="F315" i="9"/>
  <c r="F314" i="9"/>
  <c r="F313" i="9"/>
  <c r="F312" i="9"/>
  <c r="F311" i="9"/>
  <c r="F310" i="9"/>
  <c r="F309" i="9"/>
  <c r="F308" i="9"/>
  <c r="F307" i="9"/>
  <c r="F306" i="9"/>
  <c r="F305" i="9"/>
  <c r="F304" i="9"/>
  <c r="F303" i="9"/>
  <c r="F302" i="9"/>
  <c r="F301" i="9"/>
  <c r="F300" i="9"/>
  <c r="F299" i="9"/>
  <c r="F298" i="9"/>
  <c r="F297" i="9"/>
  <c r="F296" i="9"/>
  <c r="F295" i="9"/>
  <c r="F294" i="9"/>
  <c r="F293" i="9"/>
  <c r="F292" i="9"/>
  <c r="F291" i="9"/>
  <c r="F290" i="9"/>
  <c r="F289" i="9"/>
  <c r="F288" i="9"/>
  <c r="F287" i="9"/>
  <c r="F286" i="9"/>
  <c r="F285" i="9"/>
  <c r="F284" i="9"/>
  <c r="F283" i="9"/>
  <c r="F282" i="9"/>
  <c r="F281" i="9"/>
  <c r="F280" i="9"/>
  <c r="F279" i="9"/>
  <c r="F278" i="9"/>
  <c r="F277" i="9"/>
  <c r="F276" i="9"/>
  <c r="F275" i="9"/>
  <c r="F274" i="9"/>
  <c r="F273" i="9"/>
  <c r="F272" i="9"/>
  <c r="F271" i="9"/>
  <c r="F270" i="9"/>
  <c r="F269" i="9"/>
  <c r="F268" i="9"/>
  <c r="F267" i="9"/>
  <c r="F266" i="9"/>
  <c r="F265" i="9"/>
  <c r="F264" i="9"/>
  <c r="F263" i="9"/>
  <c r="F262" i="9"/>
  <c r="F261" i="9"/>
  <c r="F260" i="9"/>
  <c r="F259" i="9"/>
  <c r="F258" i="9"/>
  <c r="F257" i="9"/>
  <c r="F256" i="9"/>
  <c r="F255" i="9"/>
  <c r="F254" i="9"/>
  <c r="F253" i="9"/>
  <c r="F252" i="9"/>
  <c r="F251" i="9"/>
  <c r="F250" i="9"/>
  <c r="F249" i="9"/>
  <c r="F248" i="9"/>
  <c r="F247" i="9"/>
  <c r="F246" i="9"/>
  <c r="F245" i="9"/>
  <c r="F244" i="9"/>
  <c r="F243" i="9"/>
  <c r="F242" i="9"/>
  <c r="F241" i="9"/>
  <c r="F240" i="9"/>
  <c r="F239" i="9"/>
  <c r="F238" i="9"/>
  <c r="F237" i="9"/>
  <c r="F236" i="9"/>
  <c r="F235" i="9"/>
  <c r="F234" i="9"/>
  <c r="F233" i="9"/>
  <c r="F232" i="9"/>
  <c r="F231" i="9"/>
  <c r="F230" i="9"/>
  <c r="F229" i="9"/>
  <c r="F228" i="9"/>
  <c r="F227" i="9"/>
  <c r="F226" i="9"/>
  <c r="F225" i="9"/>
  <c r="F224" i="9"/>
  <c r="F223" i="9"/>
  <c r="F222" i="9"/>
  <c r="F221" i="9"/>
  <c r="F220" i="9"/>
  <c r="F219" i="9"/>
  <c r="F218" i="9"/>
  <c r="F217" i="9"/>
  <c r="F216" i="9"/>
  <c r="F215" i="9"/>
  <c r="F214" i="9"/>
  <c r="F213" i="9"/>
  <c r="F212" i="9"/>
  <c r="F211" i="9"/>
  <c r="F210" i="9"/>
  <c r="F209" i="9"/>
  <c r="F208" i="9"/>
  <c r="F207" i="9"/>
  <c r="F206" i="9"/>
  <c r="F205" i="9"/>
  <c r="F204" i="9"/>
  <c r="F203" i="9"/>
  <c r="F202" i="9"/>
  <c r="F201" i="9"/>
  <c r="F200" i="9"/>
  <c r="F199" i="9"/>
  <c r="F198" i="9"/>
  <c r="F197" i="9"/>
  <c r="F196" i="9"/>
  <c r="F195" i="9"/>
  <c r="F194" i="9"/>
  <c r="F193" i="9"/>
  <c r="F192" i="9"/>
  <c r="F191" i="9"/>
  <c r="F190" i="9"/>
  <c r="F189" i="9"/>
  <c r="F188" i="9"/>
  <c r="F187" i="9"/>
  <c r="F186" i="9"/>
  <c r="F185" i="9"/>
  <c r="F184" i="9"/>
  <c r="F183" i="9"/>
  <c r="F182" i="9"/>
  <c r="F181" i="9"/>
  <c r="F180" i="9"/>
  <c r="F179" i="9"/>
  <c r="F178" i="9"/>
  <c r="F177" i="9"/>
  <c r="F176" i="9"/>
  <c r="F175" i="9"/>
  <c r="F174" i="9"/>
  <c r="F173" i="9"/>
  <c r="F172" i="9"/>
  <c r="F171" i="9"/>
  <c r="F170" i="9"/>
  <c r="F169" i="9"/>
  <c r="F168" i="9"/>
  <c r="F167" i="9"/>
  <c r="F166" i="9"/>
  <c r="F165" i="9"/>
  <c r="F164" i="9"/>
  <c r="F163" i="9"/>
  <c r="F162" i="9"/>
  <c r="F161" i="9"/>
  <c r="F160" i="9"/>
  <c r="F159" i="9"/>
  <c r="F158" i="9"/>
  <c r="F157" i="9"/>
  <c r="F156" i="9"/>
  <c r="F155" i="9"/>
  <c r="F154" i="9"/>
  <c r="F153" i="9"/>
  <c r="F152" i="9"/>
  <c r="F151" i="9"/>
  <c r="F150" i="9"/>
  <c r="F149" i="9"/>
  <c r="F148" i="9"/>
  <c r="F147" i="9"/>
  <c r="F146" i="9"/>
  <c r="F145" i="9"/>
  <c r="F144" i="9"/>
  <c r="F143" i="9"/>
  <c r="F142" i="9"/>
  <c r="F141" i="9"/>
  <c r="F140" i="9"/>
  <c r="F139" i="9"/>
  <c r="F138" i="9"/>
  <c r="F137" i="9"/>
  <c r="F136" i="9"/>
  <c r="F135" i="9"/>
  <c r="F134" i="9"/>
  <c r="F133" i="9"/>
  <c r="F132" i="9"/>
  <c r="F131" i="9"/>
  <c r="F130" i="9"/>
  <c r="F129" i="9"/>
  <c r="F128" i="9"/>
  <c r="F127" i="9"/>
  <c r="F126" i="9"/>
  <c r="F125" i="9"/>
  <c r="F124" i="9"/>
  <c r="F123" i="9"/>
  <c r="F122" i="9"/>
  <c r="F121" i="9"/>
  <c r="F120" i="9"/>
  <c r="F119" i="9"/>
  <c r="F118" i="9"/>
  <c r="F117" i="9"/>
  <c r="F116" i="9"/>
  <c r="F115" i="9"/>
  <c r="F114" i="9"/>
  <c r="F113" i="9"/>
  <c r="F112" i="9"/>
  <c r="F111" i="9"/>
  <c r="F110" i="9"/>
  <c r="F109" i="9"/>
  <c r="F108" i="9"/>
  <c r="F107" i="9"/>
  <c r="F106" i="9"/>
  <c r="F105" i="9"/>
  <c r="F104" i="9"/>
  <c r="F103" i="9"/>
  <c r="F102" i="9"/>
  <c r="F101" i="9"/>
  <c r="F100" i="9"/>
  <c r="F99" i="9"/>
  <c r="F98" i="9"/>
  <c r="F97" i="9"/>
  <c r="F96" i="9"/>
  <c r="F95" i="9"/>
  <c r="F94" i="9"/>
  <c r="F93" i="9"/>
  <c r="F92" i="9"/>
  <c r="F91" i="9"/>
  <c r="F90" i="9"/>
  <c r="F89" i="9"/>
  <c r="F88" i="9"/>
  <c r="F87" i="9"/>
  <c r="F86" i="9"/>
  <c r="F85" i="9"/>
  <c r="F84" i="9"/>
  <c r="F83" i="9"/>
  <c r="F82" i="9"/>
  <c r="F81" i="9"/>
  <c r="F80" i="9"/>
  <c r="F79" i="9"/>
  <c r="F78" i="9"/>
  <c r="F77" i="9"/>
  <c r="F76" i="9"/>
  <c r="F75" i="9"/>
  <c r="F74" i="9"/>
  <c r="F73" i="9"/>
  <c r="F72" i="9"/>
  <c r="F71" i="9"/>
  <c r="F70" i="9"/>
  <c r="F69" i="9"/>
  <c r="F68" i="9"/>
  <c r="F67" i="9"/>
  <c r="F66" i="9"/>
  <c r="F65" i="9"/>
  <c r="F64" i="9"/>
  <c r="F63" i="9"/>
  <c r="F62" i="9"/>
  <c r="F61" i="9"/>
  <c r="F60" i="9"/>
  <c r="F59" i="9"/>
  <c r="F58" i="9"/>
  <c r="F57" i="9"/>
  <c r="F56" i="9"/>
  <c r="F55" i="9"/>
  <c r="F54" i="9"/>
  <c r="F53" i="9"/>
  <c r="F52" i="9"/>
  <c r="F51" i="9"/>
  <c r="F50" i="9"/>
  <c r="F49" i="9"/>
  <c r="F48" i="9"/>
  <c r="F47" i="9"/>
  <c r="F46" i="9"/>
  <c r="F45" i="9"/>
  <c r="F44" i="9"/>
  <c r="F43" i="9"/>
  <c r="F42" i="9"/>
  <c r="F41" i="9"/>
  <c r="F40" i="9"/>
  <c r="F39" i="9"/>
  <c r="F38" i="9"/>
  <c r="F37" i="9"/>
  <c r="F36" i="9"/>
  <c r="F35" i="9"/>
  <c r="F34" i="9"/>
  <c r="F32" i="9"/>
  <c r="F31" i="9"/>
  <c r="F30" i="9"/>
  <c r="F29" i="9"/>
  <c r="F28" i="9"/>
  <c r="F27" i="9"/>
  <c r="F26" i="9"/>
  <c r="F25" i="9"/>
  <c r="F24" i="9"/>
  <c r="F23" i="9"/>
  <c r="F22" i="9"/>
  <c r="F21" i="9"/>
  <c r="F20" i="9"/>
  <c r="F19" i="9"/>
  <c r="F18" i="9"/>
  <c r="F17" i="9"/>
  <c r="F16" i="9"/>
  <c r="F16" i="7"/>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F84" i="7"/>
  <c r="F85" i="7"/>
  <c r="F86" i="7"/>
  <c r="F87" i="7"/>
  <c r="F88" i="7"/>
  <c r="F89" i="7"/>
  <c r="F90" i="7"/>
  <c r="F91" i="7"/>
  <c r="F92" i="7"/>
  <c r="F93" i="7"/>
  <c r="F94" i="7"/>
  <c r="F95" i="7"/>
  <c r="F96" i="7"/>
  <c r="F97" i="7"/>
  <c r="F98" i="7"/>
  <c r="F99" i="7"/>
  <c r="F100" i="7"/>
  <c r="F101" i="7"/>
  <c r="F102" i="7"/>
  <c r="F103" i="7"/>
  <c r="F104" i="7"/>
  <c r="F105" i="7"/>
  <c r="F107" i="7"/>
  <c r="F108" i="7"/>
  <c r="B12" i="7"/>
  <c r="B12" i="9"/>
  <c r="B12" i="1"/>
</calcChain>
</file>

<file path=xl/sharedStrings.xml><?xml version="1.0" encoding="utf-8"?>
<sst xmlns="http://schemas.openxmlformats.org/spreadsheetml/2006/main" count="13491" uniqueCount="4579">
  <si>
    <t>UNIT #</t>
  </si>
  <si>
    <t>DEFECT</t>
  </si>
  <si>
    <t>INITATED DATE</t>
  </si>
  <si>
    <t>DATE AVAILABLE</t>
  </si>
  <si>
    <t>RETURN DATE</t>
  </si>
  <si>
    <t>RETURN TIME</t>
  </si>
  <si>
    <t>PROBLEM</t>
  </si>
  <si>
    <t>DATE COMPLETED</t>
  </si>
  <si>
    <t>Air Compressor</t>
  </si>
  <si>
    <t>Air Lines</t>
  </si>
  <si>
    <t>Battery</t>
  </si>
  <si>
    <t>Body</t>
  </si>
  <si>
    <t>Brake Accessories</t>
  </si>
  <si>
    <t>Parking Brakes</t>
  </si>
  <si>
    <t>Service Brakes</t>
  </si>
  <si>
    <t>Clutch</t>
  </si>
  <si>
    <t>Coupling Devices</t>
  </si>
  <si>
    <t>Defroster or Heater</t>
  </si>
  <si>
    <t>Drive Line</t>
  </si>
  <si>
    <t>Engine</t>
  </si>
  <si>
    <t>Exhaust</t>
  </si>
  <si>
    <t>Fifth Wheel</t>
  </si>
  <si>
    <t>Horn</t>
  </si>
  <si>
    <t>Lights</t>
  </si>
  <si>
    <t>Mirrors</t>
  </si>
  <si>
    <t>Muffler</t>
  </si>
  <si>
    <t>Oil Pressure</t>
  </si>
  <si>
    <t>Radiator</t>
  </si>
  <si>
    <t>Rear End</t>
  </si>
  <si>
    <t>Reflectors</t>
  </si>
  <si>
    <t>Safety Equipment</t>
  </si>
  <si>
    <t>Suspension System</t>
  </si>
  <si>
    <t>Starter</t>
  </si>
  <si>
    <t>Steering</t>
  </si>
  <si>
    <t>Tachograph</t>
  </si>
  <si>
    <t>Tires</t>
  </si>
  <si>
    <t>Transmission</t>
  </si>
  <si>
    <t>Wheels and Rims</t>
  </si>
  <si>
    <t>Windows</t>
  </si>
  <si>
    <t>Windshield Wipers</t>
  </si>
  <si>
    <t>Other</t>
  </si>
  <si>
    <t>YES</t>
  </si>
  <si>
    <t>NO</t>
  </si>
  <si>
    <t>EDVIR LOG</t>
  </si>
  <si>
    <t>SLEEMAN COMMENTS</t>
  </si>
  <si>
    <t>TIME AVAILABLE FOR SERVICE</t>
  </si>
  <si>
    <t>URGENCY LEVEL</t>
  </si>
  <si>
    <t>Row Labels</t>
  </si>
  <si>
    <t>Grand Total</t>
  </si>
  <si>
    <t>LENGTH OF TIME IT'S BEEN REPORTED</t>
  </si>
  <si>
    <t>Average of LENGTH OF TIME IT'S BEEN REPORTED</t>
  </si>
  <si>
    <t>REPLACED BULB</t>
  </si>
  <si>
    <t>NO ISSUE FOUND</t>
  </si>
  <si>
    <t>LIC PLATE LIGHT OUT</t>
  </si>
  <si>
    <t>ABS LIGHT ON</t>
  </si>
  <si>
    <t>REPLACED LIGHT</t>
  </si>
  <si>
    <t>REPAIRED LINE</t>
  </si>
  <si>
    <t>REPAIRED WIRING</t>
  </si>
  <si>
    <t>LICENSE PLATE LIGHT OUT</t>
  </si>
  <si>
    <t>RETORQUE STEER AXLE BOTH SIDES</t>
  </si>
  <si>
    <t>OTHER</t>
  </si>
  <si>
    <t>REPLACED VALVE</t>
  </si>
  <si>
    <t>LIGHTS</t>
  </si>
  <si>
    <t>REPAIRED LIGHT</t>
  </si>
  <si>
    <t>PASSENGER SIDE FENDER MARKER LIGHT FLICKERS AND GOES DIM - TURN SIGNAL PORTION WORKS FINE</t>
  </si>
  <si>
    <t>REAR DRIVERS SIDE BRAKE LIGHT NOT FUNCTIONING WITH LIGHTS</t>
  </si>
  <si>
    <t>REPLACED LIGHT ASSEMBLY</t>
  </si>
  <si>
    <t>COMPLETED BY ELITE 3/2/20</t>
  </si>
  <si>
    <t>TRUCK PULLS TO LEFT WHEN BRAKING - NEEDS STEER AXLE BRAKES</t>
  </si>
  <si>
    <t>ELITE REPAIRS</t>
  </si>
  <si>
    <t>NO BRAKE FLUID IN RESIVIOR - NO FLUID PUDDLING AROUND VEHICLE</t>
  </si>
  <si>
    <t>AIR LINE HOLD BACK SPRING OVER FIRST AXLE IS MISSING - AIR LINES SITTING ON AXLE</t>
  </si>
  <si>
    <t>DRAIN VALVE PULL CORD FOR REAR AIR TANK IS MISSING</t>
  </si>
  <si>
    <t>RETORQUE ALL WHEELS BOTH SIDE - FROM ANNUAL INSPECTION</t>
  </si>
  <si>
    <t>REPLACED DRAIN VALVE</t>
  </si>
  <si>
    <t>RETORQUE COMPLETED</t>
  </si>
  <si>
    <t>REPLACED SPRING</t>
  </si>
  <si>
    <t>DRIVER SIDE REAR TAIL LIGHT FELL OUT - CURRENTLY HELD IN PLACE WITH A PAPERCLIP</t>
  </si>
  <si>
    <t>TOP HINGE ON PASSENGER SIDE BARN DOOR IS BROKEN</t>
  </si>
  <si>
    <t>DUE FOR ANNUAL INSPECTION IN MARCH 2020</t>
  </si>
  <si>
    <t>DRIVERS SIDE BACKUP LIGHT REAR OF TRAILER AT TOP IS BROKEN WHERE MOUNTS TO TRAILER</t>
  </si>
  <si>
    <t xml:space="preserve">REPLACED RIVETS  </t>
  </si>
  <si>
    <t>REPLACED HINGE</t>
  </si>
  <si>
    <t xml:space="preserve"> DOLLY LEG APRONS ON BOTH SIDES ARE BENT - PLEASE LOOK AT THESE AND THEN MAYBE WE CAN DISCUSS OPTIONS FOR REPAIR OR REPLACEMENT</t>
  </si>
  <si>
    <t>RIGHT SIDE REAR SIGNAL LIGHT HAS FALLEN OUT</t>
  </si>
  <si>
    <t>REPLACED SCREWS</t>
  </si>
  <si>
    <t>PARTS ON ORDER 3/2/20 - REPLCED FROMT BRAKES AND DRUM</t>
  </si>
  <si>
    <t>FOUND BROKEN BRAKE LINE - ALL LINES NEED TO BE REPLACED, PARTS ON ORDER 3/4/20 - REPALCED FRONT AND REAR BRAKE LINES</t>
  </si>
  <si>
    <t>REPLACED REVERSE LIGHT</t>
  </si>
  <si>
    <t>AIR VALVE LEAKING NEAR LIFT AXLE. THIS VALVE ONLY LEAKS WHEN LIFT AXLE IS DOWN</t>
  </si>
  <si>
    <t>NO FAULT FOUND 3/6/20, DRIVER REPORTED THIS IS STILL AN ISSUE 3/9/20</t>
  </si>
  <si>
    <t>AIR VALVE LEAKING NEAR LIFT AXLE - DRIVER COULD NOT LOCATE LEAK - LIFT AXLE NEEDS TO BE DOWN TO HEAR LEAK - VALVE IS LOCATED ON DRIVERS SIDE FRAME RAIL</t>
  </si>
  <si>
    <t>RIGHT REAR BRAKE CHAMBER LEAKING AT LOWER AIR LINE - DRIVER PLACED A ZIP TIE ON THE LEAKING LINE.</t>
  </si>
  <si>
    <t>REAR UPPER MARKER LIGHT OUT</t>
  </si>
  <si>
    <t>NEEDS FRONT AXLE SENSOR</t>
  </si>
  <si>
    <t>RETORQUES STEER AXLE</t>
  </si>
  <si>
    <t>RETORQUE 1ST AXLE BOTH SIDES</t>
  </si>
  <si>
    <t>RETORQUES 1ST AXLE</t>
  </si>
  <si>
    <t>NO ISSUE FOUND - ALLL LIGHTS WORKING</t>
  </si>
  <si>
    <t>FRONT LOWER RIGHT SIDE MARKER LIGHT HAS LOOSE WIRE - LIGHT FLICKERS</t>
  </si>
  <si>
    <t>DOLLY LEG WING PLATE BENT ON PASSENGER SIDE</t>
  </si>
  <si>
    <t>TRAILER NEEDS $10,000 WORTH OF REPAIRS - NOT REPAIRING AT THIS TIME</t>
  </si>
  <si>
    <t>RIGHT SIDE BARN DOOR DAMAGED AT LOWER HINGE - PLEASE ESIMATE REPAIRS FIRST - WE WOULD PREFER PATCH IF POSSIBLE</t>
  </si>
  <si>
    <t>AIR LEAK FROM LIFT AXLE, RIGHT SIDE</t>
  </si>
  <si>
    <t>RIGHT SIDE DOLLY APRON AND CROSSMEMBER BENT</t>
  </si>
  <si>
    <t>BLOWN AIR BAG…TRAILER IN OTTAWA</t>
  </si>
  <si>
    <t>LANDING GEAR NEEDS LUB</t>
  </si>
  <si>
    <t>NEEDS RETOURQUE</t>
  </si>
  <si>
    <t>THIS TRAILER IS AT OUR YARD ON CLAIR ROAD</t>
  </si>
  <si>
    <t>THIS TRAILER IS IN OUR YARD ON CLAIR ROAD</t>
  </si>
  <si>
    <t>THIS TRAILER WILL BE AT 505 SOUTHGATE AFTER 5PM TODAY</t>
  </si>
  <si>
    <t>THIS TRUCK IS HERE AT 505 SOUTHGATE</t>
  </si>
  <si>
    <t>THIS TRAILER IS AT THE BRAMPTON DC</t>
  </si>
  <si>
    <t>COMPLETED AT BRAMPTON DC</t>
  </si>
  <si>
    <t>TRUCK 1817 HAD PUNCURED TIRE</t>
  </si>
  <si>
    <t>THIS TRAILER IS AT OTTAWA DC…AIR BAGS WILL BE THERE FOR 11AM TUESDAY</t>
  </si>
  <si>
    <t>NO ISSUE FOUND, NO CODES STORED</t>
  </si>
  <si>
    <t>INSPECTION COMPLETE 3/21/20</t>
  </si>
  <si>
    <t>DRIVER BROUGHT NEW AIR BAG WITH HIM ON MARCH 24 2020 - REPLACED AIR BAG IN OTTAWA</t>
  </si>
  <si>
    <t>BRACKET TO HOLD UP 2ND AXLE AIR LINES IS CORRODED - AIR LINES DRAGGING ON AXLE AND HAVE WORN FLAT SPOTS IN LINES.</t>
  </si>
  <si>
    <t>LEFT SIDE DIRECTIONAL ARROW HAS ONE BURNT BULB</t>
  </si>
  <si>
    <t>INTERIOR LIGHTS NOT WORKING</t>
  </si>
  <si>
    <t>DOWN BAG PEDESTAL BROKEN ON PASSENGER SIDE LIFT AXLE.</t>
  </si>
  <si>
    <t>LIFT AXLE NOT WORKING - THIS TRIALER HAS NOT BEEN USED SINCE SAFETIED</t>
  </si>
  <si>
    <t>1ST AXLE, DRIVERS SIDE HUB GLASS IS CLOUDY AND HARD TO READ</t>
  </si>
  <si>
    <t>REAR AIR TANK DRAIN VALVE STICKING AND LEAKING</t>
  </si>
  <si>
    <t>MULTIPLE CRACKS IN LEFT REAR HANGER BRACKET</t>
  </si>
  <si>
    <t>LIFT AXLE UP BAG CRACKED ALL AROUND BOTTOM EDGE OF BAG</t>
  </si>
  <si>
    <t>LEFT SIDE LOWER REAR LIGHT BROKEN</t>
  </si>
  <si>
    <t>7-WAY RECEPTICAL NEEDS REPLACED</t>
  </si>
  <si>
    <t>REPLACED RECEPTICAL</t>
  </si>
  <si>
    <t>SOLENOID WIRE IS BROKEN AT SOLENOID - LIKE PART OF A GREATER ISSUE WITH THE REVERSOMATIC - LIFT AXLES STILL WORKS MANUALLY</t>
  </si>
  <si>
    <t>REPLACED HUB COVER AND DRAINED AND REPLACED OIL</t>
  </si>
  <si>
    <t>REPLACED SWITCH IN TRAILER</t>
  </si>
  <si>
    <t>REPLACED HOLD BACK CLIP - REPOSITIONED LINES</t>
  </si>
  <si>
    <t>RE-TORQUE 3RD AXLE LEFT SIDE</t>
  </si>
  <si>
    <t>REPAIRED 3/30/20</t>
  </si>
  <si>
    <t>LIFT AXLE NOT GOING UP IN REVERSE</t>
  </si>
  <si>
    <t>RETORQUE ALL WHEELS BOTH SIDES - FROM ANNUAL INSPECTION</t>
  </si>
  <si>
    <t>TOP LEFT FRONT CLEARANCE LIGHT OUT</t>
  </si>
  <si>
    <t>MARKER LIGHTS NOT WORKING - BROKEN WIRE VISIBLE AT FRONT OF TRAILER</t>
  </si>
  <si>
    <t>DUE FOR AMMUAL INSPECTION IN APRIL</t>
  </si>
  <si>
    <t>DUE FOR ANNUAL INSPECTION IN APRIL</t>
  </si>
  <si>
    <t>BREATHER LIGHT OUT ON RIGHT SIDE</t>
  </si>
  <si>
    <t>PULL CORD ON REAR AIR TANK IS BROKEN</t>
  </si>
  <si>
    <t>LIFT AXLE NOT LIFTING AND LIFT AXLE BRAKES NOT RELEASING</t>
  </si>
  <si>
    <t>COMPLETED IN YARD</t>
  </si>
  <si>
    <t>RE-TORQUE 3RD AND 4TH AXLES BOTH SIDES - REPORTED BY OK TIRE</t>
  </si>
  <si>
    <t>RE-TORQUE 2ND AND 3RD AXLE BOTH SIDES - REPORTED BY OK TIRE</t>
  </si>
  <si>
    <t>RETORQUE R/S 2ND AXLE - REPORTED BY OK TIRE</t>
  </si>
  <si>
    <t>RE-TORQUE 3RD AXLE BOTH SIDES - REPORTED BY OK TIRE</t>
  </si>
  <si>
    <t>BRAKE LINES DRAGGING ON 2ND AXLE</t>
  </si>
  <si>
    <t>REPLACED DRAIN VALVE WITH CORD</t>
  </si>
  <si>
    <t>COMPLETED BY ELITE</t>
  </si>
  <si>
    <t>REPLACED BREATHER LIGHT</t>
  </si>
  <si>
    <t>REPAIRED BROKEN WIRE</t>
  </si>
  <si>
    <t>FRONT LOWER LEFT SIDE AND LOWER MID MARKER LIGHTS OUT</t>
  </si>
  <si>
    <t>REPAIRED WIRING AND REPLACED LIGHTS</t>
  </si>
  <si>
    <t>RETORQUE ALL AXLES BOTH SIDES FROM SAFETY</t>
  </si>
  <si>
    <t>PLEASE GREASE LANDING GEAR - EXTREMELY HARD TO CRANK</t>
  </si>
  <si>
    <t>LIC. PLATE LIGHT SMASHED</t>
  </si>
  <si>
    <t>BREATHER AND SKIRT LIGHTS NOT WORKING - KEEPS BLOWING FUSES</t>
  </si>
  <si>
    <t>REVERSE LIGHTS BOTH MISSISNG SCREWS - RIGHTS SIDE HELD ON BY CABE TIES AND LEFT SIDE MISSING ONE SCREW</t>
  </si>
  <si>
    <t>DRAIN VALVE LEAKING ON FIRST AXLE AIR TANK.</t>
  </si>
  <si>
    <r>
      <t xml:space="preserve">DUE FOR ANNUAL INSPECTION IN APRIL </t>
    </r>
    <r>
      <rPr>
        <b/>
        <sz val="10"/>
        <rFont val="Calibri"/>
        <family val="2"/>
        <scheme val="minor"/>
      </rPr>
      <t>- PLEASE QUOTE ONLY</t>
    </r>
    <r>
      <rPr>
        <sz val="10"/>
        <rFont val="Calibri"/>
        <family val="2"/>
        <scheme val="minor"/>
      </rPr>
      <t xml:space="preserve"> - 5000+ -</t>
    </r>
    <r>
      <rPr>
        <b/>
        <sz val="10"/>
        <rFont val="Calibri"/>
        <family val="2"/>
        <scheme val="minor"/>
      </rPr>
      <t xml:space="preserve"> DO NOT COMPLETE - PARK TRAILER AT END OF APRIL 2020</t>
    </r>
  </si>
  <si>
    <t>BLOWN AIR BAG 2ND AXLE RIGHT SIDE</t>
  </si>
  <si>
    <t xml:space="preserve">WHEN LIFT AXLE IS ENGAGED THE ABS LIGHT COMES ON AND THE INTERIOR LIGHTS WORK INTERMITENTLY </t>
  </si>
  <si>
    <t>RETORQUE NOT NEEDED - WHEELS CAME OFF AT HUB</t>
  </si>
  <si>
    <t>REPAIRED LIGHTS</t>
  </si>
  <si>
    <t>NO FAULT FOUND - THESE ARE BRAND NEW DOLLY LEGS</t>
  </si>
  <si>
    <t>REPAIRED WIRING BUT STILL NEEDS 4 LIGHTS REPLACED - PARTS ON ORDER 4/11/20</t>
  </si>
  <si>
    <t>HUB ON FIRST AXLE ON PASSENGER SIDE IS LEAKING FROM SEAL</t>
  </si>
  <si>
    <t xml:space="preserve">DRIVER SIDE SCUFF RAIL BEHIND REAR AXLE IS CORRODED AND CROSS MEMBER IS STARTING TO PUSH THROUGH </t>
  </si>
  <si>
    <t>THIS IS VERY SLIGHT BEND - NO STRUCTURAL ISSUES - NO ACTION TAKEN</t>
  </si>
  <si>
    <t>VERY SLIGHT BEND IN APRON - NO STRUCTURAL ISSUES - NO ACTION TAKEN</t>
  </si>
  <si>
    <t>REPAIRED O BAR REMOVED AND SPRING REMOUNTED</t>
  </si>
  <si>
    <t>REAR CLEARANCE LIGHT OUT ON DRIVER'S SIDE</t>
  </si>
  <si>
    <t xml:space="preserve">BRAKE LINE ON 2ND AXLE DRIVERS SIDE HAS CHAFFED THROUGH OUTER RUBBER AND BRAIDED FIBER - THIS LINE HAS A NEW BRASS END ON IT AND THE CHAFFING IS IN THE MIDDLE OF THE LINE - PLEASE REPLACE LINE. </t>
  </si>
  <si>
    <t>PATCHED SCUFF RAIL AS NEEDED</t>
  </si>
  <si>
    <t>QUOTED BY ELITE</t>
  </si>
  <si>
    <t>PARK OUT SERVICE - NEEDS OVER $5000 IN REPAIRS</t>
  </si>
  <si>
    <t>UNIT TO BE PARKED OUT OF SERVICE AT END OF APRIL 2020 - NEEDS OVER $5000 IN REPAIRS</t>
  </si>
  <si>
    <t>TRAILER NEEDS IN EXCESS OF $5000 WORK - AIR BAG MOUNTING PLATES AND BRAKE REPAIRS - PARK OUT OF SERVICE</t>
  </si>
  <si>
    <t>REPLACED HUB</t>
  </si>
  <si>
    <t>THIS WAS A TRUCK ISSUE -BROKEN AND CORRODED COUPLING WIRES</t>
  </si>
  <si>
    <t>COMPLETED BY DYLAN IN YARD</t>
  </si>
  <si>
    <t>RIGHT SIDE REAR AXLE PIVOT BOLT NEEDS REPLACED - BOLT HAS TURNED</t>
  </si>
  <si>
    <t xml:space="preserve">DOLLY LEGS VERY STIFF </t>
  </si>
  <si>
    <t>MULTIPLE LIGHTS NEED REPLACED - WIRING REPAIRED ON APRIL 15TH 2020</t>
  </si>
  <si>
    <t>SUSPENSION DUMP VALVE DIFFICULT TO OPERATE</t>
  </si>
  <si>
    <t>AIR LEAK COMING FROM VALVES AT REAR AXLE - DRIVER COULD NOT PIN POINT</t>
  </si>
  <si>
    <t>PLEASE BOOST TRUCK</t>
  </si>
  <si>
    <t>REPLACED LINE</t>
  </si>
  <si>
    <t>REPLACED WING PLATE</t>
  </si>
  <si>
    <t>TIGHTENED BOLT - WILL NEED TO REPLACE BLT AND BUSHING IF ISSUE IS RE-OCCURING</t>
  </si>
  <si>
    <t>REPLACED LEGS AND REPAIRED A CRACKED MOUNT</t>
  </si>
  <si>
    <t>MULTIPLE LIGHTS OUT ON VISOR</t>
  </si>
  <si>
    <t>MULTIPLE BREATHER LIGHTS OUT ON PASSENGER SIDE</t>
  </si>
  <si>
    <t>REPLACED LIGHTS AND FIXED WIRING</t>
  </si>
  <si>
    <t>DRIVERS SIDE REAR AXLE AIR BAG PEDESTAL IS CRAKED AND HAS A HOLE</t>
  </si>
  <si>
    <t>LICENSE PLATE LIGHT NEEDS REPAIRED - MIGHT BE LIGHT AND WIRING</t>
  </si>
  <si>
    <t>RETORQUE PASSENGER SIDE REAR WHEEL</t>
  </si>
  <si>
    <t>Replace license plate light and pigtail</t>
  </si>
  <si>
    <t>Truck boosted</t>
  </si>
  <si>
    <t>Started on its own</t>
  </si>
  <si>
    <t>FRONT LEFT MARKER LIGHT OUT</t>
  </si>
  <si>
    <t>MINOR</t>
  </si>
  <si>
    <t>PARTS ON ORDER 4/18/20 - BREATHER LAMP REPLACED</t>
  </si>
  <si>
    <t>ELITE - COMMENTS</t>
  </si>
  <si>
    <t>GLADHAND SEAL NEEDS REPLACEMENT</t>
  </si>
  <si>
    <t>DRAIN VALVE ON REAR AIRTANK LEAKS</t>
  </si>
  <si>
    <t>LANDING GEAR BENT ON BOTH SIDES - PLEASE ASSESS THIS DAMAGE FOR REPAIR - IF SAFE FOR USE WE WIL NOT REPAIR AT HIS TIME.</t>
  </si>
  <si>
    <t>32363
TRAILER</t>
  </si>
  <si>
    <t>TOP FRONT DRIVER'S SIDE LIGHTS DAMAGED AND NOT WORKING</t>
  </si>
  <si>
    <t>395615
TRAILER</t>
  </si>
  <si>
    <t>LIFT AXLE DOES NOT GO DOWN WITH SUSPENSION VALVE - TESTED TRUCK WITH SECOND TRAILER AND NO ISSUE</t>
  </si>
  <si>
    <t>BOLT IN TREAD OF PASSENGER SIDE TIRE, SECOND AXEL FROM BACK IN LINE WITH OUTSIDE TIRE VALVE STEM. (NOT LEAKING CURRENTLY)</t>
  </si>
  <si>
    <t>395680 TRAILER</t>
  </si>
  <si>
    <t>LOWER REAR DRIVER SIDE MARKING LIGHT BENT AND OUT OF PLACE</t>
  </si>
  <si>
    <t>REPLACED BOTH REAR AXLE AIR BAGS</t>
  </si>
  <si>
    <t>REPLACED BOTH GLAD HANDS AND 7-WAY RECEPTICAL</t>
  </si>
  <si>
    <t>REPLACED BOTH LIGHTS</t>
  </si>
  <si>
    <t>REPLACED VALVE FROM BROKEN WIRE - LIFT AXLE WORKING MANUALLY</t>
  </si>
  <si>
    <t>COMPLETED BY OK TIRE</t>
  </si>
  <si>
    <t>BACK AXEL AND SECOND AXEL FROM REAR PASSENGER SIDE NEED RETORQUE</t>
  </si>
  <si>
    <t>1646 TRUCK</t>
  </si>
  <si>
    <t>TRUCK WOULD NOT START - DRIVER ATTEMPTED TO BOOST - AT FIRST TRUCK WAS COMPLETELY DEAD BUT AFTER 20MIN ON CHARGER LIGHTS AND DASH WORKED BUT STILL WOULD NOT CRANK ENGINE</t>
  </si>
  <si>
    <t>1644 TRUCK</t>
  </si>
  <si>
    <t>REPLACED DOLLY LEG APRONS ON BOTH SIDES</t>
  </si>
  <si>
    <t>184295 TRAILER</t>
  </si>
  <si>
    <t>NO FAULT FOUND - VALVE WORKS FINE</t>
  </si>
  <si>
    <t>NO ISSUE FOUND TRUCK STARTED RIGHT AWAY</t>
  </si>
  <si>
    <t>32364 TRAILER</t>
  </si>
  <si>
    <t>TOP FRONT CLEARANCE LIGHTS NOT WORKING</t>
  </si>
  <si>
    <t>1641 TRUCK</t>
  </si>
  <si>
    <t>1821 TRUCK</t>
  </si>
  <si>
    <t>149082 TRAILER</t>
  </si>
  <si>
    <t>158939 TRAILER</t>
  </si>
  <si>
    <t>147060 TRAILER</t>
  </si>
  <si>
    <t>147061 TRAILER</t>
  </si>
  <si>
    <t>147062 TRAILER</t>
  </si>
  <si>
    <t>149083 TRAILER</t>
  </si>
  <si>
    <t>184296 TRAILER</t>
  </si>
  <si>
    <t>193236 TRAILER</t>
  </si>
  <si>
    <t>193237 TRAILER</t>
  </si>
  <si>
    <t>32349 TRAILER</t>
  </si>
  <si>
    <t>32351 TRAILER</t>
  </si>
  <si>
    <t>32356 TRAILER</t>
  </si>
  <si>
    <t>32357 TRAILER</t>
  </si>
  <si>
    <t>32360 TRAILER</t>
  </si>
  <si>
    <t>32361 TRAILER</t>
  </si>
  <si>
    <t>32363 TRAILER</t>
  </si>
  <si>
    <t>32366 TRAILER</t>
  </si>
  <si>
    <r>
      <t xml:space="preserve">LIFT AXLE VALVE VERY DIFFICULT TO OPERATE - </t>
    </r>
    <r>
      <rPr>
        <b/>
        <sz val="10"/>
        <rFont val="Calibri"/>
        <family val="2"/>
        <scheme val="minor"/>
      </rPr>
      <t>PLEASE REPLACE VALVE</t>
    </r>
  </si>
  <si>
    <t>193237
TRAILER</t>
  </si>
  <si>
    <t>LEFT SIDE AIRBAG ON LIFT AXEL HAS LEAK</t>
  </si>
  <si>
    <t>395615 TRAILER</t>
  </si>
  <si>
    <t>STEEL LINE FOR RELEASING AIR FROM FIRST AXEL AIR TANK BROKEN</t>
  </si>
  <si>
    <t>MINOR LEAK IN REAR AIR TANK DRAIN VALVE</t>
  </si>
  <si>
    <t>32367 TRAILER</t>
  </si>
  <si>
    <t>32368 TRAILER</t>
  </si>
  <si>
    <t>32369 TRAILER</t>
  </si>
  <si>
    <t>1822 TRUCK</t>
  </si>
  <si>
    <t>RETORQUE DRIVE AXLES IN BOTH SIDES</t>
  </si>
  <si>
    <t>395681 TRAILER</t>
  </si>
  <si>
    <t>395682 TRAILER</t>
  </si>
  <si>
    <t>395718 TRAILER</t>
  </si>
  <si>
    <t>40376 TRAILER</t>
  </si>
  <si>
    <t>40377 TRAILER</t>
  </si>
  <si>
    <t>455651 TRAILER</t>
  </si>
  <si>
    <t>617944 TRAILER</t>
  </si>
  <si>
    <t>617946 TRAILER</t>
  </si>
  <si>
    <t>40377 TRIALER</t>
  </si>
  <si>
    <t>1642 TRUCK</t>
  </si>
  <si>
    <t>1645 TRUCK</t>
  </si>
  <si>
    <t>1647 TRUCK</t>
  </si>
  <si>
    <t>1816 TRUCK</t>
  </si>
  <si>
    <t>1817 TRUCK</t>
  </si>
  <si>
    <t>MAJOR</t>
  </si>
  <si>
    <t>TOP FRONT LEFT CLEARENCE LIGHT IS OUT</t>
  </si>
  <si>
    <t>RIGHT LOWER REAR MARKER LIGHT LENSE MISSING</t>
  </si>
  <si>
    <t>BATTERY IS DEAD</t>
  </si>
  <si>
    <t>1830 TRUCK</t>
  </si>
  <si>
    <t>SCREW IN FRONT PASSENGER SIDE TIRE</t>
  </si>
  <si>
    <t>DRIVER SIDE SKIRT LIGHTS NOT WORKING</t>
  </si>
  <si>
    <t>AIR LEAK IN REAR AIR TANK</t>
  </si>
  <si>
    <r>
      <t xml:space="preserve">ANNUAL INSPECTION DUE IN MAY 2020 - </t>
    </r>
    <r>
      <rPr>
        <b/>
        <u/>
        <sz val="10"/>
        <rFont val="Calibri"/>
        <family val="2"/>
        <scheme val="minor"/>
      </rPr>
      <t>PLEASE QUOTE ONLY</t>
    </r>
  </si>
  <si>
    <t>1819 TRUCK</t>
  </si>
  <si>
    <t>RETORQUE FRONT DRIVE AXLE FROM TIRE REPLACEMENT</t>
  </si>
  <si>
    <t>COMPLETED BY ELITE IN YARD</t>
  </si>
  <si>
    <t>REPLACED AIRBAG</t>
  </si>
  <si>
    <t>DRIVER'S SIDE LOWER MID MARKER LIGHT MISSING AND BASE IS BROKEN</t>
  </si>
  <si>
    <t>REPLACED VALVE WITH CABLE</t>
  </si>
  <si>
    <t>CHECKED THESE LIGHTS WITH TRUCK 4153 - NO ISSUE FOUND ALL LIGHT WORKING</t>
  </si>
  <si>
    <t>CROSS FRAME FOR DOLLY LEGS BREAKING AT DOLLY LEG</t>
  </si>
  <si>
    <t>VISOR LIGHT IS BURNT OUT</t>
  </si>
  <si>
    <t>RIGHT SIDE 1ST AXLE BRAKE CHAMBER LEAKING</t>
  </si>
  <si>
    <t xml:space="preserve"> PASSENGER SIDE STEER TIRE IS FLAT</t>
  </si>
  <si>
    <t>LEFT LOWER MARKER LIGHT LENSE BROKEN</t>
  </si>
  <si>
    <t>LEFT SIDE MARKER LIGHT STILL BROKEN</t>
  </si>
  <si>
    <t>REPLACED BRAKE CHAMBER</t>
  </si>
  <si>
    <t>ONE LEFT SIDE BREATHER LIGHT OUT</t>
  </si>
  <si>
    <t>1823 TRUCK</t>
  </si>
  <si>
    <t>REPLACED AIR TANK</t>
  </si>
  <si>
    <t>RELACED LIGHT</t>
  </si>
  <si>
    <t>RELACED LIGHT AND BASE</t>
  </si>
  <si>
    <t>FROM TIRE ROTATION AND REPLACEMENT</t>
  </si>
  <si>
    <t>RETORQUE 1ST AND 2ND AXLES</t>
  </si>
  <si>
    <t xml:space="preserve">1820 TRUCK </t>
  </si>
  <si>
    <t>BREATHER LIGHT OUT ON LEFT SIDE</t>
  </si>
  <si>
    <t>45807 TRAILER</t>
  </si>
  <si>
    <t>HOLE IN FRONT LOWER LEFT SIDE RADIUS CORNER</t>
  </si>
  <si>
    <t>LEFT SIDE LOWER REAR MARKER LIGHT MISSING</t>
  </si>
  <si>
    <t>REPORTED AS REPLACED BY ELITE - LATER FOUND OUT IT WAS NOT  - RE-CALLED IN DEFECT</t>
  </si>
  <si>
    <t>BOTTOM BREATHER LIGHT ON DRIVER'S SIDE IS OUT</t>
  </si>
  <si>
    <t>1827 TRUCK</t>
  </si>
  <si>
    <t>LEFT SIDE REAR OUTSIDE MARKER LIGHT IS MISSING</t>
  </si>
  <si>
    <t>DRIVERS SIDE DOOR LATCH STICKS AND DOOR WILL NOT CLOSE - DRIVER CAN GET DOOR TO CLOSE BUT DOOR LATCH NEEDS REPLACED</t>
  </si>
  <si>
    <r>
      <t xml:space="preserve">ABS LIGHT ON - </t>
    </r>
    <r>
      <rPr>
        <b/>
        <sz val="10"/>
        <rFont val="Calibri"/>
        <family val="2"/>
        <scheme val="minor"/>
      </rPr>
      <t>CURRENTLY IN PROGRESS</t>
    </r>
    <r>
      <rPr>
        <sz val="10"/>
        <rFont val="Calibri"/>
        <family val="2"/>
        <scheme val="minor"/>
      </rPr>
      <t xml:space="preserve"> - </t>
    </r>
    <r>
      <rPr>
        <b/>
        <sz val="10"/>
        <rFont val="Calibri"/>
        <family val="2"/>
        <scheme val="minor"/>
      </rPr>
      <t>WAITING FOR PARTS</t>
    </r>
  </si>
  <si>
    <r>
      <t xml:space="preserve">REPAIR MVI LIST - </t>
    </r>
    <r>
      <rPr>
        <b/>
        <sz val="10"/>
        <rFont val="Calibri"/>
        <family val="2"/>
        <scheme val="minor"/>
      </rPr>
      <t>CURRENTLY IN PROGRESS - WAITING FOR PARTS</t>
    </r>
  </si>
  <si>
    <t>GUSSET ON DRIVERS SIDE WINGPLATE CRACKED</t>
  </si>
  <si>
    <t>1ST AXLE DRIVER'S SIDE AIR BAG BLOWN</t>
  </si>
  <si>
    <t>LOWER K BAR BRACKETS FOR DOLLY LEGS CRACKED ON BOLTH SIDES</t>
  </si>
  <si>
    <t>RE-WELDED DOLLY LEG BRACKET</t>
  </si>
  <si>
    <t>CAUSED BY WOODBRIDGE PALLET WHEN LOADING TRIALER ON MAY 15TH  - BRANDON DECOSTE - PATCHED HOLE</t>
  </si>
  <si>
    <t>ELITE REMOVED AIR BAG ON WEEKEND 5/23/20 - DRIVER (ART B) DID NOT NOTICE ON MONDAY 5/25/20 AND PULLED TRAILER. ELITE CALLED LOOKING FOR TRIALER AND ENDED UP HAVING TO MEET DRIVER IN COOKSTOWN TO REPLACE BAG</t>
  </si>
  <si>
    <t>REPLACED VALVE STEM</t>
  </si>
  <si>
    <t>INTERIOR DOME LIGHT NOT REPAIRED</t>
  </si>
  <si>
    <t>LEFT SIDE LOWER/INSIDE SCUFFLINER NEEDS REPAIRED OR REPLACED</t>
  </si>
  <si>
    <t>ROLL UP DOOR VERY HARD TO OPEN/CLOSE</t>
  </si>
  <si>
    <t>40375 TRAILER</t>
  </si>
  <si>
    <t>AIR CONDITIONING NOT WORKING</t>
  </si>
  <si>
    <t>RETORQUE REAR AXLE FROM BRAKE REPAIRS</t>
  </si>
  <si>
    <t>40378 TRAILER</t>
  </si>
  <si>
    <t>REAR LIGHT HANGING OFF TRUCK ON TOP RIGHT SIDE</t>
  </si>
  <si>
    <t>TRUCK WOULD NOT START BATTERY DEAD.</t>
  </si>
  <si>
    <t>REPLACED AIR BAG ON THIS TRAILER ON MAY 25TH. - ASKED DRIVER (ART B.)  AFTERWARDS IF THERE WAS AN FURTHER ISSUE WITH ABS - NO ISSUE REPORTED</t>
  </si>
  <si>
    <t>193235 TRAILER</t>
  </si>
  <si>
    <t>LEFT SIDE SECOND AXLE AXLE BUSHING BOLT LOOSE</t>
  </si>
  <si>
    <t>45810 TRAILER</t>
  </si>
  <si>
    <t>ROLL UP DOOR NEEDS ADJUSTING</t>
  </si>
  <si>
    <t>TRAILER BRAKE LIGHTS STUCK ON AT ALL TIMES - WHEN LIGHT ARE OFF AND SERVICE BRAKE IS APPLIED ALL MARKER LIGHTS COME ON.</t>
  </si>
  <si>
    <t>MAJOR AIR LEAK AT RIGHT SIDE SECOND AXLE - DRIVER THOUGHT IT WAS COMING FROM AN AIR BAG BUT MIGHT BE AN AIRLINE</t>
  </si>
  <si>
    <t>RIGHT SIDE LOWER MARKER LIGHT OUT - DRIVER TRIED A NEW LIGHT BUT STILL NOT WORKING - PLEASE CHECK WIRING</t>
  </si>
  <si>
    <r>
      <t>FRONT LEFT UPPER MARKER LIGHT NOT WORKING -</t>
    </r>
    <r>
      <rPr>
        <b/>
        <sz val="10"/>
        <rFont val="Calibri"/>
        <family val="2"/>
        <scheme val="minor"/>
      </rPr>
      <t xml:space="preserve"> PLEASE CHECK WIRING - THIS HAS BEEN ADDRESSED TWICE PREVIOUSLY BUT STILL NOT WORKING</t>
    </r>
  </si>
  <si>
    <t>1825 TRUCK</t>
  </si>
  <si>
    <t>VISOR LIGHT OUT</t>
  </si>
  <si>
    <t>BREATHER LIGHTS OUT ON BOTH SIDES</t>
  </si>
  <si>
    <t>STARTED TRUCK MYSELF WITH NO ISSUE - NO ACTION TAKEN</t>
  </si>
  <si>
    <t>STARTED TRUCK MYSELF WITH NO ISSUE FOUND - NO ACTION TAKEN</t>
  </si>
  <si>
    <t>CHECKED DOOR MYSELF - DOOR GOES UP AND DOWN WITH VERY MINIMAL EFFORT - NO ACTION TAKEN</t>
  </si>
  <si>
    <t>NOW</t>
  </si>
  <si>
    <t>3PM</t>
  </si>
  <si>
    <t>32365 TRAILER</t>
  </si>
  <si>
    <t>ANNUAL INSPECTION DUE IN MAY 2020 - PLASE GO AHEAD AND COMPLETE SAFETY INSPECTION AND REPAIRS</t>
  </si>
  <si>
    <t>UPPER REAR CENTER LIGHT OUT</t>
  </si>
  <si>
    <t>TIRE PLUGGED BY OK TIRE-  SPOKE WITH BRANDON AND WAS ENSURED THIS IS A LEGAL REPAIR</t>
  </si>
  <si>
    <t>COMPLETED BY OK TIRE IN YARD</t>
  </si>
  <si>
    <t>REPLACED RIGHT SIDE SECOND AXLE AIR BAG</t>
  </si>
  <si>
    <t>CALLED IN 5/25/20 BUT NOT COMPLETED - REPLACED CORNER BRACKET</t>
  </si>
  <si>
    <t>COMLETED BY ELITE</t>
  </si>
  <si>
    <t>TIGHTENED BOLT</t>
  </si>
  <si>
    <t xml:space="preserve">ESTIMATED COST WAS $3000 - SPOKE WITH MANNY AND WE WILL NOT BE REPAIRING AT THIS TIME. </t>
  </si>
  <si>
    <t>GREASED TACK AND ROLLERS - THIS DOOR ALSO HAS ALL NEW ROLLERS FROM PREVIOUS REPAIR - DOOR NOT PERFECT BUT GOOD FOR USE.</t>
  </si>
  <si>
    <t>COMPLETED INSPECTION</t>
  </si>
  <si>
    <t>REPAIRED 7 WAY RECEPTICLE</t>
  </si>
  <si>
    <t>DOLLY LEGS VERY HARD TO CRANK - PLEASE REPLACE</t>
  </si>
  <si>
    <t>REQUESTED REPAIR COMMENT BUT DID NOT RECEIVE ONE</t>
  </si>
  <si>
    <r>
      <t xml:space="preserve">DUE FOR ANNUAL INSPECTION IN JUNE 2020 - </t>
    </r>
    <r>
      <rPr>
        <b/>
        <sz val="10"/>
        <rFont val="Calibri"/>
        <family val="2"/>
        <scheme val="minor"/>
      </rPr>
      <t>PLEASE ADVISE IF COST EXCEEDS $2500</t>
    </r>
  </si>
  <si>
    <t>NOTIFIED ELITE 6/2/20</t>
  </si>
  <si>
    <t>193238 TRAILER</t>
  </si>
  <si>
    <t>RIGHT REAR LOWER MARKER LIGHT OUT</t>
  </si>
  <si>
    <t xml:space="preserve">COMPLETED WITH MVI REPAIR LIST - LIKELY REPLACED ROTOR AND PADS AS PREVIOUSLY SPECULATED ON QUOTE </t>
  </si>
  <si>
    <t>MULTIPLE ITEMS REPAIRED DURING COMPLETION OF THIS LIST - REFER TO MVI QUOTE - NEEDS NOX SENSOR, TONE RING, POSSIBLY WHEEL BEARING AND AN ALTERNATOR ECT…</t>
  </si>
  <si>
    <t>NEEDS REGULAR GREASE SERVICE IN JUNE 2020</t>
  </si>
  <si>
    <t>DRIVER WROTE UP AS LIFT AXLE TIRES OUT OF SYNC AND DO NOT TURN - CHECKED TRAILER WITH BILLY AND ALL IS WORKING EXCEPT WHEN LIFT AXLE GOES UP TIRES DO NOT RETRACT TO PERFECTLY STRAIGHT - LIKELY NEEDS GREASE 6/3/20</t>
  </si>
  <si>
    <t>DOME LIGHT NOT WORKING</t>
  </si>
  <si>
    <t>ENGINE FAN RUNS CONSTANTLY</t>
  </si>
  <si>
    <t>BARN DOOR HINGES ARE LOOSE</t>
  </si>
  <si>
    <t>BRAKES SEEM TO BE SLIGHTLY HOLDING, MAY NEED SERVICING</t>
  </si>
  <si>
    <t>ROOFLINER SEEMS TO BE SAGGING IN MULTIPLE SPOTS</t>
  </si>
  <si>
    <t>DRIVERS SIDE LOWER MID MARKER LIGHT OUT</t>
  </si>
  <si>
    <t>NOTIFIED ELITE 6/3/20</t>
  </si>
  <si>
    <t>RE-TORQUE ALL AXLES BOTH SIDES FROM SAFETY</t>
  </si>
  <si>
    <t>TIGHTENED BOLTS</t>
  </si>
  <si>
    <t>REPLACED TWO RELEASE VALVES</t>
  </si>
  <si>
    <t>REPPLACED LIGHT</t>
  </si>
  <si>
    <t>GREASED LEGS - STILL VERY HARD TO CRANK- WILL NEED REPLACED 5/30/20 - REPLACED DOLLY LEGS AND APRON 6/4/20</t>
  </si>
  <si>
    <t>LIFT AXLE DAMAGED  - TIE ROD HAS SHIFTED APROX 1/4 INCH - LOCKING PIN NO LONGER SLIDES INTO BRACKET TO LOCK WHEELS STRAIGHT.</t>
  </si>
  <si>
    <t>32362 TRAILER</t>
  </si>
  <si>
    <t>AIR LINES ON FIRST AXLE RIGHT SIDE ARE RUBBING TOGETHER</t>
  </si>
  <si>
    <t>REAR AIR TANK LEAKING FROM DRAIN VALVE - PLEASE REPLACE</t>
  </si>
  <si>
    <t>PM SERVICE COMPLETE</t>
  </si>
  <si>
    <t>1824 TRUCK</t>
  </si>
  <si>
    <t>BREATHER LIGHTS AND SKIRT LIGHTS OUT</t>
  </si>
  <si>
    <t>DRIVERS SIDE SIGANL LIGHT HANGING BY WIRE</t>
  </si>
  <si>
    <t>COMPLETE MVI WORK</t>
  </si>
  <si>
    <t>NOT REPAIRING AT THIS TIME DUE TO COST</t>
  </si>
  <si>
    <t>NOTIFIED ELITE 6/5/20</t>
  </si>
  <si>
    <t>617946
TRAILER</t>
  </si>
  <si>
    <t>BOLTS LOOSE ON LANDING GEAR</t>
  </si>
  <si>
    <t>NOTIFIED ELITE 6/8/20</t>
  </si>
  <si>
    <t>LEAKING AIR BAG.</t>
  </si>
  <si>
    <t>LANDING GEAR BOLTS LOOSE</t>
  </si>
  <si>
    <t>TOP MIDDLE DRIVERS SIDE MARKER LIGHT OUT</t>
  </si>
  <si>
    <t>32368
TRAILER</t>
  </si>
  <si>
    <t>NEEDS A RETORQUE-ALL WHEELS</t>
  </si>
  <si>
    <t>32349
TRAILER</t>
  </si>
  <si>
    <t>BOTTOM CROSS MEMBER ON LANDING GEAR CRACKED</t>
  </si>
  <si>
    <t>AT 4091</t>
  </si>
  <si>
    <t>NEEDS BRAKE ADJUSTMENT</t>
  </si>
  <si>
    <t>NEEDS RETORQUE ALL WHEELS</t>
  </si>
  <si>
    <t>AT HAMILTON DC</t>
  </si>
  <si>
    <t>AT GASMAC</t>
  </si>
  <si>
    <t>AT BRAMPTON DC</t>
  </si>
  <si>
    <t>32364
TRAILER</t>
  </si>
  <si>
    <t>TOP LEFT FRONT LIGHT OUT</t>
  </si>
  <si>
    <t>395680
TRAILER</t>
  </si>
  <si>
    <t>BLOWN AIR BAG…3RD AXLE RIGHT SIDE</t>
  </si>
  <si>
    <t>BRAKES ARE LEAKING BRAKE FLUID…DO NOT USE…RED TAGGED</t>
  </si>
  <si>
    <t>TOP LEFT FRONT MARKER LIGHT OUT</t>
  </si>
  <si>
    <t>CRACKS ON SLIDER…NEED TO BE WELDED</t>
  </si>
  <si>
    <t>ONLY LEFT LEG GOING UP ON LANDING GEAR</t>
  </si>
  <si>
    <t>MARKER LIGHTS ON BOX NOT WORKING</t>
  </si>
  <si>
    <t>OUT OF SERVICE</t>
  </si>
  <si>
    <t>BRAKES NOT FUNCTIONING PROPERLY</t>
  </si>
  <si>
    <t>WAITING FOR SERVICE IN PETERBOROUGH</t>
  </si>
  <si>
    <t>REPLACED BRAKE CHAMBER IN RIDGETOWN</t>
  </si>
  <si>
    <t>DID NOT REALISE IT WAS THE TRACTOR AND NOT THE TRAILER</t>
  </si>
  <si>
    <t>NO BRAKING POWER ON LAST 2 AXLES</t>
  </si>
  <si>
    <t>AT ADMIRAL</t>
  </si>
  <si>
    <t>32361
TRAILER</t>
  </si>
  <si>
    <t>SAFTEY EXPIRES END OF MONTH</t>
  </si>
  <si>
    <t>32365
TRAILER</t>
  </si>
  <si>
    <t>BUMPER CRACKED BY SLIDER</t>
  </si>
  <si>
    <t>SEVERED AIR LINE AT GLAD HAND IN NIAGARA FALLS</t>
  </si>
  <si>
    <t>32369
TRAILER</t>
  </si>
  <si>
    <t>SHOE ON RIGHT DOLLY LEG BENT</t>
  </si>
  <si>
    <t>RETOURQUE ALL WHEELS BOTH SIDES FROM SAFETY</t>
  </si>
  <si>
    <t>2X REAR CLEARANCE LIGHTS OUT - ONE OF THEM IS ALSO HANGING BY WIRE</t>
  </si>
  <si>
    <t>SERVICE SOON LIGHT ON</t>
  </si>
  <si>
    <t>RE-WELDED BUMPER</t>
  </si>
  <si>
    <t>AIR CONDITIONER</t>
  </si>
  <si>
    <t>MVI INSPECTION AND REPAIRS</t>
  </si>
  <si>
    <t>MVI INSPECTION AND REPAIRS AUTHORIZED FOR JULY</t>
  </si>
  <si>
    <r>
      <t xml:space="preserve">DUE FOR ANNUAL INSPECTION  - </t>
    </r>
    <r>
      <rPr>
        <b/>
        <sz val="10"/>
        <rFont val="Calibri"/>
        <family val="2"/>
        <scheme val="minor"/>
      </rPr>
      <t>PLEASE QUOTE ONLY IF REPAIRS EXCEED $2500</t>
    </r>
  </si>
  <si>
    <t>RELAY VALVE ON AIR TANK DIRECTLY BEHIND LIFT AXLE IS LEAKING AIR.</t>
  </si>
  <si>
    <t>MULTIPLE VISOR LIGHTS OUT</t>
  </si>
  <si>
    <t>DRIVERS SIDE DOOR HANDLE BROKEN - PIECE OF METAL FELL OFF OF DOOR AND IS SITTING ON DASH</t>
  </si>
  <si>
    <t>DOLLY LEGS APRONS BENT ON BOTH SIDES</t>
  </si>
  <si>
    <t>TOP FRONT LEFT SIDE CLEARANCE LIGHT OUT</t>
  </si>
  <si>
    <t>EMAILED ELITE 6/30/20</t>
  </si>
  <si>
    <t>LOWER FRONT RIGHT SIDE MARKER LIGHT OUT - REPLACED LIGHT BUT STILL OUT - MAYBE WIRING OR BASE ISSUE?</t>
  </si>
  <si>
    <t>LEFT SIDE REAR AXLE MUDFLAP MISSING</t>
  </si>
  <si>
    <t>REPAIRED BY ELITE</t>
  </si>
  <si>
    <t>REPLACED BOTH SIDES AS PER DRIVER'S REQUEST</t>
  </si>
  <si>
    <t>32358 TRAILER</t>
  </si>
  <si>
    <t>ABS NOT WORKING</t>
  </si>
  <si>
    <t>LIC. PLATE LIGHT OUT</t>
  </si>
  <si>
    <r>
      <rPr>
        <sz val="10"/>
        <rFont val="Calibri"/>
        <family val="2"/>
        <scheme val="minor"/>
      </rPr>
      <t xml:space="preserve">CROSSMEMBER ABOVE RIGHT REAR TIRE DAMAGED - </t>
    </r>
    <r>
      <rPr>
        <b/>
        <sz val="10"/>
        <rFont val="Calibri"/>
        <family val="2"/>
        <scheme val="minor"/>
      </rPr>
      <t>PLEASE QUOTE ONLY THE COST OF REPAIR</t>
    </r>
  </si>
  <si>
    <t>MULTIPLE SHOCKS LEAKING</t>
  </si>
  <si>
    <t>RETORQUE ALL WHEELS BOTH SIDES FROM SAFETY</t>
  </si>
  <si>
    <t>EMAILED ELITE 7/3/20</t>
  </si>
  <si>
    <t>LANDING GEAR VERY HARD TO CRANK IN ONE SPOT - LIKELY DROPPED FROM TOO HIGH</t>
  </si>
  <si>
    <t>TRAILER PULLS "SLOPPY" ON ROAD - DRIVER SPECULATES THAT AIR BAGS MIGHT BE OVER INFLATED</t>
  </si>
  <si>
    <t>REPAIRED DOOR HANDLE</t>
  </si>
  <si>
    <t>REPAIRED AIR CONDITOINER</t>
  </si>
  <si>
    <t>I CHECKED THIS TRIALER 7/3/20 - COULD NOT SEE ANY BEND IN APRON ARMS ON EITHER SIDE - COULD NOT SEE ANY STRUCTURAL ISSUES WITH THE DOLLY LEGS OR FRAME WORK ON THIS TRAILER</t>
  </si>
  <si>
    <t>LOWER FRONT MARER LIGHT OUT ON RIGHT SIDE</t>
  </si>
  <si>
    <t>BOTH UPPER MIDDLE CLEARANCE LIGHTS NOT WORKING</t>
  </si>
  <si>
    <t>AUDIBLE AIR LEAK AT VALVE CLOSEST TO FRONT OF TRIALER WHEN SERVICE BRAKE APPLIED</t>
  </si>
  <si>
    <t>AIR BAG LEAKING FROM BETWEEN PEDESTAL AND BOTTOM PLATE</t>
  </si>
  <si>
    <t xml:space="preserve">BOLT MISSING FROM AIR BAG </t>
  </si>
  <si>
    <t>TOP REAR CLEARANCE LIGHTS NOT WORKING</t>
  </si>
  <si>
    <t>LEVELING VALVE SEEMS BROKEN - AIR BAGS STRETCHED TO MAX HEIGHT</t>
  </si>
  <si>
    <t>TWO SHOCKS BROKEN ON PASSENGER SIDE 3RD AND 4TH AXLES</t>
  </si>
  <si>
    <t>REPLACED AIR BAG</t>
  </si>
  <si>
    <t>COMPLETE</t>
  </si>
  <si>
    <t>REPLACED ALL SHOCKS</t>
  </si>
  <si>
    <t>REPAIRED ACCORDING TO DRIVER</t>
  </si>
  <si>
    <t>LIKELY COMPLETED BY ELITE</t>
  </si>
  <si>
    <t>COMPLETED WITH SAFETY</t>
  </si>
  <si>
    <t>1829 TRUCK</t>
  </si>
  <si>
    <t xml:space="preserve">VISOR LIGHT OUT </t>
  </si>
  <si>
    <t>SMALL HOLE IN LEFT FRONT BOTTOM CORNER RADIUS</t>
  </si>
  <si>
    <t>RUBBER BUSHING MISSING FROM BOTTOM OF SHOCK ON 2ND AXLE DRIVERS SIDE</t>
  </si>
  <si>
    <t>COMPLETED INSPECTION AND ALL REPAIRS</t>
  </si>
  <si>
    <t>REPLACED SHOCKS</t>
  </si>
  <si>
    <t>REPAIRED WIRING AND LIGHTS</t>
  </si>
  <si>
    <t>3X TOP MARKER LIGHTS OUT ON REAR OF TRAILER</t>
  </si>
  <si>
    <t>WAITING FOR CONFIRMATION FROM DRIVER 7/9/20 - SPOKE WITH DRIVER, LIGHT IS OUT ISSUE LIKELY RESOLVED ITSELF WHEN SHOCKS WHERE REPLACED</t>
  </si>
  <si>
    <t>NO SERVICE COMPLETED</t>
  </si>
  <si>
    <t>RIGHT REAR AIR BAG LEAKING</t>
  </si>
  <si>
    <t>TRUCK LOSSES ALL AIR WHEN PARKED OVERNIGHT</t>
  </si>
  <si>
    <t>REPLACED BBOTH REAR AIR BAGS</t>
  </si>
  <si>
    <t>MVI AND REPAIRS HAVE BEEN AUTHORIZED</t>
  </si>
  <si>
    <t>REPLACED LIGHT AND REPAIRED WIRING</t>
  </si>
  <si>
    <t xml:space="preserve">COMPLETED BY ELITE </t>
  </si>
  <si>
    <t>REPLACED SHOCK</t>
  </si>
  <si>
    <t>DRIVERS SIDE SECOND AXLE SUSPENSION BOLT IS LOOSE</t>
  </si>
  <si>
    <t>LIFT AXLE UP BAG NEEDS REPLACED</t>
  </si>
  <si>
    <t>AUDIBLE AIR LEAK BETWEEN 2ND AND 3RD AXLES - DRIVER COULD NOT LOCATE</t>
  </si>
  <si>
    <r>
      <t>DOLLY LEG APRON PLATES ARE BENT AT TOP - LITERALLY FORMING AROUND THE CROSS MEMBERS -</t>
    </r>
    <r>
      <rPr>
        <b/>
        <sz val="10"/>
        <rFont val="Calibri"/>
        <family val="2"/>
        <scheme val="minor"/>
      </rPr>
      <t xml:space="preserve"> PLEASE QUOTE ONLY</t>
    </r>
  </si>
  <si>
    <t>CHECK ENGINE LIGHT ON AND REGEN WARNING FAILURE LIGHTS ON DASH</t>
  </si>
  <si>
    <t>TOP REAR LIGHTS GROUNDING OUT AND 1 LIGHT IS MELTED</t>
  </si>
  <si>
    <t>MVI INSPECTION AND REPAIRS COMPLETED</t>
  </si>
  <si>
    <t>OPTED TO HAVE STRAIGHTENED AND WELDED - $300 - TIRE REPLACED</t>
  </si>
  <si>
    <t>PASSENGER SIDE 1ST AXLE SHOCK MOUNT IS BROKEN AT FRAME</t>
  </si>
  <si>
    <t>REWELDED SHOCK MOUNT</t>
  </si>
  <si>
    <t>PASSENGER SIDE FRONT LOWER MARKER LIGHT MISSING</t>
  </si>
  <si>
    <t>REPLACED UP BAG</t>
  </si>
  <si>
    <t>RETORQUE 1ST AXLE BOTH SIDES - FROM TIRE REPLACEMENT</t>
  </si>
  <si>
    <t>REPALCED COOLANT VALVE - ROAD TESTED FOR 1 HOUR, NO CHECK ENGINE LIGHT</t>
  </si>
  <si>
    <t>REPLACED PRESSURE PROTECTION VALVE.</t>
  </si>
  <si>
    <t>BREATHER LIGHT OUT ON DRIVER'S SIDE</t>
  </si>
  <si>
    <t>REPLACED DOLLY LEGS</t>
  </si>
  <si>
    <t>RETORQUE PASSENGER SIDE REAR WHEEL - FROM WHEEL SEAL REPLACEMENT</t>
  </si>
  <si>
    <t>NEEDS AIR TANK INSTALLED (TO BE COMPLETED WHEN RETURNED FROM CLP) 7/21/20</t>
  </si>
  <si>
    <t>DRIVERS SIDE REAR AXLE AIR BAG BLOWN</t>
  </si>
  <si>
    <t>COMPLETED BY DRIVER (ART B)</t>
  </si>
  <si>
    <t>DRIVER TOOK TRIALER TO MANAC TO HAVE ALL SUSPENSION BOLTS RE-TORQUED</t>
  </si>
  <si>
    <r>
      <t xml:space="preserve">LEVELING VALVE LEAKS CONSTANTLY - </t>
    </r>
    <r>
      <rPr>
        <b/>
        <sz val="10"/>
        <rFont val="Calibri"/>
        <family val="2"/>
        <scheme val="minor"/>
      </rPr>
      <t>BRAND NEW VALVE SO THIS MAY BE A HEIGHT ADJUSTMENT ISSUE.</t>
    </r>
  </si>
  <si>
    <t>PASSENGER SIDE 3RD AXLE PEDESTAL HAS A HOLE IN IT</t>
  </si>
  <si>
    <t xml:space="preserve">RIGHT SIDE 3RD AXLE BLOWN BRAKE CHAMBER </t>
  </si>
  <si>
    <t>TOP CLEARANCE LIGHT OUT ON FRONT DRIVERS SIDE</t>
  </si>
  <si>
    <t>PASSENGER SIDE UPPER FRONT CLEARANCE LIGHT OUT</t>
  </si>
  <si>
    <t>CABLE FOR REAR DOOR IS OFF THE ROLLER</t>
  </si>
  <si>
    <t>DRIVERS SIDE REAR DOOR BENT ON LOWER LEFT CORNER AND HINGE IS BENT - PLEASE STRAIGHTEN OR REPLACE HINGE - DOOR IS DIFFICULT TO CLOSE</t>
  </si>
  <si>
    <t>REPLACED DOLLY LEG AND FRAME</t>
  </si>
  <si>
    <t>NO ISSUE FOUND - HAD SHUNT DRIVER PHIL RETEST - ALL SEEMS FINE</t>
  </si>
  <si>
    <t>SYNFLEX LINES FOR BOTH REAR AIR BAGS ARE KINKED</t>
  </si>
  <si>
    <t>REPLACED LIGHT AND FIXED WIRING</t>
  </si>
  <si>
    <t>REPAIRED DOOR CABLE</t>
  </si>
  <si>
    <t>COMPLETED BY ELITE 7/25/20</t>
  </si>
  <si>
    <t>NO ISSUE FOUND - ELITE SENT PICS OF ALL LIGHTS WORKING</t>
  </si>
  <si>
    <t>MUD FEET ON LANDING GEAR NEEDS REPALCED</t>
  </si>
  <si>
    <t>LEVELING VALVE STILL LEAKING - DRIVER DROPPED SUSP. AND RE-AIRED LEAK WENT AWAY BUT CAME BACK AGAIN.</t>
  </si>
  <si>
    <t xml:space="preserve">COMPLETED BY ELITE  </t>
  </si>
  <si>
    <t>REPLACED MUD FEET</t>
  </si>
  <si>
    <t>REPLACED KINKED PORTION OF AIR LINES</t>
  </si>
  <si>
    <t>REPAIRED AIR LEAK</t>
  </si>
  <si>
    <t>BOX FOR SUSPENSION DUMP VALVE IS LOOSE - PLEASE TIGHTEN</t>
  </si>
  <si>
    <t xml:space="preserve">HANDLE MISSING ON REAR OF TRUCK BOX, ON DRIVER'S SIDE. </t>
  </si>
  <si>
    <t>BACK UP CAMERA CROOKED</t>
  </si>
  <si>
    <t>SLIDE RAIL FOR RAMP IS BENT - RAMP GETS STUCK GOING IN AND OUT - COULD FALL OFF TRCK</t>
  </si>
  <si>
    <t>CLAMPS FOR WIRING TO HEATER ARE BROKEN ON EXTERIOR NOSE OF TRIALER - PLEASE REPLACE</t>
  </si>
  <si>
    <t>REPLACED HINGE BUTT AND HINGE - DOOR WORKING MUCH BETTER</t>
  </si>
  <si>
    <t>TRUCK NOT BUILDING RPM</t>
  </si>
  <si>
    <t>DOLLY LEG CRANK HANDLE BROKEN</t>
  </si>
  <si>
    <t>REPLACED LEVELING VALVE</t>
  </si>
  <si>
    <t>32358 TRIALER</t>
  </si>
  <si>
    <t>32365 TRIALER</t>
  </si>
  <si>
    <t>147062 TRIALER</t>
  </si>
  <si>
    <t>184296 TRIALER</t>
  </si>
  <si>
    <r>
      <t xml:space="preserve">DUE FOR ANNUAL INSPECTION IN AUGUST 2020 - </t>
    </r>
    <r>
      <rPr>
        <b/>
        <sz val="10"/>
        <rFont val="Calibri"/>
        <family val="2"/>
        <scheme val="minor"/>
      </rPr>
      <t>PLEASE ADVISE IF COST EXCEEDS $2500</t>
    </r>
  </si>
  <si>
    <t>TIGHTENED BOX</t>
  </si>
  <si>
    <t>REPLACED HANDLE</t>
  </si>
  <si>
    <t>SECURED WIRING FOR HEATER ON NOSE OF TRAILER</t>
  </si>
  <si>
    <t>STRAIGHTENED BACK UP CAMERA BRACKET</t>
  </si>
  <si>
    <t>STRAIGHTENED RAMP SLIDES</t>
  </si>
  <si>
    <t>WAITING TO HEAR IF THIS WAS A TRUCK ISSUE - UNIT 1825 SENT TO AYRSHOP 7/9/20 FOR RIDING ROUGH - NO FURTHER ISSUE MENTIONED BY DRIVER</t>
  </si>
  <si>
    <t>REPAIRED DURING SAFETY - NO ISSUE FOUND, RESTE ABS MODULE - NO CODES STORED</t>
  </si>
  <si>
    <t>Folder to Scan: [AZ Maintenance New]</t>
  </si>
  <si>
    <t>Destination Folder: [AZ Maintenance Scanned]</t>
  </si>
  <si>
    <t>This is where the program will scan your emails from</t>
  </si>
  <si>
    <t>If this is left blank "[]" emails will not be copied to another folder</t>
  </si>
  <si>
    <t>RETORQUE ALL WHEELS BOTH SIDES</t>
  </si>
  <si>
    <t>TOP REVERSE LIGHT MISSING BOTS AND HANGING DOWN</t>
  </si>
  <si>
    <t>DRIVERS SIDE LIFT AXLE TIRES WEARING QUICKLY ON OUTSIDE TREAD EDGE</t>
  </si>
  <si>
    <t>RETORQUE ALL WHEELS FROM SAFETY INPSPECTION</t>
  </si>
  <si>
    <r>
      <t xml:space="preserve">INTERRIOR SCUFF LINER LIFTING ON BOTH SIDES - </t>
    </r>
    <r>
      <rPr>
        <b/>
        <sz val="10"/>
        <rFont val="Calibri"/>
        <family val="2"/>
        <scheme val="minor"/>
      </rPr>
      <t>PLEASE QUOTE ONLY</t>
    </r>
  </si>
  <si>
    <t>DO NOT REPAIR YET</t>
  </si>
  <si>
    <t>NEW REPAIR SAME AS ORIGINAL $87X8 PLUS $500 PART - MODIFIED REPAIR $87X8 PLUS $225 PARTS</t>
  </si>
  <si>
    <t xml:space="preserve">PLEASE REMOVE ALL OLD LICENCE PLATE SCREWS AND BOLTS </t>
  </si>
  <si>
    <r>
      <t xml:space="preserve">HEATER BOTTOM ROTTING OFF - HOPING TO REINFORCE - </t>
    </r>
    <r>
      <rPr>
        <b/>
        <sz val="10"/>
        <rFont val="Calibri"/>
        <family val="2"/>
        <scheme val="minor"/>
      </rPr>
      <t>PLEASE QUOTE ONLY</t>
    </r>
  </si>
  <si>
    <t>DID NOT RECEIVE A COST QUOTE - FEEDBACK WAS "TOO EXPENSIVE TO REPAIR, CAN NOT BE COMPLETEWD IN YARD, PLEASE SEND TO MANAC".</t>
  </si>
  <si>
    <t>KENWORTH REPAIRS</t>
  </si>
  <si>
    <t xml:space="preserve">ABS LIGHT ON AND STAYS ON </t>
  </si>
  <si>
    <t>ALL WEEK AFTER 6:30PM</t>
  </si>
  <si>
    <t>NEXT DAY</t>
  </si>
  <si>
    <t>5AM</t>
  </si>
  <si>
    <t>brake job completed during safety</t>
  </si>
  <si>
    <t>WATER LEAK IN BOX  FROM UNDER THE ROLL UP DOOR</t>
  </si>
  <si>
    <t>you repaired floor but this did not repair leak under roll up door.</t>
  </si>
  <si>
    <t xml:space="preserve">truck ramp not working the handle on the driver side was hit by car </t>
  </si>
  <si>
    <t>water leaking though winshield pass side pooling on dash runing into heat vent on to dash</t>
  </si>
  <si>
    <t>AFTER 6:30PM TUES -  FRI</t>
  </si>
  <si>
    <t>RESEALED BOTH WINDSHIELDS</t>
  </si>
  <si>
    <t>right side tail light out</t>
  </si>
  <si>
    <t>replaced pig tail harness for passenger side tail light as needed</t>
  </si>
  <si>
    <t>Water pump and belt</t>
  </si>
  <si>
    <t>ALL WEEKEND AND ALL DAY MONDAY</t>
  </si>
  <si>
    <t>TUESDAY</t>
  </si>
  <si>
    <t>replaced water pump and belt</t>
  </si>
  <si>
    <t xml:space="preserve">Foam rest under hood pass side front wheel well comes off screw is stripped  </t>
  </si>
  <si>
    <t>REPAIRED</t>
  </si>
  <si>
    <t>CAB HEATER NOT WORKING WHEN SET A 3</t>
  </si>
  <si>
    <t xml:space="preserve">NEXT DAY </t>
  </si>
  <si>
    <t>exhaust gas / fumes entering driver cab  bad smell</t>
  </si>
  <si>
    <t>FRIDAY AFTER 6:30PM, ALL WEEKEND AND ALL DAY MONDAY</t>
  </si>
  <si>
    <t>PLO UNTIL WE CAN CONFIRM WITH DRIVER.</t>
  </si>
  <si>
    <t>NO EXHAUST SMELL IN CAB WHEN ENGINE HOT OR COLD.</t>
  </si>
  <si>
    <t>Box light out</t>
  </si>
  <si>
    <t>FRIDAY AFTER 6:30PM AND ALL WEEKEND</t>
  </si>
  <si>
    <t>PARKING BRAKE -  metal is chiping and not gliding well</t>
  </si>
  <si>
    <t xml:space="preserve">passenger side red upper light hanging off </t>
  </si>
  <si>
    <t>TUE-FRI AFTER 630PM  ALL WEEKEND</t>
  </si>
  <si>
    <t>NEEDS NEW BOX CORNER PARTS ON ORDER 7/26/17 - INSTALLED NEW BOX CORNER 8/9/17</t>
  </si>
  <si>
    <t>Battery very low will not boost</t>
  </si>
  <si>
    <t>CHECKED BATTERIES</t>
  </si>
  <si>
    <t xml:space="preserve">Check engine light is on </t>
  </si>
  <si>
    <t>TUES TO FRI AFT 630PM &amp; ALL WEEKEND</t>
  </si>
  <si>
    <t>CEL CLEARED - SOFTWARE UPDATED</t>
  </si>
  <si>
    <t xml:space="preserve">check engine light is on </t>
  </si>
  <si>
    <t>FRI AFTER 6:30PM AND ALL WEEKEND UNTIL TUES. 5AM</t>
  </si>
  <si>
    <t>three dash engine lights are on poor scr qua</t>
  </si>
  <si>
    <t>FRI AFTER 6:30PM UNTIL TUESDAY 5AM</t>
  </si>
  <si>
    <t>completed with no comments from Peterbilt.</t>
  </si>
  <si>
    <t xml:space="preserve">Parking brake is not working </t>
  </si>
  <si>
    <t>FRI AFTER 6:30PM ALL WEEKEND AND ALL DAY MONDAY</t>
  </si>
  <si>
    <t>NEW CABLES ON ORDER.AS OF OCT 25</t>
  </si>
  <si>
    <t xml:space="preserve">clamp rusted out and broken that holds the black tubes coming down from coolant        </t>
  </si>
  <si>
    <t xml:space="preserve">TODAY </t>
  </si>
  <si>
    <t>4AM</t>
  </si>
  <si>
    <t>RESECURED HOSES</t>
  </si>
  <si>
    <t>driverside pannel wheel hanging off revits broke</t>
  </si>
  <si>
    <t>REINSTALLED WITH NEW RIVETS.</t>
  </si>
  <si>
    <t xml:space="preserve">ROLL UP DOOR IS OFF THE TRACK ON THE PASSENGER SIDE </t>
  </si>
  <si>
    <t xml:space="preserve"> 630PM AND ALL WEEKEND</t>
  </si>
  <si>
    <t xml:space="preserve">ROLLUP DOOR COMPLETED BY R&amp;N    </t>
  </si>
  <si>
    <t>clip holding black tube from coolant tank broken all the way off now</t>
  </si>
  <si>
    <t>ALL DAY MONDAY</t>
  </si>
  <si>
    <t>LINES HAVE ALREADY BEEN RESECURED WITH ZIP TIES.</t>
  </si>
  <si>
    <t xml:space="preserve">abs light </t>
  </si>
  <si>
    <t>ALL DAY MON AND AFT 630PMTUES - FRIDAY</t>
  </si>
  <si>
    <t>ABS HARNESS ON ORDER AS OF MAR 6 - REPLACED HARNESS - AS55899</t>
  </si>
  <si>
    <t>Rail which ramp glids on is split and ramp falls down</t>
  </si>
  <si>
    <t>RAMP TRACK BENT AND DAMAGED - REMOVED RAMP AND REPIARED TRACK - AS55899</t>
  </si>
  <si>
    <t>leak in the roof of cab - it comes out of the mobile vision rear view screen hole in roof</t>
  </si>
  <si>
    <t>REPLACE MISSING MONO BOOLTS AND RESEALED WITH SILCONE - AS55899</t>
  </si>
  <si>
    <t>engine light and sudden stop alarm keeps going off even when i dont stop</t>
  </si>
  <si>
    <t xml:space="preserve">Tuesday to Friday aft 630pm and all weekend </t>
  </si>
  <si>
    <t>Can't find anything wrong with the unit</t>
  </si>
  <si>
    <t xml:space="preserve">two dash cheek engine lights </t>
  </si>
  <si>
    <t>AFT 630PM Fri and all weekend</t>
  </si>
  <si>
    <t xml:space="preserve">SHOP REPLACED THE TRANS FILTER </t>
  </si>
  <si>
    <t>defrost vents at windshield  do not work</t>
  </si>
  <si>
    <t>aft 6:30pmthur and Fri an all weekend</t>
  </si>
  <si>
    <t>ALL THE MODES WORKED FINE</t>
  </si>
  <si>
    <t xml:space="preserve">passenger side step is loose </t>
  </si>
  <si>
    <t xml:space="preserve"> AFT 630P TUES - FRI</t>
  </si>
  <si>
    <t>REPAIRED STEP</t>
  </si>
  <si>
    <t>top air vents on the dash not clearing windshield</t>
  </si>
  <si>
    <t>driver dropped a piece of plastic down the defrost vent and jammed the mode drum</t>
  </si>
  <si>
    <t>DRIVER'S SIDE HEADLIGHT OUT - DRIVER TRIED BUT COULD NOT REMOVE HEADLIGHT</t>
  </si>
  <si>
    <t>FRIDAY AFTER 6:30PM, ALL WEEKENDF AND ALL DAY MONDAY</t>
  </si>
  <si>
    <t>12V/120V POWER OUTLET NOT WORKING</t>
  </si>
  <si>
    <t>WAITING FOR WORK ORDER - WEEKEND SERVICE DEC 15-16 2018</t>
  </si>
  <si>
    <t>AS58575</t>
  </si>
  <si>
    <t>EXTERNAL TEMP GAUGE IS NOT WORKING AND INTERNAL TEMP GAUGE IS INCORRECT</t>
  </si>
  <si>
    <t>MIRROR ABOVE DOOR BROKEN ON PASSENGER SIDE</t>
  </si>
  <si>
    <t>DUE FOR SERVICE - PMB</t>
  </si>
  <si>
    <t>AS58790</t>
  </si>
  <si>
    <t>LIC PLATE STARTING TO PEEL</t>
  </si>
  <si>
    <t>COMPLETED BY PETERBILT MISS.</t>
  </si>
  <si>
    <t>ANNUAL SAFETY DUE IN FEB</t>
  </si>
  <si>
    <t>TUES</t>
  </si>
  <si>
    <t>AS59146</t>
  </si>
  <si>
    <t>HOOD MIRROR LOOSE AND HANGING DOWNWARDS - MIRROR IS NOW SPINNING IN THE WIND AND GETTING WORSE 2/21/19</t>
  </si>
  <si>
    <t>WAITING FOR WORK ORDER 3/1/19</t>
  </si>
  <si>
    <t>AS59363</t>
  </si>
  <si>
    <t>REAR STEPS ARE STUCK IN THE UP POSITION</t>
  </si>
  <si>
    <t xml:space="preserve">LOUD CLICKING OR KNOCKING NOISE COMING FROM ENGINE COMPARTMENT - CEL LIGHT ON DISPLAY READS FUEL RAIL 1 </t>
  </si>
  <si>
    <t>PLEASE CHECK COMPRESSOR FOR EXCESSIVE NOISE AT HIGHWAY SPEED</t>
  </si>
  <si>
    <t>ABS LIGHT ON AND OFF</t>
  </si>
  <si>
    <t>WAITING FOR WORK ORDER 4/15/19</t>
  </si>
  <si>
    <t>REPLACED WHEEL SPEED SENSOR - CONFIRMED AS COMPLETED BY MIKE THIBODEAU ON APRIL 22 2019, NO REPAIR COMMENTS ADDED</t>
  </si>
  <si>
    <t>POWER STEERING HOSE THAT IS ATTACHED TO POWER STEERING PUMP IS RUBBED THROUGH HOSE NEAR FRAME</t>
  </si>
  <si>
    <t>AT AYRSHOP WAITING FOR PARTS 5/2/19</t>
  </si>
  <si>
    <t>WAITING FOR PARTS 5/2/19</t>
  </si>
  <si>
    <t>CHIP OUT OF PASSENGER SIDE BACK TIRE OF TRAILER (TREAD)</t>
  </si>
  <si>
    <t>SPOKE WITH DRIVER, CHUNK MISSING IS NOT DOWN TO BELTING - 5/21/19</t>
  </si>
  <si>
    <t>ROLL UP DOOR ROLLER COMING OFF TRACK</t>
  </si>
  <si>
    <t>REPAIRED BY R&amp;N 5/10/19 - ALL ROLLERS NEED REPLACED</t>
  </si>
  <si>
    <t>COMPLETED AT AYRSHOP</t>
  </si>
  <si>
    <t>PMB SERVICE DUE IN JUNE</t>
  </si>
  <si>
    <t>COMPLETED BY AYRSHOP</t>
  </si>
  <si>
    <t>ABS YELLOW LIGHT IN TRACTOR IS ON</t>
  </si>
  <si>
    <t>REPAIRED BY AYRSHOP</t>
  </si>
  <si>
    <t>REPLACED CALIPERS AND ROTORS</t>
  </si>
  <si>
    <t>MIDDLE CLEARANCE LIGHT BURNT OUT</t>
  </si>
  <si>
    <t>LOUD HUM SOUND WHEN TURNING AND SOMETIMES BRAKING</t>
  </si>
  <si>
    <t>REPAIRED POWER STEERING PUMP</t>
  </si>
  <si>
    <t>PASSENGER SIDE SHOCK IS CORRODED - PLEASE REPLACED BOTH STEER AXLE SHOCKS</t>
  </si>
  <si>
    <t>A/C NOT WORKING, ONLY BLOWING HOT AIR</t>
  </si>
  <si>
    <t>ORDERED LINE FROM RECIEVER DRYER TO COMPRESSOR 2-3 WEEK LEAD TIME 9/12/19 - REPLACED RECIEVER DRYER AND LINE 9/8/19</t>
  </si>
  <si>
    <t>A/C POWER OUTLET ON RIGHT SIDE IS NOT WORKING</t>
  </si>
  <si>
    <t xml:space="preserve">REPLACED FUSE  </t>
  </si>
  <si>
    <t>DRIVERS SIDE TOP REARVIEW MIRROR DOES NOT DEFROST</t>
  </si>
  <si>
    <t xml:space="preserve">REPAIRED BY AYRSHOP </t>
  </si>
  <si>
    <t>REPLACED MIRRIOR 10/21/19 BUT BROKE HARNESS, MIRROR NEEDS REPLACED AGAIN</t>
  </si>
  <si>
    <t xml:space="preserve">GEAR SHIFT CLICKS HARD IN PARK AND NUETRAL WHEN BRAKE PEDAL DEPRESSED </t>
  </si>
  <si>
    <t>LOCKING PIN FOR BACK STEPS BROKEN</t>
  </si>
  <si>
    <t>REPAIRED BY DYLAN IN YARD</t>
  </si>
  <si>
    <t xml:space="preserve">REPLACED PIN </t>
  </si>
  <si>
    <t>REPLACED WIPER BLADES WITH WINTER BLADES</t>
  </si>
  <si>
    <t>REPLACED WIPER BLADES WITH WINTER ONES</t>
  </si>
  <si>
    <t>ANNUAL SAFETY DUE FEBRUARY 2020</t>
  </si>
  <si>
    <t>COMPLETED BY DYLAN IN YARD 2/3/20</t>
  </si>
  <si>
    <t>RETORQUE ALL AXLES BOTH SIDES FROM ANNUAL INSPECTION</t>
  </si>
  <si>
    <t>COMPLETED BY ARYRSHOP IN YARD</t>
  </si>
  <si>
    <t>NEEDS BLOWER MOTOR RESISTOR REPLACED - FAN SPEED 3 DOES NOT WORK - IDENTIFIED DURING ANNUAL INSPECTION</t>
  </si>
  <si>
    <t>REPLACED BLOWER MOTOR AND RESISTOR</t>
  </si>
  <si>
    <t>LOCKING PIN FOR STEPS INTO BOX OF TRUCK IS BROKEN</t>
  </si>
  <si>
    <t>LOCKING PIN FOR STAIRS HAS HAD A TEMP FIX BUT NEEDS REPAIRED PROPERLY, ALSO NEEDS A NEW NUT WELDED ON END TO REMOVE SLACK IN BUSHINGS 1/27/20</t>
  </si>
  <si>
    <t>NEEDS A GILITIEN CLAMP REPLACED DUE TO HEAVY CORROSION -  IDENTIFIED DURING ANNUAL INSPECTION</t>
  </si>
  <si>
    <t>REPLACED CLAMP</t>
  </si>
  <si>
    <t>ABS Issues</t>
  </si>
  <si>
    <t>REPAIRED IN STONEY CREEK</t>
  </si>
  <si>
    <t>Check Engine Light</t>
  </si>
  <si>
    <t>safety and regular service</t>
  </si>
  <si>
    <t>top passenger side vent is not blowing air properly it is either cold or hot with no inbetwen.</t>
  </si>
  <si>
    <t>COULD NOT DUPLICATE -  DID COMPLETE HVAC CHECK 3/6/17</t>
  </si>
  <si>
    <t>grab handle missing from rear of box.</t>
  </si>
  <si>
    <t>PARTS ON ORDER 3/6/17 - replaced handle 3/9/17</t>
  </si>
  <si>
    <t>steering is stiff - power steering may be overheating</t>
  </si>
  <si>
    <t>TUES TO FRI AFTER 6:30PM</t>
  </si>
  <si>
    <t xml:space="preserve">vents not allowing air to flow out properly either very hot or cold, no in between </t>
  </si>
  <si>
    <t xml:space="preserve">  TUE - FRI AFT 6PM AND ALL WEEKEND</t>
  </si>
  <si>
    <t xml:space="preserve">NEXTDAY </t>
  </si>
  <si>
    <t>5am</t>
  </si>
  <si>
    <t>no faults found with the cab HVAC.</t>
  </si>
  <si>
    <t>warped brake drum</t>
  </si>
  <si>
    <t>NO FAULTS FOUND WITH THE BRAKES</t>
  </si>
  <si>
    <t xml:space="preserve">rollers on roll up door are rusted and one is broken off </t>
  </si>
  <si>
    <t>replaced one roller and lubed the rest</t>
  </si>
  <si>
    <t>rear box light out</t>
  </si>
  <si>
    <t>ALL BOX LIGHTS ARE WORKING.</t>
  </si>
  <si>
    <t xml:space="preserve">A/C NOT WORKING </t>
  </si>
  <si>
    <t>aft 630pm Fri and all weekend</t>
  </si>
  <si>
    <t xml:space="preserve">Tuesday </t>
  </si>
  <si>
    <t>REPLACED A/C COMPRESSOR</t>
  </si>
  <si>
    <t>belt is frayed on one side</t>
  </si>
  <si>
    <t>REPLACED ENGINE BELT</t>
  </si>
  <si>
    <t>CEL light on</t>
  </si>
  <si>
    <t xml:space="preserve">HUB OIL LOW ON </t>
  </si>
  <si>
    <t xml:space="preserve"> TUE -FRI AFT 630PM</t>
  </si>
  <si>
    <t xml:space="preserve">BOX HAS SHIFTED </t>
  </si>
  <si>
    <t>BROKEN HOOD MIRROR</t>
  </si>
  <si>
    <t>drivers side headlight out</t>
  </si>
  <si>
    <t>Tues to Fri after630pm</t>
  </si>
  <si>
    <t>replaced headlight bulb</t>
  </si>
  <si>
    <t xml:space="preserve">abs light on </t>
  </si>
  <si>
    <t>TUES TO FRI AFTER 6:30AM</t>
  </si>
  <si>
    <t>SHOP COMPLETED, REPLACED STEER AXLE ROTORS</t>
  </si>
  <si>
    <t>Drivers door opens too far - door stop strap broken?</t>
  </si>
  <si>
    <t>SHOP COMPLETED, REPLACED DOOR STRAP.</t>
  </si>
  <si>
    <t>Retorque  front Right and Left</t>
  </si>
  <si>
    <t>MONDAY ALL DAY</t>
  </si>
  <si>
    <t>RETORQUED STEER AXLE WHEELS</t>
  </si>
  <si>
    <t>air leak</t>
  </si>
  <si>
    <t>FRI AFTER 6:30PM AND ALL WEEKEND PLUS ALL DAY MONDAY</t>
  </si>
  <si>
    <t>NO AIR LEAKS FOUND.  VALVE MAY HAVE BEEN FROZEN AT THE TIME OF THE LEAK.</t>
  </si>
  <si>
    <t>please replace windshieild wipers</t>
  </si>
  <si>
    <t>FRI AFTER 6:30PM AND ALL WEEKEND</t>
  </si>
  <si>
    <t>MONDAY</t>
  </si>
  <si>
    <t>REPLACED THE WIPERS.</t>
  </si>
  <si>
    <t>DEAD BATTERY</t>
  </si>
  <si>
    <t>REPLACED ONE BATTERY.</t>
  </si>
  <si>
    <t xml:space="preserve">purge valve leaking </t>
  </si>
  <si>
    <t>REPLACED THE AUTO VALVE WITH A MANUAL ONE.</t>
  </si>
  <si>
    <t xml:space="preserve">wrench WARNING  light on </t>
  </si>
  <si>
    <t>RESET THE CODES AND REPLACED THE TRANS FILTER.</t>
  </si>
  <si>
    <t xml:space="preserve">ROLL UP DOOR PASSENGER SIDE NOT WORKINH PROPPERLY </t>
  </si>
  <si>
    <t xml:space="preserve">COMPLETED BY R&amp;N  </t>
  </si>
  <si>
    <t xml:space="preserve">air bags not inflating </t>
  </si>
  <si>
    <t>DONE BY AYR SHOP</t>
  </si>
  <si>
    <t xml:space="preserve">POWER STEERING RESIVOR CAPS MISSING </t>
  </si>
  <si>
    <t>CAPS ODERED -  Replaced caps 03/23/18</t>
  </si>
  <si>
    <t>unit not missing cap…fluid ok</t>
  </si>
  <si>
    <t xml:space="preserve">MANUAL PURGE  valve leaking </t>
  </si>
  <si>
    <t>valve left open</t>
  </si>
  <si>
    <t>Heater/Defrost is either cold or hot no in between</t>
  </si>
  <si>
    <t>TUES -FRI AFT 630PM</t>
  </si>
  <si>
    <t>REPLACED THE TEMP CONTROL ACTUATOR</t>
  </si>
  <si>
    <t>LEAKING FROM ROOF AROUND BACK UP CAM MONITER</t>
  </si>
  <si>
    <t>RESEAL THE WIRING GOING THROUGH THE BOX FOR THE BACK UP CAMERA ON THE BOX.</t>
  </si>
  <si>
    <t xml:space="preserve">DOOR CHIMES GO OFF WITH NO KEYS </t>
  </si>
  <si>
    <t>REMOUNTED THE PARK BRAKE SWITCH</t>
  </si>
  <si>
    <t>ROLL UP DOOR HAS BROKEN ROLLER</t>
  </si>
  <si>
    <t>ALL DAY TODAY AND ALL WEEKEND</t>
  </si>
  <si>
    <t xml:space="preserve">TUESDAY </t>
  </si>
  <si>
    <t>replaced the rollers</t>
  </si>
  <si>
    <t xml:space="preserve"> TRIM ON BOTTOM OF DOOR FALLING OFF</t>
  </si>
  <si>
    <t>replaced the trim</t>
  </si>
  <si>
    <t xml:space="preserve">DOOR CHYME GOES OFFWHEN DOOR IS OPEN WITHOUT KEYS </t>
  </si>
  <si>
    <t>ALL DAY MONDAY &amp; AFT 630P TUES - FRI</t>
  </si>
  <si>
    <t>NO COMMENT ADDED FROM AYRSHOP</t>
  </si>
  <si>
    <t>DOOR CHIME SOUNDS WHEN IGNITION IS OFF,  DOOR IS CLOSED AND KEY IS OUT.</t>
  </si>
  <si>
    <t>FRI AFTER 5PM AND DAY SAT, SUN AND MON.</t>
  </si>
  <si>
    <t>BATTERY SEEMS TO DRAIN OVERNIGHT  - TRUCK IS SLOW TO TURN OVER IN MORNING.</t>
  </si>
  <si>
    <t>PARKED ALL DAY WED</t>
  </si>
  <si>
    <t>REPLACED 3 BATTERIES</t>
  </si>
  <si>
    <t>WARNING CHIME ACTING UP AGAIN. - PLEASE REFER TO PREVIOUS WORK ORDER FROM OCT 20TH 2018</t>
  </si>
  <si>
    <t>WAITING FOR WORK ORDER - MONDAY DEC 10TH 2018</t>
  </si>
  <si>
    <t>No air coming out of defrost</t>
  </si>
  <si>
    <t>DOOR CHIME SOUNDS WHEN TRUCK IS OFF WITH NO KEY IN THE IGNITION - PLEASE REPLACED SENSOR ON E-BRAKE</t>
  </si>
  <si>
    <t>AS58965</t>
  </si>
  <si>
    <t>ANNUAL SAFTEY DUE IN FEB</t>
  </si>
  <si>
    <t>WAITING FOR WORK ORDER 2/16/19</t>
  </si>
  <si>
    <t>AS59230</t>
  </si>
  <si>
    <t>ABS NOT WORKING - HAVE TO PUSH BRAKE ALL THE WAY TO THE FLOOR TO STOP VEHICLE</t>
  </si>
  <si>
    <t>WAITING FOR WORK ORDER 3/12/19</t>
  </si>
  <si>
    <t>AS59451</t>
  </si>
  <si>
    <t xml:space="preserve">BOTH HOOD SUPPORT CABLES ARE BROKEN </t>
  </si>
  <si>
    <t>WAITING FOR WORK ORDER 3/25/19 - COMPLETED BY DYLAN IN YARD</t>
  </si>
  <si>
    <t>CONFIRMED AS COMPLETED BY MIKE THIBODEAU ON APRIL 22 2019, NO REPAIR COMMENTS ADDED</t>
  </si>
  <si>
    <t>LISENCE PLATE PEELING……UNREADABLE</t>
  </si>
  <si>
    <t>PLATES RENEWED</t>
  </si>
  <si>
    <t>EMERGENCY BRAKE CABLE IS BROKEN</t>
  </si>
  <si>
    <t>WAITING FOR PARTS 5/1/19 - REPLACED CABLE</t>
  </si>
  <si>
    <t>PASSENGER SIDE DOOR TRIM FALLING OFF</t>
  </si>
  <si>
    <t>REPAIRED BY DYLAN IN YARD 6/3/19</t>
  </si>
  <si>
    <t>FLASHING WRENCH WARNING LIGHT IS ON</t>
  </si>
  <si>
    <t>FRONT PASSENGER SIDE SHOCK LEAKING</t>
  </si>
  <si>
    <t>REPLACED BOTH STEER AXLE SHOCKS</t>
  </si>
  <si>
    <t>ENGINE FAN CONTINUOUSLY RUNNING</t>
  </si>
  <si>
    <t>BACKED OF TENSION</t>
  </si>
  <si>
    <t>PASSENGER SIDE MIRROR NOT DEFROSTING</t>
  </si>
  <si>
    <t>REPLACED BY DYLAN IN YARD</t>
  </si>
  <si>
    <t xml:space="preserve">DIAGNOSED AS PASSENGER SIDE BY DYLAN - PARTS ON ORDER 12/17/19 </t>
  </si>
  <si>
    <t>COMPLETED BY AYRSHOP 2/10/20</t>
  </si>
  <si>
    <t>MD B SERVICE DUE IN DECEMBER 2019</t>
  </si>
  <si>
    <t xml:space="preserve">Air leak from tank </t>
  </si>
  <si>
    <t>Tues - Fri after 630p</t>
  </si>
  <si>
    <t xml:space="preserve">next day </t>
  </si>
  <si>
    <t>NO AIR LEAK PRESENT</t>
  </si>
  <si>
    <t xml:space="preserve">FRONT PASSENGER SIDE  LIGHT IS OUT </t>
  </si>
  <si>
    <t>replaced broken bulb and retaining screw</t>
  </si>
  <si>
    <t>not engaging overdrive</t>
  </si>
  <si>
    <t>roll uo door missing two rollers</t>
  </si>
  <si>
    <t>REPLACED THE TWO BROKEN REAR DOOR ROLLERS.</t>
  </si>
  <si>
    <t>passenger side windshield cracked</t>
  </si>
  <si>
    <t>WINDSHIELD HAS BEEN REPLACED.?</t>
  </si>
  <si>
    <t>electronic brake does not operate and does not work</t>
  </si>
  <si>
    <t>REPAIRED WIRING TO MOTOR</t>
  </si>
  <si>
    <t>broken welds on box Gussets</t>
  </si>
  <si>
    <t>taken to Ayrshop by Will Neil to have Gussets re-welded</t>
  </si>
  <si>
    <t xml:space="preserve">HUB SIGHT GLASS IS CLOUDED - HARD TO READ </t>
  </si>
  <si>
    <t>REPLACED SIGHT GLASS</t>
  </si>
  <si>
    <t>Roll up door is very stiff - parts are falling off the rollers</t>
  </si>
  <si>
    <t xml:space="preserve">DEF CAP NOT SEALING </t>
  </si>
  <si>
    <t>replaced DEF tank cap</t>
  </si>
  <si>
    <t xml:space="preserve">STARTER Will not  start </t>
  </si>
  <si>
    <t>Boosted unit let run for 30min.</t>
  </si>
  <si>
    <t xml:space="preserve">Truck will not start  again  IN DOCK DOOR </t>
  </si>
  <si>
    <t>TUES TO FRI AFTER 6:3.0AM</t>
  </si>
  <si>
    <t>replaced 3 batteries</t>
  </si>
  <si>
    <t>Right rear signal light is out (short in wire?)</t>
  </si>
  <si>
    <t>REPLACED THE LIGHT AND REPAIRED THE WIRING.</t>
  </si>
  <si>
    <t xml:space="preserve">Retorque  right and Left </t>
  </si>
  <si>
    <t>RETORQUED ALL WHEELS</t>
  </si>
  <si>
    <t>low hub oil</t>
  </si>
  <si>
    <t>TOPPED UP AT WHITBY PACLEASE - NO OTHER ISSUE IDENTIFIED</t>
  </si>
  <si>
    <t>severe pitting drivers side wind shield</t>
  </si>
  <si>
    <t>ALL day today AFTER 6:30PM TUE - FRI</t>
  </si>
  <si>
    <t>WINDSHIELD IS NOT PITTED JUST VERY DIRTY ON THE INSIDE.</t>
  </si>
  <si>
    <t>Windshield Wipers - fails to clear adequately</t>
  </si>
  <si>
    <t>REPLACED THE WIPER AND REPAIRED THE WASHER NOZZLES</t>
  </si>
  <si>
    <t>3rd setting on fan speed does not work</t>
  </si>
  <si>
    <t>replaced blower motor resistor</t>
  </si>
  <si>
    <t>door spring on drivers side is broken</t>
  </si>
  <si>
    <t>replaced driver's door strap</t>
  </si>
  <si>
    <t>door chime goes off when everything is shut down</t>
  </si>
  <si>
    <t>re attached parking brake switch</t>
  </si>
  <si>
    <t>step lock broken</t>
  </si>
  <si>
    <t>UNIT WILL HAVE TO GO TO THE SHOP FOR THIS AND THIS UNIT HAS A CEL ON AND THE PARKING BRAKE SWITCH IS NOT WORKING EITHER. - REPLACE BROKEN STEP LOCK</t>
  </si>
  <si>
    <t>ROLL UP DOOR STRAP HAS TORN OFF</t>
  </si>
  <si>
    <t>R&amp;N TRAILER ORDERING STRAP 6/19/18</t>
  </si>
  <si>
    <t>PAINT ON LIC PLATE HAS PEALED AND NOT ALL OF THE LETTERS AND NUMBERS ARE VISIBLE</t>
  </si>
  <si>
    <t>ALL WEEK</t>
  </si>
  <si>
    <t>plates relaced  July17/18</t>
  </si>
  <si>
    <t>LIC PLATE REPLACED</t>
  </si>
  <si>
    <t>OVERDRIVE NOT WORKING ON TRUCK</t>
  </si>
  <si>
    <t>test drove unit. Overdrive worked. Checked ribbon its in the right spot</t>
  </si>
  <si>
    <t>transmition will not shift from lower gear to high</t>
  </si>
  <si>
    <t>transmission was not he fault, unit was in a derate, unit has had the SCR Cat replaced and both NOX sensors,</t>
  </si>
  <si>
    <t>body</t>
  </si>
  <si>
    <t>INSIDE OF CAB LEAKS AT REVESE CAMERA MOUNT WHEN RAINING</t>
  </si>
  <si>
    <t>AS58494 REPLACED PASS. SIDE WINDSHIELD</t>
  </si>
  <si>
    <t>crack passengr side windshield</t>
  </si>
  <si>
    <t>PARKED UNTIL TUESDAY 6AM</t>
  </si>
  <si>
    <t>completed work order to come</t>
  </si>
  <si>
    <t>AS58494</t>
  </si>
  <si>
    <t>interior hood cables broken</t>
  </si>
  <si>
    <t>FIRST AID KIT MISSING FROM TRUCK</t>
  </si>
  <si>
    <t>CHECKED WITH DRIVER AND FIRST AID KIT HAS BEEN REPLACED</t>
  </si>
  <si>
    <t>LEFT HEADLIGHT OUT</t>
  </si>
  <si>
    <t>WAITING FOR WORK ORDER 1/22/19</t>
  </si>
  <si>
    <t>AS58967</t>
  </si>
  <si>
    <t>PARKING BRAKE LEVER IS BROKEN IN HALF - TRUCK IS CURRENTLY BLOCKING DOOR 1 AT 505 SOUTHGATE DR. GUELPH ON.</t>
  </si>
  <si>
    <t>WAITING FOR WORK ORDER 4/1/19
COMPLETED BY DYLAN IN YARD</t>
  </si>
  <si>
    <t>WRENCH WARNING LIGHT FLASHING - NEEDS TO BE DIAGNOSED BY SOFTWARE - DRIVER REPORTED IRREGULAR SHIFTING PATTERN AND EXCESSIVE RPM'S</t>
  </si>
  <si>
    <t>WAITING FOR WORK ORDER 4/11/19
COMPLETED BY DYLAN IN YARD</t>
  </si>
  <si>
    <t>DRIVER'S SIDE DOOR IS VERY HARD TO CLOSE - DOOR CATCH MECHANISM WILL ONLY CATCH ON THE SAFETY PORTION AND DOOR DOES NOT CLOSE ALL THE WAY</t>
  </si>
  <si>
    <t>DRIVERS SIDE DOOR NOT LINING UP WITH DOOR CATCH - DOOR IS STILL HARD TO OPEN AND CLOSE</t>
  </si>
  <si>
    <t>RE-ALIGNED DOOR</t>
  </si>
  <si>
    <t>SHOCKS ARE SEVERLY CORRODED AND DO NOT APPEAR TO HAVE ANY OIL OR GREASE IN THEM</t>
  </si>
  <si>
    <t>WAITING FOR PARTS 5/1/19</t>
  </si>
  <si>
    <t>LEAKING OIL</t>
  </si>
  <si>
    <t>REPAIRED BY AYRSHOP 5/13/19</t>
  </si>
  <si>
    <t>PASSENGER SIDE WINDSHIELD CRACKED</t>
  </si>
  <si>
    <t>REPAIRED AS OF 5/21/19</t>
  </si>
  <si>
    <t>PARKING BRAKE CABLE IS BROKEN</t>
  </si>
  <si>
    <t>PARTS ON ORDER 6/5/19</t>
  </si>
  <si>
    <t>REPLACED CABLE FROM ASSEMBLY TO BRAKES</t>
  </si>
  <si>
    <t>AIR CONDITIONER NOT BLOWING CORRECTLY THROUGH DASHBOARD VENTS 6/3/19  - AIR CONDITIONING NOW NO LONGER WORKING 7/3/19</t>
  </si>
  <si>
    <t>FRONT END SHAKES AT 60-80km/h</t>
  </si>
  <si>
    <t>STEERING PULLS RIGHT WHEN BRAKING</t>
  </si>
  <si>
    <t>GEAR SHIFT MARKER IS OFF TRACK</t>
  </si>
  <si>
    <t>REPAIRED JUNE 14</t>
  </si>
  <si>
    <t>NEEDS RIGHT SIDE DOCK BUMPER REPLACED - PLEASE REPLACE BOTH IF LEFT SIDE IS WORN</t>
  </si>
  <si>
    <t>BUMPER REPLACED</t>
  </si>
  <si>
    <t>ROLL UP DOOR NEEDS 2 DOOR HINGES REPLACED - AS PER DYLAN'S PMA SERVICE</t>
  </si>
  <si>
    <t>HINGES REPLACED</t>
  </si>
  <si>
    <t>TXV VALVE LEAKING - AS PER DYLAN'S PMA SERVICE</t>
  </si>
  <si>
    <t>DEF DOSER VALVE LEAKING - AS PER DYLAN'S PMA SERVICE</t>
  </si>
  <si>
    <t>DEF DOSER REPLACED</t>
  </si>
  <si>
    <t>TRUCK SHAKES EXCESSIVELY BETWEEN 80-100 KM/HR</t>
  </si>
  <si>
    <t>REPLACED STEER TIRES</t>
  </si>
  <si>
    <t>TIRE ON DRIVERS SIDE NEED TO BE REMOVED AND REPLACED AS PER DYLAN - TIRE DID NOT SIT PROPERLY ON RIM CAUSING TRUCK TO WOBBLE BETWEEN 75 AND 80 KPH</t>
  </si>
  <si>
    <t>PASSENGER SIDE HUB IS TOO TIGHT AS PER DYLAN - TIRE HAS NO FREE SPIN AND THERE IS NO BRAKE GRAB</t>
  </si>
  <si>
    <t>NO ISSUE FOUND AT AYRSHOP - 10/7/19</t>
  </si>
  <si>
    <t>LOWER RAD PIPE NEEDS REPLACED AS PER DYLAN - HEAVY CORROSION</t>
  </si>
  <si>
    <t>REPLACED LOWER RAD PIPE</t>
  </si>
  <si>
    <t>MAY NEED AN ALIGNMENT - TIRES ON BOTH SIDES WEARING ON OUTER EDGES</t>
  </si>
  <si>
    <t>ALIGNMENT NOT NEEDED</t>
  </si>
  <si>
    <t>COMPLETED BY AYRSHOP IN YARD</t>
  </si>
  <si>
    <t>DRIVER SIDE WIPER BLADE DAMAGED</t>
  </si>
  <si>
    <t>NEEDS TO GO TO AYRSHOP FOR REAR ROTOR REPLACEMENT (TONE RINGS ROTTEN) AND A COOLANT TEMP SENSOR REPLACEMENT (SHORTING INTERNALLY) DIAGNOSED BY DYLAN 12/17/19</t>
  </si>
  <si>
    <t>ANNUAL SAFETY DUE JANUARY 2020</t>
  </si>
  <si>
    <t>MD A #2 SERVICE DUE IN DECEMBER 2020</t>
  </si>
  <si>
    <t>RE-TORQUE ALL WHEELS ON BOTH SIDES</t>
  </si>
  <si>
    <t xml:space="preserve">COMPLETED BY DYLAN IN YARD </t>
  </si>
  <si>
    <t>INCORRECT INFORMATION ON SAFETY PAPERWORK - ID NUMBER MATCHES STICKER BUT VIN AND LIC. PLATE ARE INCORRECT</t>
  </si>
  <si>
    <t>CORRECTED INFORMATION AND REPLACED STICKER AND PAPERWORK</t>
  </si>
  <si>
    <t>36 DAY TRANSFER STILL NEEDS COMPLETED</t>
  </si>
  <si>
    <t xml:space="preserve">back up camera cutting in and out </t>
  </si>
  <si>
    <t xml:space="preserve">ALL WEEKEND </t>
  </si>
  <si>
    <t>PARTS ON ORDER 3/6/17</t>
  </si>
  <si>
    <t>parking brake will not engage - wheels are chaulked</t>
  </si>
  <si>
    <t>broken welds on box Gussets on driver's side middle. Please check all gusset for broken welds</t>
  </si>
  <si>
    <t>Belt worn ,needs replacing</t>
  </si>
  <si>
    <t xml:space="preserve">truck wobbles when braking </t>
  </si>
  <si>
    <t>FRIDAY AFTER 630PM AND ALL WEEKEND</t>
  </si>
  <si>
    <t>SHOP REPLACED THE BRAKES</t>
  </si>
  <si>
    <t xml:space="preserve">Retorque right and Left </t>
  </si>
  <si>
    <t>gears shift way to hard</t>
  </si>
  <si>
    <t>NEUTRAL SAFETY SWITCH ON ORDER AS OF MAR 5,  REPLACED THE "N" SAFETY SWITCH UNIT IS READY TO GO</t>
  </si>
  <si>
    <t>R&amp;N TRAILER REPLACING STRAP 6/19/18</t>
  </si>
  <si>
    <t>Passenger side running lite is out</t>
  </si>
  <si>
    <t>WINDSHIELD WASHER NOT PUMPING TO WINDSHEILD</t>
  </si>
  <si>
    <t>TUES TO FRI AFTER 630PM</t>
  </si>
  <si>
    <t>NO COMMENTS ADDED</t>
  </si>
  <si>
    <t>CHECK ENGINE LIGHT ON WITH 2 WARNINGS - DRIVER FEELS TRUCK HAS LOSS OF POWER GOING UP HILLS</t>
  </si>
  <si>
    <t>BEING REPAIRED IN PETERBILT CARP</t>
  </si>
  <si>
    <t>SO2314</t>
  </si>
  <si>
    <t>CHECK ENGINE LIGHT ON</t>
  </si>
  <si>
    <t>WAITING FOR WORK ORDER 1/30/19</t>
  </si>
  <si>
    <t>AS59041</t>
  </si>
  <si>
    <t>DRIVER SIDE STEER TIRE HAS A NAIL THROUGH THE SIDEWALL AND NEED TO BE REPLACED TIRES ARE AT 9/32NDS(I THINK) - PLEASE REPLACE BOTH STEER TIRES</t>
  </si>
  <si>
    <t>WAITING FOR WORK ORDER - TIRES HAVE BEEN REPLACED</t>
  </si>
  <si>
    <t>SERPRNTINE BELT REPLACED BUT PULLEY MAKING A LOUD SQUEAL</t>
  </si>
  <si>
    <t>WAITING FOR WORK ORDER 2/8/19</t>
  </si>
  <si>
    <t>RE-TORQUE STEER AXLE FROM TIRE REPLACEMENT</t>
  </si>
  <si>
    <t>THURSDAY</t>
  </si>
  <si>
    <t>REAR LISENCE PLATE DE-LAMINATED</t>
  </si>
  <si>
    <t>DRIVER PICKED UP NEW PLATE AT CERVUS IN MISSISSAUGA IN FEBRUARY</t>
  </si>
  <si>
    <t>AIR BAGS LEAKING</t>
  </si>
  <si>
    <t>DYLAN SOAPED AIR BAGS BUT COULD NOT FIND ANY LEAKS</t>
  </si>
  <si>
    <t>AIR BAGS LEAKING OUT OVERNIGHT</t>
  </si>
  <si>
    <t>CHECK ENGINE LIGHT IS ON</t>
  </si>
  <si>
    <t>CODE INDICATED INACTIVE DOSER VALVE, CLEARED CODE, RAN RE-GEN, LIGHT OUT NO CODE RETURNED</t>
  </si>
  <si>
    <t>CHECKED BY DYLAN IN YARD - WAITING FOR REPLY 7/22/19</t>
  </si>
  <si>
    <t>DYLAN REPLACED DOSER VALVE IN YARD 7/23/19</t>
  </si>
  <si>
    <t>HOOD RESTRAINT CABLES BROKEN - BOTH SIDES</t>
  </si>
  <si>
    <t>REPLACED BY MISSISSAUGA PETERBILT</t>
  </si>
  <si>
    <t>THRESHOLD PLATE IS LIFTING</t>
  </si>
  <si>
    <t>RE-BOLTED THRESHOLD PLATE</t>
  </si>
  <si>
    <t>REPLACED FORWARD NOX SENSOR</t>
  </si>
  <si>
    <t>COMPLETED IN YARD BY DYLAN</t>
  </si>
  <si>
    <t>MD A SERVICE DUE IN JANARY 2020</t>
  </si>
  <si>
    <t>ALL 4 SHOCKS NEED REPLACED</t>
  </si>
  <si>
    <t>REPORTED BY DYLAN DURING ANNUAL INSPECTION 1/24/20</t>
  </si>
  <si>
    <t>RIGHT SIDE LOWER DOOR ROLLER MISSING WHEEL</t>
  </si>
  <si>
    <t>RETORQUE BOTH AXLES BOTH SIDES FROM ANNUAL INSPECTION</t>
  </si>
  <si>
    <t xml:space="preserve">COMPLETED BY AYRSHOP IN YARD </t>
  </si>
  <si>
    <t>ALL FOUR WHEELS NEED BRAKE PADS REPLACED</t>
  </si>
  <si>
    <t>AT AYRSHOP 2/10/20</t>
  </si>
  <si>
    <t>REPORTED BY DYLAN DURING ANNUAL INSPECTION 1/24/20 - REPLACED ALL BRAKE PADS, ROTORS WERE FINE 2/14/20</t>
  </si>
  <si>
    <t>MOST GUSSETS NEED REPAIRED OR REPLACED</t>
  </si>
  <si>
    <t>REPORTED BY DYLAN DURING ANNUAL INSPECTION 1/24/20 - REPLACED ALL GUSSETS 2/14/20</t>
  </si>
  <si>
    <t>PASSENGER SIDE WINDSHIELD NEEDS REPLACED - STONE CHIP IN PATH OF WIPER</t>
  </si>
  <si>
    <t>REPLACED BOTH WINDSHEILDS</t>
  </si>
  <si>
    <t>ABS light on fault code #1</t>
  </si>
  <si>
    <t>unit will have to go to Ayrshop for replairs during safety - brake job done during Safety 02/15/17</t>
  </si>
  <si>
    <t>truck shakes when braking and driver noticed brakes smoking.</t>
  </si>
  <si>
    <t>check engine fault #1</t>
  </si>
  <si>
    <t xml:space="preserve">licence plate light is out </t>
  </si>
  <si>
    <t xml:space="preserve">WELDS ON GUSETS CRACKED </t>
  </si>
  <si>
    <t>REPAIRED BY R&amp;N - REPLACED FRONT GUSSTES AND RE-WELDED REAR. PAINTED ALL.</t>
  </si>
  <si>
    <t>box light out</t>
  </si>
  <si>
    <t>REPLACED BOX LIGHT</t>
  </si>
  <si>
    <t>GUSSET PLATES CRACKING</t>
  </si>
  <si>
    <t>WELDED GUSSETS 8/9/17</t>
  </si>
  <si>
    <t>CHECK ENGINE LIGHT  ON</t>
  </si>
  <si>
    <t>FRI AFTER 630PM  ALL WEEKEND</t>
  </si>
  <si>
    <t>NEEDS TO GO TO ARYSHOP- CEL LIGHT HAS BEEN ADDRESSED</t>
  </si>
  <si>
    <t xml:space="preserve">ABS light is on </t>
  </si>
  <si>
    <t>STEER AXLE ROTORS ON ORDER 8/9/17 - ROTORS HAVE BEEN REPLACED</t>
  </si>
  <si>
    <t xml:space="preserve">belt fraying anf craked </t>
  </si>
  <si>
    <t>BELT HAS BEEN REPLACED</t>
  </si>
  <si>
    <t xml:space="preserve"> Alternator is in very bad condition (bearings are shot )</t>
  </si>
  <si>
    <t>ALTERNATOR HAS BEEN REPLACED</t>
  </si>
  <si>
    <t>Lic. Plate light out</t>
  </si>
  <si>
    <t>SIDE DOOR IS STICKING</t>
  </si>
  <si>
    <t>ALL DAY MON &amp; TUE -FRI AFT 630PM</t>
  </si>
  <si>
    <t>NO FAULTS FOUND WITH EITHER DRIVERS DOOR OR PASSENGER SIDE DOOR.  LUBED THE DOORS JUST INCASE.</t>
  </si>
  <si>
    <t>WEATHER STRIPPING ON ROLL UP DOOR IS WEARINF AND SEPARATING FROM DOOR</t>
  </si>
  <si>
    <t>ONLY SMALL AMOUNTS OF THE REAR DOOR SEAL ARE TORN DOES NOT NEED TO BE REPLACED YET.</t>
  </si>
  <si>
    <t>driver side door lock sticking and or not unlocking</t>
  </si>
  <si>
    <t>MON ALL DAY</t>
  </si>
  <si>
    <t>replaced door Actuator</t>
  </si>
  <si>
    <t>truck is shaking at higher speeds</t>
  </si>
  <si>
    <t>road tested with no issue's found</t>
  </si>
  <si>
    <t>black cable loom loose and banging around on outside of cab.</t>
  </si>
  <si>
    <t>SHOP REPAIRED THE UNIT</t>
  </si>
  <si>
    <t xml:space="preserve">LICENCE PLATE LIGHT IS OUT </t>
  </si>
  <si>
    <t>REPLACED THE LIGHT.</t>
  </si>
  <si>
    <t>rear facing driver side marker  out</t>
  </si>
  <si>
    <t>FRI AFTER 6:30PM AND ALL WEEKEND AND ALL DAY MONDAY</t>
  </si>
  <si>
    <t>WAITING FOR PETERBILT COMMENTS</t>
  </si>
  <si>
    <t>SHOP REPLACED THE LIGHT</t>
  </si>
  <si>
    <t>rear tail light working intermittently</t>
  </si>
  <si>
    <t>TUE - FRI AFTER 630PM AND ALL WEEKEND</t>
  </si>
  <si>
    <t>REPAIRED THE WIRING TO BOTH THE TAIL LIGHTS.</t>
  </si>
  <si>
    <t>driver side rear running light not working </t>
  </si>
  <si>
    <t>ALL LIGHTS ARE WORKING</t>
  </si>
  <si>
    <t>CHECK ENGINE LIGHT - transmission fluid filter very deteriorated</t>
  </si>
  <si>
    <t xml:space="preserve">ROLL UP DOOR STAP IS ALMOST TORN THROUGH  NEEDS REPLACING </t>
  </si>
  <si>
    <t>R&amp;N TRAILER REPAIRED STRAP 6/19/18</t>
  </si>
  <si>
    <t>MARKER LIGHTS ON DRIVER AND PASSENGER SIDE NOT WORKING  - THESE ARE A SIGNAL/MARKER LIGHT MOUNTED ON THE WHEEL WELLS FACING THE REAR OF THE TRUCK</t>
  </si>
  <si>
    <t>AS58573</t>
  </si>
  <si>
    <t>REVERSE LIGHT OUT</t>
  </si>
  <si>
    <t>OIL LINE NEEDS REPLACED - AS PER MATT ELLIOT</t>
  </si>
  <si>
    <t>WAITING FOR WORK ORDER 3/21/19 - COMPLETED BY DYLAN IN YARD</t>
  </si>
  <si>
    <t>LICENSE PLATE PEELING - NEEDS REPLACED</t>
  </si>
  <si>
    <t>PLATED RENEWED</t>
  </si>
  <si>
    <t>DRIVER SIDE WIPER BROKEN</t>
  </si>
  <si>
    <t>REPLACED ON SLEEMAN YARD</t>
  </si>
  <si>
    <t>DRIVER SIDE REAR SIGNAL NOT WORKING</t>
  </si>
  <si>
    <t>REAR FACING DRIVER SIDE SIGNAL NOT WORKING</t>
  </si>
  <si>
    <t>DYLAN REPAIRED WIRE BUT NEEDS NEW LIGHT AS WELL 7/15/19 - COMPLETED BY DYLAN IN YARD 7/22/19</t>
  </si>
  <si>
    <t>AIR CONDITIONER NOT WORKING PROPERLY 7/12/19 - NOW IS CUTTING IN AND OUT - MOSLY OUT 7/17/19</t>
  </si>
  <si>
    <t>CHECKED BY DYLAN IN YARD, A/C HELD COLD FOR OVER AN HOUR WHILE MANUAL RE-GEN WAS PERFORMED</t>
  </si>
  <si>
    <t>TRUCK CODING NOX SENSOR</t>
  </si>
  <si>
    <t>CALIBRATION UPDATED BY DYLAN IN YARD</t>
  </si>
  <si>
    <t>TRUCK NEEDS NEW SERPINTINE BELT</t>
  </si>
  <si>
    <t>DYLAN REPLACED BELT AND TENSIONER IN YARD</t>
  </si>
  <si>
    <t>DEF NOT WORKING - DRIVER IS GOING TO MONITOR FOR TIME BEING</t>
  </si>
  <si>
    <t>DRIVER MONITORED ISSUE AND REPORTED THAT EVERYTHING IS WORKING</t>
  </si>
  <si>
    <t>WRENCH LIGHT ON IN DASH, FAULT CODE READS TRANSMISSION ISSUE</t>
  </si>
  <si>
    <t>REPLACED TRANSMISSION FILTER</t>
  </si>
  <si>
    <t>TRUCK PULLS TO RIGHT WHEN BRAKING AT HIGHWAY SPEEDS</t>
  </si>
  <si>
    <t>AT AYRSHOP</t>
  </si>
  <si>
    <t>RELPACED KING PINS ON STEER AXLE AND RE-ALIGNED</t>
  </si>
  <si>
    <t>A/C BLOWS HOT AIR ONLY</t>
  </si>
  <si>
    <t>A/C REPAIRED BY AYRSHOP</t>
  </si>
  <si>
    <t>WASHER FLUID TANK LEAKING</t>
  </si>
  <si>
    <t>REPLACED TANK</t>
  </si>
  <si>
    <t>TRUCK PULLS TO THE RIGHT WHEN DRIVING AND TO THE LEFT WHEN BRAKING</t>
  </si>
  <si>
    <t>REPLACED MASTER CYLINDER, BRAKE LINES AND STEER TIRES</t>
  </si>
  <si>
    <t>other</t>
  </si>
  <si>
    <t xml:space="preserve">TRUCK WILL NOT START    </t>
  </si>
  <si>
    <t>REAR BOX STEPS HAS A BROKEN WELD ON PASSENGER SIDE</t>
  </si>
  <si>
    <t>RE- WELDED</t>
  </si>
  <si>
    <t>BATTERIES NOT HOLDING CHARGE</t>
  </si>
  <si>
    <t>REPLACED BATTERIES</t>
  </si>
  <si>
    <t>MD B SERVICE DUE IN DECEMBER 2020</t>
  </si>
  <si>
    <t>ANNUAL SAFETY DUE IN FEBRUARY 2020</t>
  </si>
  <si>
    <t>PASSENGER SIDE WINDSHEILD NEEDS REPAIRED</t>
  </si>
  <si>
    <t>RIGHT SIDE STEER AXLE SHOCK NEEDS REPLACED</t>
  </si>
  <si>
    <t>REPORTED BY DYLAN DURING ANNUAL INSPECTION 1/24/20 - REPLACED SHOCK</t>
  </si>
  <si>
    <t>RIGHT SIDE DRIVE AXLE SHOCK NEEDS REPLACED</t>
  </si>
  <si>
    <t>REAR BRAKE PADS NEED REPLACED ON BOTH SIDES</t>
  </si>
  <si>
    <t>REPORTED BY DYLAN DURING ANNUAL INSPECTION 1/24/20 - REPLACED CALIPERS AND PADS</t>
  </si>
  <si>
    <t>LEVELING VALVE LEAKING</t>
  </si>
  <si>
    <t>REPORTED BY DYLAN DURING ANNUAL INSPECTION 1/24/20 - REPLACED LEVELING VALVE</t>
  </si>
  <si>
    <t>THRESHOLD PLATE LIFTING</t>
  </si>
  <si>
    <t>REPORTED BY DYLAN DURING ANNUAL INSPECTION 1/24/20 - REATTACHED SCUFF LINER</t>
  </si>
  <si>
    <t>RIGHT SIDE LOWER PLATE IN BOX IS PULLED OUT</t>
  </si>
  <si>
    <t>REPORTED BY DYLAN DURING ANNUAL INSPECTION 1/24/20 - RE&amp;RE ALL GUSSETS</t>
  </si>
  <si>
    <t>REPORTED BY DYLAN DURING ANNUAL INSPECTION 1/24/20 - REPALCED WINDSHIELD</t>
  </si>
  <si>
    <t xml:space="preserve">bottom left hand roller on roll up door has its bearings </t>
  </si>
  <si>
    <t>all week</t>
  </si>
  <si>
    <t>REPLACED ROLLERS AND HINGES</t>
  </si>
  <si>
    <t xml:space="preserve">no air coming out of top vents ( left, right or center ) driver could not get windows to defrost </t>
  </si>
  <si>
    <t>fri aft 6:30pm &amp; all weekend</t>
  </si>
  <si>
    <t>BLOWER MOTOR FINE NO FAULTS FOUND</t>
  </si>
  <si>
    <t>driver seat uneven broken bent down to one side</t>
  </si>
  <si>
    <t>shop looked into</t>
  </si>
  <si>
    <t>Guages not working ?</t>
  </si>
  <si>
    <t>FRIDAY AFTER 6:30PM</t>
  </si>
  <si>
    <t>SLICE IN COOLANT HOSE</t>
  </si>
  <si>
    <t>retorque right and left sides</t>
  </si>
  <si>
    <t>RETORQUED ALL THE WHEELS.</t>
  </si>
  <si>
    <t>SCR VALVE  WARNING LIGHT ON</t>
  </si>
  <si>
    <t>CONFIRMED AS COMPLETED FEB 21 2018</t>
  </si>
  <si>
    <t>HEAD LIGHT OUT ON LEFT SIDE - THIS HAS A BROKEN WIRE AND THE CENTERING NUT ON THE BACK OF THE HOUSING IS BROKEN AS WELL</t>
  </si>
  <si>
    <t xml:space="preserve">engine light is on </t>
  </si>
  <si>
    <t xml:space="preserve">brake sytem controler - ABS light is on </t>
  </si>
  <si>
    <t>unit needs to go to shop…replace drive brakes - SHOP REPLACED THE REAR BRAKES</t>
  </si>
  <si>
    <t>check engine light on.</t>
  </si>
  <si>
    <t>ONLY ONE FAULT CODE IN THE ECM AND IT WAS OVER 28HOURS OLD AND HAD ONLY ONE COUNT.  THIS IS TOO OLD TO BE TROUBLE SHOT.  CLEARED THE CODE</t>
  </si>
  <si>
    <t>emergency brake does not work</t>
  </si>
  <si>
    <t xml:space="preserve">MONDAY ALL DAY </t>
  </si>
  <si>
    <t>REPLACED THE HANDLE</t>
  </si>
  <si>
    <t>RED/SILVER REFLECTIVE STICKERS MISSING FROM BUMPER</t>
  </si>
  <si>
    <t>AS58788</t>
  </si>
  <si>
    <t>DOOR CHIME SOUNDS WHEN TRUCK IS OFF WITH NO KEY IN THE IGNITION</t>
  </si>
  <si>
    <t xml:space="preserve">AS58788 - REPACED PARKING BRAKE </t>
  </si>
  <si>
    <t xml:space="preserve">DRIVER'S SIDE CONVEX MIRROR DOES NOT DEFROST </t>
  </si>
  <si>
    <t>PASSENGER SIDE MIRROR CRACKED</t>
  </si>
  <si>
    <t>WAITING FOR WORK ORDER 3/9/19</t>
  </si>
  <si>
    <t>REVERSE CAMERA NOT WORKING</t>
  </si>
  <si>
    <t>WAITING FOR WORK ORDER 3/20/19 - COMPLETED BY DYLAN IN YARD</t>
  </si>
  <si>
    <t>STAIRS AT THE BACK OF THE TRUCK HAVE A BROKEN WELD</t>
  </si>
  <si>
    <t>BACK UP CAMERA ONLY WORKING SPORATICALLY</t>
  </si>
  <si>
    <t>COMPLETED BY AYRSHOP 4/30/19</t>
  </si>
  <si>
    <t>NO COMMENT GIVEN</t>
  </si>
  <si>
    <t>TRUCK WILL NOT HOLD REVERSE</t>
  </si>
  <si>
    <t>REPAIRED BY WAJAX IN STONEY CREEK</t>
  </si>
  <si>
    <t>CORRODED WIRING</t>
  </si>
  <si>
    <t>NEEDS FRONT STRUTS REPLACED</t>
  </si>
  <si>
    <t>SERVICE WRENCH ON</t>
  </si>
  <si>
    <t>REPLACED OIL FILTER AND RESET</t>
  </si>
  <si>
    <t>AIR CONDITIONER DOES NOT BLOW COLD AIR</t>
  </si>
  <si>
    <t>COMPLETED BY AYRSHOP 6/24/19</t>
  </si>
  <si>
    <t xml:space="preserve">NOT COMPLETED WHILE AT AYRSHOP 4/30/19 - PARTS ORDERED 2 WEEK LEAD TIME 5/15/19 - </t>
  </si>
  <si>
    <t>ROLL UP DOOR SEAL BROKEN ALL THE WAY AROUND</t>
  </si>
  <si>
    <t>PARTS EXPECTED JULY 23, 2019 - SEAL REPLACED BY AYRSHOP JULY 29 2019</t>
  </si>
  <si>
    <t>WASHER FLUID RESEVOIR LEAKING</t>
  </si>
  <si>
    <t>WASHER FLUID RESIVOR LEAKING</t>
  </si>
  <si>
    <t>AIR LINE LEAKING AT BRASS FITTING ON TOP OF LEVELING VALVE</t>
  </si>
  <si>
    <t>AIR BAGS VERY SLOW TO FILL</t>
  </si>
  <si>
    <t>ISSUE RESOLVED WITH AIR LINE FITTING ON SUSPENSION VALVE REPLACEMENT</t>
  </si>
  <si>
    <t>TRACTOR ABS LIGHT ON</t>
  </si>
  <si>
    <t>REPLACED ABS SENSOR</t>
  </si>
  <si>
    <t>PASSENGER SIDE DOOR LOCK IS STICKING - WILL STICK OPEN OR LOCKED</t>
  </si>
  <si>
    <t>OILED AND TESTED LATCH SEVERAL TIMES - NO ISSUE FOUND</t>
  </si>
  <si>
    <t>DRIVER'S SIDE HEAD LIGHT OUT</t>
  </si>
  <si>
    <t>REPLACED CORRODSED WIRING</t>
  </si>
  <si>
    <t>STAILESS STEEL PROTRUSION ON REAR DOOR FRAME THAT IS DESIGNED TO PROTECT LIGHTS IS BENT</t>
  </si>
  <si>
    <t xml:space="preserve"> STRAIGHTENED</t>
  </si>
  <si>
    <t>PASSENGER SIDE INTERIOR DEFROST NOT WORKING PROPERLY</t>
  </si>
  <si>
    <t>COMPLETED BY DYLAN IN YARD 11/11/19</t>
  </si>
  <si>
    <t>FRONT PASSENGER SIDE BUMPER AND BUMPER BRACKET DAMAGED - PLEASE SEND REPAIR QUOTE BEFORE REPAIRING</t>
  </si>
  <si>
    <t xml:space="preserve">COMPLETED BY AYRSHOP  </t>
  </si>
  <si>
    <t>SENT TO AYRSHOP 11/18/19 FOR REPAIR QUOTE - REPLACED BUMPER</t>
  </si>
  <si>
    <t>WIPERS ARE STARTING TO WEAR, PLEASE REPLACE WITH WINTER BLADES</t>
  </si>
  <si>
    <t>BLADES ON ORDER</t>
  </si>
  <si>
    <t>PASSENGER SIDE HEADLIGHT OUT - NEEDS WIRING RELACED BETWEEN HARNESS AND HEADLIGHT</t>
  </si>
  <si>
    <t>REPLACED WIRING AT AYRSHOP</t>
  </si>
  <si>
    <t>TEMP FIX DONE DEC 11, 2019 - NEEDS NEW HARNESS PLUG AND HEAD LIGHT PLUG</t>
  </si>
  <si>
    <t>LEFT SIDE HOOD MIRROR BROKEN</t>
  </si>
  <si>
    <t>REPLACED MIRROR AT AYRSHOP</t>
  </si>
  <si>
    <t>COMPLETED BY AYRSHOP 1/27/20</t>
  </si>
  <si>
    <t>ANNUAL SAFETY DUE IN JANUARY 2020</t>
  </si>
  <si>
    <t>PASSENGER SIDE HEADLIGHT OUT</t>
  </si>
  <si>
    <t>REPLACED HEADLIGHT</t>
  </si>
  <si>
    <t>RETORQUE BOTH AXLES, BOTH SIDES</t>
  </si>
  <si>
    <t>ACCELARATOR CUTS IN AND OUT - LOUD WHINE FROM ENGINE COMPARTMENT - CAB CONTROLLER FAULT COMES UP ON PEOPLENET REPORT</t>
  </si>
  <si>
    <t>AT AYRSHOP 2/18/20</t>
  </si>
  <si>
    <t>REPLACED LEAKING FUEL LINE</t>
  </si>
  <si>
    <t>half of the LED diodes on the right rear signal light are burnt out</t>
  </si>
  <si>
    <t>replaced light and repaired diodes</t>
  </si>
  <si>
    <t>exterior thermostat reading incorrectly it is reading high exterior temperatures</t>
  </si>
  <si>
    <t>replaced OAT sensor</t>
  </si>
  <si>
    <t xml:space="preserve">FRI AFT 630PM &amp; ALL WEEKEND </t>
  </si>
  <si>
    <t>A/C WORKING WELL</t>
  </si>
  <si>
    <t xml:space="preserve">lube rear door rollers and latch   </t>
  </si>
  <si>
    <t>REAR ROLLERS WERE LUBED</t>
  </si>
  <si>
    <t>cab doors fly open restrainer does not work worn out</t>
  </si>
  <si>
    <t xml:space="preserve">replaced </t>
  </si>
  <si>
    <t xml:space="preserve">dash warning lights flashing wrench and gear exclamation mark symbols transmission   </t>
  </si>
  <si>
    <t>lights no longer on</t>
  </si>
  <si>
    <t xml:space="preserve">hand brake tension adjuster broken   </t>
  </si>
  <si>
    <t>adjusted</t>
  </si>
  <si>
    <t>center Cab clearance light out</t>
  </si>
  <si>
    <t>REPLACED THE LIGHTS.</t>
  </si>
  <si>
    <t xml:space="preserve">A/C - NOT WORKING </t>
  </si>
  <si>
    <t>repaired a/c-added dye to assist with finding the leak</t>
  </si>
  <si>
    <t xml:space="preserve">BROKEN BELT </t>
  </si>
  <si>
    <t>AS58700</t>
  </si>
  <si>
    <t>DRIVER CAN SEE FLUID BUILD ON CROSS MEMBER ENGINE MOUNT ON DRIVERS SIDE - DRIVER IS NOT SURE WHAT TYPE OF FLUID THIS IS.</t>
  </si>
  <si>
    <t>AS58848 - REMOVED AND REPLACED LOWER RAD PIPE</t>
  </si>
  <si>
    <t>DAYTIME RUNNING LIGHT OUT ON PASSENGER SIDE</t>
  </si>
  <si>
    <t>WAITING FOR WORK ORDER 2/28/19</t>
  </si>
  <si>
    <t>AS59329 - NOT ON THIS WORK ORDER BUT DRIVER CONFIRMED COMPLETE</t>
  </si>
  <si>
    <t>4 LIGHTS OUT ON REAR OF TRUCK - MAY BE A WIRING ISSUE</t>
  </si>
  <si>
    <t>CHECK ENGINE LIGHT ON - SERVICE WRENCH ALSO DISPLAYED</t>
  </si>
  <si>
    <t>AS59329</t>
  </si>
  <si>
    <t>DRIVERS SIDE WINDSHIELD WIPER ONLY TRAVELS HALF WAY UP THE WINDOW - NO LONGER CLEARS FIELD OF VISON</t>
  </si>
  <si>
    <t>WAITING FOR WORK ORDER 3/20/19</t>
  </si>
  <si>
    <t>AS59540</t>
  </si>
  <si>
    <t>PARKING BRAKE IS STICKING</t>
  </si>
  <si>
    <t>WAITING FOR WORK ORDER 3/20/19 - WILL NEAL VERIFIED NO ISSUE WITH PAKING BRAK</t>
  </si>
  <si>
    <t>NOT ON WORK ORDER AS59540</t>
  </si>
  <si>
    <t xml:space="preserve">4 WAY FLASHER  LIGHT OUT ON REAR </t>
  </si>
  <si>
    <t>NOT COMPLETED WHEN TRUCK WENT TO AYRSHOP ON FEB 27 - CONFIRMED AS COMPLETED BY MIKE THIBODEAU ON APRIL 22 2019, NO REPAIR COMMENTS ADDED</t>
  </si>
  <si>
    <t>DAY TIME RUNNING LIGHT OUT</t>
  </si>
  <si>
    <t>ROOF IS LEAKING  - DRIPS ARE COMING IN FROM AROUND THE CENTER INTERIOR LIGHT AREA</t>
  </si>
  <si>
    <t>CAB ROOF LEAKING INTO CAB</t>
  </si>
  <si>
    <t>REPAIRED BY DYLAN IN YARD 5/9/19</t>
  </si>
  <si>
    <t>TRUCK WILL NOT START - BATTRERIES CHANGED 5/13/19 - TRUCK STILL NEEDS AN ALTERNATOR</t>
  </si>
  <si>
    <t>COMPLETED BY AYRSHOP 5/14/19</t>
  </si>
  <si>
    <t>FRONT DRIVER SIDE HAS A SCREW IN SHOULDER</t>
  </si>
  <si>
    <t>PULLED SCREW AND CHECKED FOR LEAKS - NONE FOUND</t>
  </si>
  <si>
    <t>DRIVER'S SIDE DOOR LATCH IS STICKING - DOOR IS DIFFICULT TO CLOSE PROPERLY</t>
  </si>
  <si>
    <t>LATCH NEEDS REPLACED 6/5/19 - PARTS ON ORDER</t>
  </si>
  <si>
    <t>PARKING BRAKE SENSOR GOES OFF CONSTANTLY EVEN WITH NO KEY IN THE IGNITION</t>
  </si>
  <si>
    <t>SENSOR DISCONNECTED BY DYLAN IN YARD - PARTS ON ORDER 6/3/19</t>
  </si>
  <si>
    <t>CRACKED BRACKET</t>
  </si>
  <si>
    <t>CRACKED MUFFLER</t>
  </si>
  <si>
    <t>PARKING BRAKE CABLE IS WORN DOWN</t>
  </si>
  <si>
    <t>LIGHT CORNER BRACKET BROKEN OFF</t>
  </si>
  <si>
    <t>DRIVERS SIDE DOOR WILL NOT OPEN FROM THE INSIDE OF THE TRUCK - DOOR LATCH HAS RECENTLY BEEN REPLACED.</t>
  </si>
  <si>
    <t>RETORQUE ALL WHEELS FROM BRAKE SERVICE</t>
  </si>
  <si>
    <t>A/C NOT WORKING</t>
  </si>
  <si>
    <t>BACK-UP CAMERA BROKEN</t>
  </si>
  <si>
    <t>DASHBOARD ABS LIGHT IS ON</t>
  </si>
  <si>
    <t>WAITING FOR PART</t>
  </si>
  <si>
    <t>STEER AXLE SHOCKS NEED REPLACED</t>
  </si>
  <si>
    <t>BOTH FENDER MARKER LIGHTS NOT WORKING - AS PER DYLAN'S PMA SERVICE</t>
  </si>
  <si>
    <t>SPRAYER NOZZLE ON RIGHT SIDE IS CRACKED - AS PER DYLAN'S PMA SERVICE</t>
  </si>
  <si>
    <t>RIGHT SIDE HEADLIGHT OUT</t>
  </si>
  <si>
    <t>BULB WAS LOOSE IN THE HOUSING - BULB WAS FINE</t>
  </si>
  <si>
    <t>STEEL PLATE ON FLOOR PEELING UP</t>
  </si>
  <si>
    <t>REPLACED SCREWS TO HOLD DOWN THRESHOLD PLATE</t>
  </si>
  <si>
    <t>RIGHT SIDE HEADLIGHT OUT - PLEASE CHECK WIRING</t>
  </si>
  <si>
    <t>REPAIRED WIRING AND REPLACED BULB</t>
  </si>
  <si>
    <t>TAIL LIGHT OUT - BRAKE AND TURN SIGNAL WORKING</t>
  </si>
  <si>
    <t>REPLACED PIGTAIL</t>
  </si>
  <si>
    <t>PLEASE REPLACED WIPERS WITH WINTER BLADES</t>
  </si>
  <si>
    <t>REPLCED WIPER BLADES</t>
  </si>
  <si>
    <t>REPLACED NOX SENSOR</t>
  </si>
  <si>
    <t>RETORQUE BOTH AXLES BOTH SIDES FROM SAFETY</t>
  </si>
  <si>
    <t>REPLACED RESISTOR</t>
  </si>
  <si>
    <t>DOOR CHIME GOES OFF CONSTANTLY, EVEN WHEN KEY IS OFF</t>
  </si>
  <si>
    <t>REPLACED DOOR CHIME</t>
  </si>
  <si>
    <t>clearance lights not turning off driver has taken fuse out so it doesn't drain the battery</t>
  </si>
  <si>
    <t>FRIDAY AFTER 5PM AND ALL WEEKEND</t>
  </si>
  <si>
    <t>this is a trailer issue</t>
  </si>
  <si>
    <t>please replace antenna's with stainless</t>
  </si>
  <si>
    <t>REPLACED CB ANTENNA'S</t>
  </si>
  <si>
    <t>breather light out</t>
  </si>
  <si>
    <t>FRI, AFTER 6:30PM</t>
  </si>
  <si>
    <t>driver's side door very hard to close - not catching latch.</t>
  </si>
  <si>
    <t xml:space="preserve">REPLACED DOOR LATCH </t>
  </si>
  <si>
    <t>visor light out</t>
  </si>
  <si>
    <t>REPLACED VISOR LIGHT</t>
  </si>
  <si>
    <t>left tail light out</t>
  </si>
  <si>
    <t>ESBAR heater will not turn on display is blank</t>
  </si>
  <si>
    <t>FRI AFTER 5PM AND ALL WEEKEND</t>
  </si>
  <si>
    <t>REPAIRED WIRING AT ESBAR</t>
  </si>
  <si>
    <t>ALL WEEKEND</t>
  </si>
  <si>
    <t>HOOK UP LIGHT ON BACK OF CAB OUT.</t>
  </si>
  <si>
    <t>WASHER FLUID TANK LEAKS</t>
  </si>
  <si>
    <t>REPLACED WASHER BOTTLE</t>
  </si>
  <si>
    <t>CRUISE CONTROL WILL NOT ALWAYS KICK IN.</t>
  </si>
  <si>
    <t>AVAILBLE ALL WEEK</t>
  </si>
  <si>
    <t>ADJUSTED CLUTCH</t>
  </si>
  <si>
    <t>CHECK ENGINE LIGHT ON.</t>
  </si>
  <si>
    <t>UPDATED SOFTWARE</t>
  </si>
  <si>
    <t>Bottom bushing and C clip missing from slid pin where exhaust attaches to back of cab</t>
  </si>
  <si>
    <t>replaced upper stack bracket</t>
  </si>
  <si>
    <t>right headlight out</t>
  </si>
  <si>
    <t>back Friday all day</t>
  </si>
  <si>
    <t>MONDAT</t>
  </si>
  <si>
    <t>replaced headlight</t>
  </si>
  <si>
    <t>cruise control and engine brake not working</t>
  </si>
  <si>
    <t>DASH SOFTWARE CAUSING THE ISSUE.  UPDATED THE DASH SOFTWARE.</t>
  </si>
  <si>
    <t>skirt light out - left side fender</t>
  </si>
  <si>
    <t>cruise and engine brake not working</t>
  </si>
  <si>
    <t>TUES, WED AND FRI AFTER 6:30PM</t>
  </si>
  <si>
    <t>CLUTCH SWITCH ON ORDER 10/25/17</t>
  </si>
  <si>
    <t>Clearance light out on visor</t>
  </si>
  <si>
    <t>amber CEL Light on</t>
  </si>
  <si>
    <t>dash lights on Gauges not working</t>
  </si>
  <si>
    <t>espar block heater will not start</t>
  </si>
  <si>
    <t>FRIDAY ALL DAY</t>
  </si>
  <si>
    <t>N/A</t>
  </si>
  <si>
    <t>RAN THE ENGINE AND CAB ESPARS FOR 20MIN AND HAD NO FAULTS COME UP.  BOTH UNITS ARE WORKING CORRECTLY.</t>
  </si>
  <si>
    <t>driver is asking for tires, his treads are getting low and delivers our north run.</t>
  </si>
  <si>
    <t>PARKED ALL WEEK</t>
  </si>
  <si>
    <t>STEERS AT 18/32, FRONT DRIVES AT 9,9,15,10 REAR DRIVES AT 10,8,7,10  AS OF NOV 17 TIRES TO BE REPLACED THIS WEEKEND</t>
  </si>
  <si>
    <t>retorque all axles both sides from tire replacement</t>
  </si>
  <si>
    <t>RETORQUED ALL WHEELS.</t>
  </si>
  <si>
    <t>Esbar heater not working.</t>
  </si>
  <si>
    <t>CONNECTED TO THE ESPARS NO CODES IN EITHER, RAN THE UNITS FOR 20MIN EACH.  NO ISSUES.</t>
  </si>
  <si>
    <t>CLP light out on visor</t>
  </si>
  <si>
    <t>REPLACED THE VISOR LIGHT.</t>
  </si>
  <si>
    <t>BREATHER LIGHTS NOT WORKING BOTH SIDES</t>
  </si>
  <si>
    <t>REPLACED THE BLOWN FUSE, REPLACED THE TOP PASS SIDE BREATHER LIGHT THAT WAS SHORTING.</t>
  </si>
  <si>
    <t>left low beam out</t>
  </si>
  <si>
    <t>SHOP REPLACED THE BULB</t>
  </si>
  <si>
    <t>2 VISOR LIGHTS OUT</t>
  </si>
  <si>
    <t>FRIDAY AFTER 4:30PM AND ALL WEEKEND</t>
  </si>
  <si>
    <t>THIS WAS REPAIRED ON JAN 6TH, INSPECTED THE LIGHTS AND FOUND NO NEW VISOR LIGHTS OUT AND ALL THE WIRING IS OK.</t>
  </si>
  <si>
    <t>Blue Service line has at the glad hand</t>
  </si>
  <si>
    <t>REPLACED THE BLUE AIR LINE</t>
  </si>
  <si>
    <t>coolant smell from engine compartment no leak detected</t>
  </si>
  <si>
    <t>SENT TO AYRSHOP JAN 22, 2018</t>
  </si>
  <si>
    <t>THE RAD IS LEAKING.  THE UNIT NEEDS TO GO TO THE SHOP. BEING PICKED UP MONDAY MORNING. OK'D WITH EDWIN</t>
  </si>
  <si>
    <t>PLEASE CHECK TRIALER AUXILLARY FUSES - INTERRIOR TRAILER LIGHTS AND LIFT AXLE SWITCH NOT WORKING</t>
  </si>
  <si>
    <t>MON, WED, THURS AND FRI AFTER 6:30PM</t>
  </si>
  <si>
    <t>CHECKED FUSES REPLACED 1 - NO OTHER ISSUES FOUND</t>
  </si>
  <si>
    <t>TRUCK NOT SUPPLYING POWER FOR LIFT AXLE OR INTERIOR LIGHTS</t>
  </si>
  <si>
    <t>MON, TUES, THURS AND FRI AFTER 6:30PM</t>
  </si>
  <si>
    <t>door locks seized both sides</t>
  </si>
  <si>
    <t>BOTH ACTUATORS SEIZED - REPLACED BOTH</t>
  </si>
  <si>
    <t>HORN ON STEERING WHEEL NOT WORKING</t>
  </si>
  <si>
    <t>SPOKE WITH DRIVER AND THIS IS NOT COMPLETE 2/13/18</t>
  </si>
  <si>
    <t>ORDERED ELECTRIC HORN 2/24/18 - REPLACED HORN 3/3/18</t>
  </si>
  <si>
    <t>BREATHER LIGHT OUT ON LEFT SIDE 2ND FROM BOTTOM</t>
  </si>
  <si>
    <t>REPLACED ONE BREATHER LIGHT.</t>
  </si>
  <si>
    <t>Check engine light on and temp gauge on dash reading -22 degrees C and the actual Temp is        -12 degrees C</t>
  </si>
  <si>
    <t>JUSTIN REPAIR FRIDAY MAR 9 2018</t>
  </si>
  <si>
    <t>ORDERED A OUTSIDE AIR TEMP SENSOR.  WILL INSTALL AS SOON AS POSSIBLE,  REPLACED THE OUTSIDE AIR TEMP SENSOR.</t>
  </si>
  <si>
    <t>AMBER CHECK ENGINE LIGHT ON</t>
  </si>
  <si>
    <t>CEL IS ON DUE TO THE OUTSIDE AIR TEMP SENSOR READING OFF.  CLEARED THE CODES AFETR I REPLACED THE OUTSIDE AIR TEMP SENSOR.</t>
  </si>
  <si>
    <t>GREEN CORD END DAMAGED</t>
  </si>
  <si>
    <t>REPLACED THE GREEN LIGHT CORD END.</t>
  </si>
  <si>
    <t>LIGHT OUT ON LEFT SIDE FENDER</t>
  </si>
  <si>
    <t>replaced skirt light</t>
  </si>
  <si>
    <t>SATTELITE ANTENNA MISSING</t>
  </si>
  <si>
    <t>ordered new satilite radio ant.</t>
  </si>
  <si>
    <t>REPLACED THE SAT RADIO ANTENNA</t>
  </si>
  <si>
    <t>REPLACED ONE VISOR LIGHT</t>
  </si>
  <si>
    <t>FENDER SKIRT LIGHT OUT ON RIGHT SIDE</t>
  </si>
  <si>
    <t>ALL SKIRT LIGHTS ARE WORKING AT TIME OF INSPECTION.</t>
  </si>
  <si>
    <t>NO POWER TO LIFT AXLE - PLEASE CHECK FUSES AND POWER WIRE</t>
  </si>
  <si>
    <t>DRIVER THINKS THIS IS A TRAILER ISSUE - NO ACTION TAKEN BY PETERBILT</t>
  </si>
  <si>
    <t>LIGHT OUT ON BACK OF CAB</t>
  </si>
  <si>
    <t>FRIDAY AFTER 5:30PM AND ALL WEEKEND</t>
  </si>
  <si>
    <t>REPLACE LIGHT</t>
  </si>
  <si>
    <t>DRIVERS SIDE FENDER MISSING 2 BOLTS - ONLY 1 BOLT LEFT ATTACHING FENDER AT BACK OF FENDER</t>
  </si>
  <si>
    <t>REPAIRED BROKEN FENDER BOLTS</t>
  </si>
  <si>
    <t>LIFT AXLE NOT LIFTING IN REVERSE - HAD FUSE REPLACED ON JULY 11 BUT DID NOT SOLVE ISSUE</t>
  </si>
  <si>
    <t>REPAIRED LIFT AXLE WIRING</t>
  </si>
  <si>
    <t>RED LIGHTS ON BACK OF BREATHER NOT WORKING</t>
  </si>
  <si>
    <t>TRACTOR LOOSES ALL AIR WHEN PARKED OVERNIGHT</t>
  </si>
  <si>
    <t>FIXED MULTIPLE AIR LEAKS</t>
  </si>
  <si>
    <t>driver window will not roll up</t>
  </si>
  <si>
    <t>DRIVER SIDE DOOR LEAKS IN THE RAIN</t>
  </si>
  <si>
    <t>INNER DOOR SEAL BROKEN AND INNER DOOR PANEL LOOSE</t>
  </si>
  <si>
    <t>DRIVERS SIDE WINDOW WILL NOT GO UP WHEN RAINING</t>
  </si>
  <si>
    <t>WINDOW RUBBING ON INNER DOOR SEAL - COMPLETED WITH DOOR SEAL</t>
  </si>
  <si>
    <t>PLEASE REPLACE WIPER BLADES - GOOD IDEA TO PUT WINTER'S ON NOW.</t>
  </si>
  <si>
    <t>cruise control, engine brake not working…sensor keeps disengaging</t>
  </si>
  <si>
    <t>ANNUAL INPSPECTION DUE IN NOVEMBER</t>
  </si>
  <si>
    <t>drive line oil leak…lots of fluid leaking</t>
  </si>
  <si>
    <t>at 505 southgate now</t>
  </si>
  <si>
    <t>ESBAR CAB HEATER NOT WORKING - ENGINE HEATER WORKS FINE</t>
  </si>
  <si>
    <t>PERFORMED SERVICE AND REPLACED EXHAUST PIPE - UNIT WORKING FINE</t>
  </si>
  <si>
    <t>ELECTRIC HORN NOT WORKING</t>
  </si>
  <si>
    <t>REPLACED CITY HORN</t>
  </si>
  <si>
    <t>RED GLAD HAND LINE BROKEN AT BOTTOM OF GLAD HAND</t>
  </si>
  <si>
    <t>REPLACED LINES</t>
  </si>
  <si>
    <t>BODY</t>
  </si>
  <si>
    <t>BOLTS HOLDING FRONT BUMPER ON ARE LOOSE</t>
  </si>
  <si>
    <t>WATER BEHIND SEATS</t>
  </si>
  <si>
    <t>RESEALED AROUND ESBAR CAB HEATER</t>
  </si>
  <si>
    <t>AS58925</t>
  </si>
  <si>
    <t xml:space="preserve">RED STOP ENGINE LIGHT ON, AMBER CEL LIGHT ON AND DEF INDICATOR LIGHT FLASHING RED </t>
  </si>
  <si>
    <t>STEERING WHEEEL HORN NOT WORKING</t>
  </si>
  <si>
    <t>WAITING FOR WORK ORDER 2/4/19</t>
  </si>
  <si>
    <t>AS59090</t>
  </si>
  <si>
    <t>RE-TORQUE DRIVE AXLES - FROM TIRE REPAIR JAN 26TH 2019</t>
  </si>
  <si>
    <t>AS59089</t>
  </si>
  <si>
    <t>STABILITY CONTROL LIGHT ON</t>
  </si>
  <si>
    <t>AS59144</t>
  </si>
  <si>
    <t>NO TAIL LIGHTS ON BACK OF TRUCK</t>
  </si>
  <si>
    <t>AS59320</t>
  </si>
  <si>
    <t>NOISE OF SOMETHING LOOSE UNDER CAB OR FIREWALL, YELLOW WARNING MESSAGE OF LOW COOLANT CAME ON AND OFF, FLUID CONTAINER IS FULL - TRUCK NEEDS TO BE SERVICED</t>
  </si>
  <si>
    <t>WAITING FOR WORK ORDER 3/14/19</t>
  </si>
  <si>
    <t>HOLD BACK FLAP ON RECEPTICLE FOR GREEN POWER CORD ON TRACTOR IS MISSING</t>
  </si>
  <si>
    <t>TRUCK SLIPS OUT OF 6TH GEAR IF TRUCK HITS A BUMP</t>
  </si>
  <si>
    <t>DRIVER SIDE SEAT BASE IS SEPARATED AND WILL NOT CLOSE PROPERLY - IT WILL GET BROKEN IF IT STAYS LIKE THIS FOR TOO LONG</t>
  </si>
  <si>
    <t>DRIVER SIDE BOSE SEAT HAS NO POWER AT ON OFF OR HEAT SWITCHES - THERE IS POWER GOING TO THE SEAT ITSELF</t>
  </si>
  <si>
    <t>SKIRT LIGHT OUT ON LEFT SIDE</t>
  </si>
  <si>
    <t>COMPLETED AT AYRSHOP 5/2/19</t>
  </si>
  <si>
    <t>RIGHT SIDE UPPED STACK MOUNT BROKEN</t>
  </si>
  <si>
    <t>CLUTCH NEEDS ADJUSTMENT</t>
  </si>
  <si>
    <t>NEEDS ADJUSTMENT - HAS EXCESSIVE PLAY</t>
  </si>
  <si>
    <t>ENGINE HEATER NOT WORKING</t>
  </si>
  <si>
    <t>BRACKET FOR DRAIN VALVE ON SECONDARY AIR TANK HAS FALLEN OFF AND BEEN ZIP TIED TO PRIMARY AIR TANK BRACKET.</t>
  </si>
  <si>
    <t>NOT COMPLETED AT AYRSHOP</t>
  </si>
  <si>
    <t>OPTED NOT TO COMPLETE AT THIS TIME 5/2/19 AS IT WILL NOT BE NEEDED UNTIL FALL</t>
  </si>
  <si>
    <t>CLUTCH BRAKE NEEDS ADJUSTMENT..CLUTCH PEDAL SQUEAKS</t>
  </si>
  <si>
    <t>REPAIRED BY DYLAN IN YARD 6/24/19</t>
  </si>
  <si>
    <t>SCREWS SEIZED AND BROKEN OFF IN LIGHTS ON BACK OF CAB…CANNOT REPLACE BULBS OR LENSES</t>
  </si>
  <si>
    <t>BREATHER LIGHT OUT ON PASS SIDE - THIS IS A RED REAR FACING LIGHT 2ND FROM THE BOTTOM</t>
  </si>
  <si>
    <t>PLEASE REPLACE POGO STICK</t>
  </si>
  <si>
    <t>DRIVER'S SIDE WINDOW VERY SLOW TO GO UP</t>
  </si>
  <si>
    <t>REPAIRED ON YARD BY AYRSHOP</t>
  </si>
  <si>
    <t>RIGHT HOOD CABLE BROKEN</t>
  </si>
  <si>
    <t>DRIVER'S SIDE TANK STEP BROKEN AT REAR BRACKET</t>
  </si>
  <si>
    <t>REPLACED STEP BRACKET</t>
  </si>
  <si>
    <t>ENGINE AND CAB HEATERS NOT WORKING</t>
  </si>
  <si>
    <t>HEATERS IN STOP MODE FROM TOO MANY START UP ATTEMPTS, RESET AND RAN FOR 60MIN USING TRUCK CONTROLS</t>
  </si>
  <si>
    <t>REVERSE BEEPER NOT WORKING</t>
  </si>
  <si>
    <t>REPLACED REVERSE BEEPER</t>
  </si>
  <si>
    <t>POWER STEERING FLUID LEAK AT HOSE</t>
  </si>
  <si>
    <t>REPAIRED BY PETERBILT WINDSOR</t>
  </si>
  <si>
    <t>REPLACED HIGH PRESSURE HOSE</t>
  </si>
  <si>
    <t>CLUTCH SWITCH WORKS INTERMITTENTLY</t>
  </si>
  <si>
    <t>ELECTRIC (CITY) HORN NOT WORKING</t>
  </si>
  <si>
    <t>ALL BREATER AND SKIRT LIGHTS NOT WORKING - TRIED REPLACING 15AMP FUSE BUT BLEW IMMEDIATELY</t>
  </si>
  <si>
    <t>REPAIRED MULTIPLE BROKEN WIRES</t>
  </si>
  <si>
    <t>DUE FOR ANNUAL INSPECTION IN NOVEMBER</t>
  </si>
  <si>
    <t>AT AYR SHOP</t>
  </si>
  <si>
    <t>ESBAR ENGINE HEATER WORKS BUT SMOKES</t>
  </si>
  <si>
    <t>ESBAR CAB HEATER NOT WORKING</t>
  </si>
  <si>
    <t>BROKEN CAB HEATER FROM UNIT 1816 - DYLAN SWAPPED CAB HEATERS WITH UNIT 1818 ON NOV 22 2019 - REPLACED HEATER 12/10/19</t>
  </si>
  <si>
    <t>ENGINE LIGHT ON</t>
  </si>
  <si>
    <t>DASH HEATER NOT REGULATING PROPERLY</t>
  </si>
  <si>
    <t>NO ISSUE FOUND AT AYRSHOP</t>
  </si>
  <si>
    <t>TRAILER SUPPLY LINE LEAKING AT FITTING NEAR GLAD HAND - PLEASE REPLACE SUPPLY, SERVICE AND GREEN POWER CORD AS THE SUPPLY LINE IS NOW TOO SHORT</t>
  </si>
  <si>
    <t>REPLACED ALL THREE LINES</t>
  </si>
  <si>
    <t>LEFT SIDE REAR AIR BAG NEEDS REPLACED</t>
  </si>
  <si>
    <t>DIAGNOSED BY DYLAN DURING PM A SERVICE</t>
  </si>
  <si>
    <t>HD A SERVICE DUE IN OCTOBER 2020</t>
  </si>
  <si>
    <t>COMPLETED BY DYLAN IN YARD 1/12/20</t>
  </si>
  <si>
    <t>NEEDS CITY HORN REPLACED</t>
  </si>
  <si>
    <t>REPLACED HORN</t>
  </si>
  <si>
    <t>CITY HORN NOT WORKING</t>
  </si>
  <si>
    <t>COMPLETED BY AYRSHOP 1/21/20</t>
  </si>
  <si>
    <t>HEATER FAN ONLY WORKING ON MAX SETTING</t>
  </si>
  <si>
    <t>REPLACE RESISTOR</t>
  </si>
  <si>
    <t>VENTILATION SELECTOR DIAL NOT WORKING</t>
  </si>
  <si>
    <t>NO FOUND FOUND</t>
  </si>
  <si>
    <t>UPPER CAB MOUNTED EXHAUST BRACKET ON PASSENGER SIDE IS MISSING SLIDE PIN AND BUSHINGS</t>
  </si>
  <si>
    <t>REPLACED SHAFT AND BUSHING</t>
  </si>
  <si>
    <t>DRIVER'S SIDE MIRROR LIGHT MISSING AMBER LENS</t>
  </si>
  <si>
    <t>CB radio not working has no power</t>
  </si>
  <si>
    <t>PARTS ON ORDER 02/06/17</t>
  </si>
  <si>
    <t>needs 2 amp inline fuse REPLACED FUSE JAN 19 CB STILL NOT WORKING NEEDS TO GO TO AYRSHOP - COMPLETED 02/21/17</t>
  </si>
  <si>
    <t>light out on air breather drivers side</t>
  </si>
  <si>
    <t>you replied that this was repaired on Jan 19th as ( repaired visor light ) but this is not a visor light that is out and I checked with the driver this light is still out.</t>
  </si>
  <si>
    <t>step trim falling off drivers side lower step</t>
  </si>
  <si>
    <t>MON, TUES AND FRI AFTER 6:30PM</t>
  </si>
  <si>
    <t>RE-ATTACHED STEP TRIM</t>
  </si>
  <si>
    <t>lower drivers side skirt light out</t>
  </si>
  <si>
    <t>DRIVERS SIDE SKIRT LIGHT OUT</t>
  </si>
  <si>
    <t>needs step trim re-attached</t>
  </si>
  <si>
    <t>re-attached step trim</t>
  </si>
  <si>
    <t>drivers side interrior sun shield has broven mirror and cover - the hinge broke and then the driver broke the mirror trying to get the cover to close</t>
  </si>
  <si>
    <t>PARTS WILL NEED TO BE ORDERED- REPLACED INTERIER SUN VISOR 4/8/17</t>
  </si>
  <si>
    <t>FRI AFTER 5PM SAT AND SUN ALL DAY</t>
  </si>
  <si>
    <t>MON TO FRI AFTER 6:30PM</t>
  </si>
  <si>
    <t>Drivers side door not unlocking with key</t>
  </si>
  <si>
    <t>ACCUATOR ON ORDER 6/10/17 - COULD NOT GET DOOR TO ACT UP DRIVER INDICATED THIS IS A HIT AND MISS ISSUE. - REPLACED 1 VISOR LIGHT 6/30/17</t>
  </si>
  <si>
    <t>passenger side mirror mounted turn signal has only 6 diodes left working</t>
  </si>
  <si>
    <t>MON AFTER 6:30PM AND ALL DAY THE REST OF THE WEEK</t>
  </si>
  <si>
    <t>REPLACED MIRROR LIGHT</t>
  </si>
  <si>
    <t>cernter visor light out</t>
  </si>
  <si>
    <t>Driver's side door not closing or locking</t>
  </si>
  <si>
    <t>LEFT SIDE LOW BEAM LIGHT OUT</t>
  </si>
  <si>
    <t>a</t>
  </si>
  <si>
    <t>bumper bent by bus line driver at innisfil on route</t>
  </si>
  <si>
    <t>REPLACED BUMPER AT AYRSHOP</t>
  </si>
  <si>
    <t>retorque all axles both sides</t>
  </si>
  <si>
    <t>Both air tanks empty after being parked overnight.</t>
  </si>
  <si>
    <t>REPLACE AIR LINE SUPPLY FITTING FOR THE TRANSMISSION.</t>
  </si>
  <si>
    <t>still losing all air in both tanks when parked overninght</t>
  </si>
  <si>
    <t xml:space="preserve">driver's side head light  </t>
  </si>
  <si>
    <t>Engine Brake and cruise control not working</t>
  </si>
  <si>
    <t>MON, TUES, FRI AFTER 6:30PM</t>
  </si>
  <si>
    <t>ORDERED A CLUTCH PEDAL RETURN SPRING AS OF NOV 11 - installed clutch pedal spring 11/13/17</t>
  </si>
  <si>
    <t>left rear outside tire flat</t>
  </si>
  <si>
    <t>Dave B called Ok tire to repair</t>
  </si>
  <si>
    <t>retorque done by R&amp;N 11/27/17</t>
  </si>
  <si>
    <t>driver's side steer tire at 5/32 and passenger side at 8/32</t>
  </si>
  <si>
    <t>TIRES HAVE BEEN REPLACED AT SOME POINT.</t>
  </si>
  <si>
    <t>retorque steer tires both sides</t>
  </si>
  <si>
    <t>RETORQUED THE STEER TIRES</t>
  </si>
  <si>
    <t>retorque rear drive axle both sides</t>
  </si>
  <si>
    <t>RETORQUED REAR DRIVES.</t>
  </si>
  <si>
    <t>please check ride height truck vibrates after having rear drive tires replaced</t>
  </si>
  <si>
    <t>GOING TO MEET JOHN V ON FRIDAY TO SET RIDE HEIGHT AND GO FOR ANOTHER ROAD TEST - ADJUSTED RIDE HEIGHT NO MORE VIBRATION</t>
  </si>
  <si>
    <t>Right side low beam out</t>
  </si>
  <si>
    <t>REPLACED THE HEADLIGHT BULB.</t>
  </si>
  <si>
    <t>check wind deflector for loose parts.</t>
  </si>
  <si>
    <t>FROM THURS DEC 21 6:30PM TO WED DEC 27 4AM</t>
  </si>
  <si>
    <t>WED DEC 27TH</t>
  </si>
  <si>
    <t>ROOF TOP WIND DEFLECTOR HAS BEEN REMOVED FOR REPAIRS AS OF NOV 3/  REINSTALLED THE ROOF TOP WIND DEFLECTOR.</t>
  </si>
  <si>
    <t>breather light out left side</t>
  </si>
  <si>
    <t>REPLACED THE LIGHT</t>
  </si>
  <si>
    <t>REPLACED THE LIGHT AND BASE.</t>
  </si>
  <si>
    <t>MOISTURE COMING IN AROUND SHIFTER</t>
  </si>
  <si>
    <t>THIS IS A NORMAL ISSUE FOR PERETBILTS I CHECKED THE SEAL IT IS OK ROAD SALT IS COMING OFF THE ROAD AND HITTING THE BOTTOM OF THE CAB AND SEAPING THROUGH.</t>
  </si>
  <si>
    <t>ENGINE SLOW TO TURN OVER IN MORNING. UNDERSTANDIBLY COLD BUT DRIVER IS CONCERNED ABOUT BATTERIES</t>
  </si>
  <si>
    <t xml:space="preserve">LOAD TESTED ALL BATTERIES ALL PASSED.  TESTED THE ALT IT PASSED.  CHECKED ALL CONNECTIONS ALL OK. </t>
  </si>
  <si>
    <t>ENGINE HEATER FAILING WHEN TEMP BELOW -16</t>
  </si>
  <si>
    <t>AVAILABLE NOW UNTIL THURSDAY AM</t>
  </si>
  <si>
    <t>UNIT NEEDS TO BE SERVICED NO OTHER CODES IN THE UNIT  SHOULD DO CAB ESPAR AS WELL.  NEEDS TO GO TO THE SHOP</t>
  </si>
  <si>
    <t>1 - BREATHER LIGHT OUT AND 1 - HOOD LIGHT OUT</t>
  </si>
  <si>
    <t>water and salt entering cab from around shifter. Driver has comented that this is quite bad</t>
  </si>
  <si>
    <t>JUSTIN HAS LOOKED AT THIS ISSUE</t>
  </si>
  <si>
    <t>AIR DRAIN COMPLETELY OVERNIGHT</t>
  </si>
  <si>
    <t>batteries drain when ESBAR cab heater is on. Have had to boost truck 3 times…</t>
  </si>
  <si>
    <t>drivers window will not go up or down</t>
  </si>
  <si>
    <t>right side 2nd from top fender light out</t>
  </si>
  <si>
    <t>BREATHER LIGHT</t>
  </si>
  <si>
    <t>REPORTED AND REPAIRED BY CERVUS</t>
  </si>
  <si>
    <t>2 x STEP RIVETS</t>
  </si>
  <si>
    <t xml:space="preserve">air bag leaking </t>
  </si>
  <si>
    <t>fixed in yard in Morning</t>
  </si>
  <si>
    <t>Broken pogo stick - please replace lines dragging on deck plate</t>
  </si>
  <si>
    <t>TUES AND FRI AFTER 6:30PM</t>
  </si>
  <si>
    <t xml:space="preserve">REPLACED IN SLEEMAN YARD </t>
  </si>
  <si>
    <t>GOING TO AYRSHOP FEB 26 5:30PM</t>
  </si>
  <si>
    <t>SHOP HAS ORDERED A ABS ECU - STILL ON ORDER AS OF FEB 1 2018 - REPLACED ABS ECU 2/27/18 AS55293</t>
  </si>
  <si>
    <t>RIGHT SIDE TOP BREATHER LIGHT OUT</t>
  </si>
  <si>
    <t>REPORTED AS COMPLETE BUT NOT DONE 2/21/18</t>
  </si>
  <si>
    <t>REPLACED LIGHT - AS55293</t>
  </si>
  <si>
    <t>HEATED MIRRORS AND ADJUSTMENT NOT WORKING ON BOTH SIDES</t>
  </si>
  <si>
    <t>REPORTED AS COMPLETE BY DRIVER</t>
  </si>
  <si>
    <t>water salt and silt leaking into cab from around shifter plate</t>
  </si>
  <si>
    <t>PULLED UP SHIFTER PLATE AND RESEALED ALL AROUND - AS55293</t>
  </si>
  <si>
    <t>LEVELING VALVE NOT SET PROPERLY CAUSING TRUCK TO VIBRATE, RATTLE, GRIND AND SHAKE</t>
  </si>
  <si>
    <t>ADJUSTED LEVELING VALVE</t>
  </si>
  <si>
    <t>CHECK ENGINE LIGHT ON - OUTSIDE TEMP READING 45 DEGREES CELIUS OFF ACTUAL TEMP.</t>
  </si>
  <si>
    <t>ORDERED A OUTSIDE AIR TEMP SENSOR.  WILL INSTALL AS SOON AS POSSIBLE - DRIVER WENT TO AYRSHOP TO HAVE COMPLETED ON MAR 5 2018</t>
  </si>
  <si>
    <t>VIBRATION IN DRIVELINE PLEASE CHECK ANGLES FOR PROPER HEIGHT ADJUSTMENT</t>
  </si>
  <si>
    <t>ROAD TEST FRIDAY MAR 9TH</t>
  </si>
  <si>
    <t>ADJUSTED THE RIDE HEIGHT WITH A LOADED TRAILER BUT DID NOT ROAD TEST WITH A LOADED TRAILER JOHN TO TRY ON MONDAY AND LET US KNOW.</t>
  </si>
  <si>
    <t>MON, TUES AND WED AFTER 6:30PM AND THURS AND FRI ALL DAY</t>
  </si>
  <si>
    <t>2 chicken lights out…2nd and 3rd from the bottom of driver side breather</t>
  </si>
  <si>
    <t>replaced both breather lights</t>
  </si>
  <si>
    <t>2 LIGHTS OUT ON LEFT SIDE BREATHER LIGHTS</t>
  </si>
  <si>
    <t>VISOR LIGHT OUT ON RIGHT SIDE</t>
  </si>
  <si>
    <t>FRI AFTER 6:30PM AND ALL DAY SAT AND SUN</t>
  </si>
  <si>
    <t>STONE CHIP IN WINDSHIELD</t>
  </si>
  <si>
    <t>GO GLASS - REPAIRED STONE CHIP - DID NOT REPLACED WINDSHIELD</t>
  </si>
  <si>
    <t>IGNITION IS LOOSE AND KEY CAN SPIN INSIDE IGNITION</t>
  </si>
  <si>
    <t>PARKED ALL DAY THURSDAY AND FRIDAY</t>
  </si>
  <si>
    <t>RESECURED THE IGNITION SWITCH</t>
  </si>
  <si>
    <t>TRUCK VIBRATES HEAVILY AT THE END OF THE POWER BAND</t>
  </si>
  <si>
    <t>NEEDS A SHORTER LEVELING ARM FROM THE FROM THE DIFF CASER TO THE LEVELING VALVE MAYBE 14"</t>
  </si>
  <si>
    <t>REPORTED AS COMPLETE BY EDWIN</t>
  </si>
  <si>
    <t>AIR LEAK ON TRANSMISSION</t>
  </si>
  <si>
    <t>REPAIRED AIR LEAK AT TRANSMISSION FITTING</t>
  </si>
  <si>
    <t>MON AND TUES AFTER 6:30PM AND FRI AFTER 8:30AM</t>
  </si>
  <si>
    <t>replaced the plate light</t>
  </si>
  <si>
    <t>rear mud flaps need new reflective tape</t>
  </si>
  <si>
    <t>MON, TUES WED AFTER 6:30PM AND ALL DAY THURS AND FRI.</t>
  </si>
  <si>
    <t>replaced tape</t>
  </si>
  <si>
    <t>CEL LIGHT ON</t>
  </si>
  <si>
    <t>COMPLETION DATE NOT MARKED IN PETE REPORT</t>
  </si>
  <si>
    <t>CEL ON AGAIN - IT CAME BACK ON WHILE DRIVING DOWN A BUMPY ROAD</t>
  </si>
  <si>
    <t>FRI AFTER 5:30PM AND ALL WEEKEND</t>
  </si>
  <si>
    <t>REPLACED DPF SENSOR</t>
  </si>
  <si>
    <t>CHECK ENGINE LIGHT ON - 8 CODES AND STOP ENGINE LIGHT ON.</t>
  </si>
  <si>
    <t xml:space="preserve"> </t>
  </si>
  <si>
    <t>THIS TRUCK WAS TOWED TO ARYSHOP
8/14/18</t>
  </si>
  <si>
    <t>master fuse melted</t>
  </si>
  <si>
    <t>maxi line below glad hand is split…leaking air</t>
  </si>
  <si>
    <t>ANNUAL INSPECTION DUE</t>
  </si>
  <si>
    <t>FRIDAY AFTER 5PM AND ALL WEEKEND PLUS MONDAY</t>
  </si>
  <si>
    <t>EXHAUST LEAK</t>
  </si>
  <si>
    <t>FOUND SOOT BIULD UP AROUND EVR VALVE - CLEANED AND REPALCED SEAL</t>
  </si>
  <si>
    <t xml:space="preserve">drive axle tires replaced on Nov 17 2019. </t>
  </si>
  <si>
    <t>RE-TORQUE BOTH DRIVE AXLES ON BOTH SIDES FROM WEEKEND TIRE REPLACEMENT</t>
  </si>
  <si>
    <t>MON, TUES AFTER 6:30PM AND ALL DAY WED, THURS AND FRI</t>
  </si>
  <si>
    <t>AIR CONDITIONER BLOWING WARM AIR</t>
  </si>
  <si>
    <t>REPAIRED LEAK AND REFILLED</t>
  </si>
  <si>
    <t>DRIVERS SIDE DOOR JAMS AND WILL NOT UNLOCK OR OPEN</t>
  </si>
  <si>
    <t>REPLACED ACTUATOR</t>
  </si>
  <si>
    <t>TRUCK PULLS TO RIGHT</t>
  </si>
  <si>
    <t>TYPE SW5 100% - NO REPIAR MENTIONED ON WORK ORDER</t>
  </si>
  <si>
    <t>REPLACED INTAKE MANIFOLD SEAL</t>
  </si>
  <si>
    <t>BREATHER LIGHT FLICKRING ON DRIVER'S SIDE</t>
  </si>
  <si>
    <t xml:space="preserve">LIGHT IS BACK ON AND STAYING ON </t>
  </si>
  <si>
    <t>UNDER CAB LIGHT OUT ON DRIVER'S SIDE</t>
  </si>
  <si>
    <t>LIGHT OUT ON DRIVERS SIDE UNDER DOOR</t>
  </si>
  <si>
    <t>WAITING FOR WORK ORDER 1/24/19</t>
  </si>
  <si>
    <t>AS58968</t>
  </si>
  <si>
    <t>ENGINE FAN IS ALWAYS ON……WILL NOT SHUT OFF</t>
  </si>
  <si>
    <t>SPOKE WITH DRIVER AND ENGINE FAN IS NOW WORKING PROPERLY</t>
  </si>
  <si>
    <t>BOTTOM STEP FELL OF DRIVERS SIDE FUEL TANK - BROKEN AT THE WELDS.</t>
  </si>
  <si>
    <t>REPAIRED BY R&amp;N</t>
  </si>
  <si>
    <t>WAITING FOR WORK ORDER 4/18/19 - COMPLETED BY DYLAN IN YARD</t>
  </si>
  <si>
    <t xml:space="preserve">REPLACED </t>
  </si>
  <si>
    <t>SKIRT LIGHT OUT ON RIGHT SIDE</t>
  </si>
  <si>
    <t>WAITING FOR WORK ORDER 4/9/19 - COMPLETED BY DYLAN IN YARD</t>
  </si>
  <si>
    <t>AIR CONDITIONER NOT WORKING</t>
  </si>
  <si>
    <t>WAITING FOR WORK ORDER 4/419 COMPLETED BY DYLAN IN YARD</t>
  </si>
  <si>
    <t>TACHOMETER, SPEEDOMETER AND ODOMETER NOT WORKING</t>
  </si>
  <si>
    <t>BOTH DOOR LATCHES JAMMED</t>
  </si>
  <si>
    <t>ONLY 5 DIODES WORKING ON RIGHT TURN SIGNAL</t>
  </si>
  <si>
    <t>NO PARKING LIGHTS, VISOR LIGHTS NOT WORKING…NO LIGHTS TO TRAILER</t>
  </si>
  <si>
    <t>TRACTOR WILL NOT START</t>
  </si>
  <si>
    <t>GREEN POWER CORD HAS A CRACKED CASING</t>
  </si>
  <si>
    <t>REPLACED CORD END</t>
  </si>
  <si>
    <t>CLUTCH BRAKE NEEDS ADJUSTED - WONT STOP 1ST GEAR</t>
  </si>
  <si>
    <t>A/C WORKING INTERMITTENLY - SOMETIMES CUTS OUT</t>
  </si>
  <si>
    <t>DRIVER'S SIDE MIRROE SIGNAL LIGHT HAS MULTIPLE BURNT OUT DIODES</t>
  </si>
  <si>
    <t>BPV VALVE STICKING - CEL LIGHT ON</t>
  </si>
  <si>
    <t>COMPLETED BY AYRSHOP 9/18/19</t>
  </si>
  <si>
    <t>DYLAN ORDERED VALVE ON SEPT 9 2019 - REPLACED VALVE 9/18/19</t>
  </si>
  <si>
    <t>ANNUAL INSPECTION DUE IN SEPT.</t>
  </si>
  <si>
    <t>COMPLETED IN YARD AS PER ADAM BULMER</t>
  </si>
  <si>
    <t>UPPER STACK MOUNTS ON CAB ARE BROKEN OR WORN ON BOTH SIDES - THE EXHAUST PIPE NEEDS TO MOVE UP A BIT TO GIVE THE BOLT MORE ROOM TO SLIDE.</t>
  </si>
  <si>
    <t>REPLACED BY AYRSHOP IN YARD</t>
  </si>
  <si>
    <t>REPLACED BOTH MOUNTS AND ADJUSTED STACK HEIGHT</t>
  </si>
  <si>
    <t>ESBAR ENGINE HEATER NOT WORKING</t>
  </si>
  <si>
    <t>CLEANED OUT AND REBUILT ESPAR, ALSO REPLACED GLOW PIN</t>
  </si>
  <si>
    <t>BLUETOOTH IN TRUCK NOT WORKING</t>
  </si>
  <si>
    <t>REPAIRED AND TESTED BLUETOOTH</t>
  </si>
  <si>
    <t>TEARS IN OUTER SKIN OF FRONT DRIVE AIR BAGS</t>
  </si>
  <si>
    <t>REPLACED BOTH AIR BAGS</t>
  </si>
  <si>
    <t>RIGHT SIDE REAR DRIVE INSIDE TIRE OFF RIM</t>
  </si>
  <si>
    <t>COMPLETED BY SHAGS IN YARD</t>
  </si>
  <si>
    <t>REPLACED TIRE</t>
  </si>
  <si>
    <t>RETORQUE RIGHT REAR DRIVE WHEEL</t>
  </si>
  <si>
    <t>RUBBER HOOD LATCH ON LEFT SIDE BROKEN</t>
  </si>
  <si>
    <t>BACK OF CAB LIGHTS NOT WORKING</t>
  </si>
  <si>
    <t>AIR CONDITIONER NOT WORKING PROPERLY</t>
  </si>
  <si>
    <t>SPOKE WITH DRIVER WHO REPORTED THAT A/C STARTED WORKING AGAIN - NO ACTION TAKEN</t>
  </si>
  <si>
    <t>AIR CONDITIONER QUIT WORKING</t>
  </si>
  <si>
    <t>AT AYR 6/11/20</t>
  </si>
  <si>
    <t>STEERING WHEEL HORN NOT WORKING</t>
  </si>
  <si>
    <t>LEFT REAR SIGNAL NOT WORKING</t>
  </si>
  <si>
    <t>COMPLETED BY ALWAYS ON CALL</t>
  </si>
  <si>
    <t>CHECK ENGINE LIGHT CAME ON AND TRUCK DERATED - DRIVER PULLED OVER TURNED TRUCK OFF AND BACK ON, NO LIGHTS CAME ON AND TRUCK RAN FINE</t>
  </si>
  <si>
    <t>COMPLETED BY AYRSHOP 7/15/20</t>
  </si>
  <si>
    <t>SPOKE WITH DEANNA AT PETERBILT - NO WOORK ORDER COMMENTS WERE WRITTEN UP FOR THIS DEFECT</t>
  </si>
  <si>
    <t>HOOD CABLE BROKEN</t>
  </si>
  <si>
    <t>REPLACED BROKEN HOOD CABLE</t>
  </si>
  <si>
    <t>HD A SERVICE DUE IN SEPTEMBER 2019</t>
  </si>
  <si>
    <t>HD A SERVICE COMPLETED</t>
  </si>
  <si>
    <t>REPLACED BURNT BREATHER LIGHTS</t>
  </si>
  <si>
    <t>repaired visor light</t>
  </si>
  <si>
    <t>2 visor lights out</t>
  </si>
  <si>
    <t>green electrical cord loose lights flickering sometimes</t>
  </si>
  <si>
    <t>THURS AFTER 6:30PM AND FRIDAY ALL DAY</t>
  </si>
  <si>
    <t>replaced plug end</t>
  </si>
  <si>
    <t>drivers side door not closing properly - very hard to close - not catching on latch</t>
  </si>
  <si>
    <t>replaced latch</t>
  </si>
  <si>
    <t>needs stainless CB antenna's</t>
  </si>
  <si>
    <t>replaced CB antenna's with stainless steel ones.</t>
  </si>
  <si>
    <t>door lock not working… jammed</t>
  </si>
  <si>
    <t>door lock drivers side not working…jammed</t>
  </si>
  <si>
    <t>NO FAULTS FOUND WITH DRIVERS DOOR LOCK</t>
  </si>
  <si>
    <t>1 trim light out on drivers side under door.</t>
  </si>
  <si>
    <t>PARTS ON ORDER- REPLACED SKIRT LIGHT AT AYRSHOP-5/26/17</t>
  </si>
  <si>
    <t>please check green electrical cord for broken wire. Driver has blown 7-8 fuses trying to keep trailer lights running. These fuses came from back up lights, lighter and spares and these will need to be replaced</t>
  </si>
  <si>
    <t>AYRSHOP CONTACTED TO REPLACED MISSING FUSES TONIGHT 5/29/17- REPLACED ALL FUSES AND CHECKED PLUG END ALL GOOD 5-29-17</t>
  </si>
  <si>
    <t>skirt light ounder drivers side door out</t>
  </si>
  <si>
    <t>FRI AFTER 6PM AND ALL DAY FRIDAY</t>
  </si>
  <si>
    <t xml:space="preserve">MONDAY </t>
  </si>
  <si>
    <t>REPLACE 1 SKIRT LIGHT</t>
  </si>
  <si>
    <t>please replace wiper blades</t>
  </si>
  <si>
    <t>REPLACED WIPERS AND 2 DRIVERS SIDE STEP RIVETS</t>
  </si>
  <si>
    <t>PLEASE REPLACE BUMPER - WE WOULD LIKE TO KEEP THIS BUMPER</t>
  </si>
  <si>
    <t>FRIDAY AFTER 6:30PM UNTIL MONDAY 4AM</t>
  </si>
  <si>
    <t>retorque all axle both sides - from safety</t>
  </si>
  <si>
    <t>RETORQUED ALL AXLES</t>
  </si>
  <si>
    <t>please check fairing for loose bolts</t>
  </si>
  <si>
    <t>INSPECTED ROOF FAIRING ALL OK</t>
  </si>
  <si>
    <t>door locks jamming on both sides - hard to lock/unlock or close</t>
  </si>
  <si>
    <t>THURS 2:30PM AND ALL DAY FRIDAY</t>
  </si>
  <si>
    <t>REPLACED BOTH DOOR LOCK ACTUATORS</t>
  </si>
  <si>
    <t>installed new hub cap on passenger side steer axle</t>
  </si>
  <si>
    <t>INSTALLED NEW HUB CAP ON PASSENGER SIDE STEER AXLE</t>
  </si>
  <si>
    <t>5TH WHEEL SLIDE NOT LOCKING.</t>
  </si>
  <si>
    <t>AIR SLIDE CYLINDER AT SHOP GOING TO REPLACE ON SATURDAY DEC 2.  REPLACED THE 5TH WHEEL AIR SLIDE CYLINDER.</t>
  </si>
  <si>
    <t>WASHER SQUIRTER ON DRIVER'S SIDE NOT COVERING ENTIRE WINDSHIELD - ONLY CLEANS BOTTTOM HALF OF WINDSHEILD</t>
  </si>
  <si>
    <t>CLEANED OUT AND RE-AIMED THE WASHER NOZZLE.</t>
  </si>
  <si>
    <t>PLEASE REPLACE WIPERS WITH WINTER BLADES</t>
  </si>
  <si>
    <t>REPLACED THE WIPERS</t>
  </si>
  <si>
    <t>ALTERNATOR LOW VOLTAGE</t>
  </si>
  <si>
    <t xml:space="preserve">ALL DAY TUESDAY </t>
  </si>
  <si>
    <t>REPLACED THE ALT.</t>
  </si>
  <si>
    <t>DRIVERS SIDE STEP MISSING RIVETS</t>
  </si>
  <si>
    <t>REPLACED THE MISSING RIVETS</t>
  </si>
  <si>
    <t>LIC. PLATE LIGHT AND PIGTAIL</t>
  </si>
  <si>
    <t>LIFT AXLE SWITCH AND INTERIOR LIGHTS CUTTING ON AND OFF - PLEASE REPAIR OR REPLACE YELLOW CORD.</t>
  </si>
  <si>
    <t>REPLACED THE FUSE AND CHECKED FOR ANY LIGHT CORD ISSUES AND FOUND NONE.</t>
  </si>
  <si>
    <t>clearance light out on far right side</t>
  </si>
  <si>
    <t>ALL LIGHTS ARE WORKING COULD NOT GET THEM TO GO OUT, ALL WIRING IS OK.</t>
  </si>
  <si>
    <t>ESBAR Engine Heater not working - Cab Heater working fine</t>
  </si>
  <si>
    <t>MON, TUES AFTER 6:30PM AND THURS AND FRI ALL DAY</t>
  </si>
  <si>
    <t>THIS HAS BEEN REPORTED BY DRIVER AS COMPLETE FEB 27/18 BUT NOT FROM AYRSHOP</t>
  </si>
  <si>
    <t>AUXILLARY SWITCH FOR TRAILER NOT WORKING - LIGHT WILL SOMETIMES FLICKER ON SWITCH BUT TRAILER HAS NOT POWER</t>
  </si>
  <si>
    <t>3.5MM AUXILLARY POWER OUTLET IN STEREO IS BROKEN PLEASE REPLACE</t>
  </si>
  <si>
    <t xml:space="preserve">FRIDAY AFTER 5PM AND ALL WEEKEND </t>
  </si>
  <si>
    <t>DO NOT REPLACE RADIO - NO ACTION TAKEN, ASKED TO REMOVE BY DAVE P.</t>
  </si>
  <si>
    <t>WILL HAVE TO ORDER A RADIO FOR THIS UNIT (JUSTIN 4/7/18).</t>
  </si>
  <si>
    <t>blown brake chamber left front drive</t>
  </si>
  <si>
    <t>THURS AFTER 6:30PM AND ALL DAY FRIDAY</t>
  </si>
  <si>
    <t>REPLACED THE LEFT FRONT DRIVE BRAKE CHAMBER.</t>
  </si>
  <si>
    <t>PLEASE ADJUST CLUTCH</t>
  </si>
  <si>
    <t>3 visor lights out</t>
  </si>
  <si>
    <t>reflective tape on mudflaps has come off</t>
  </si>
  <si>
    <t>REPLACED THE MISSING REFLECTIVE TAPE.</t>
  </si>
  <si>
    <t>REPLACE BOTH WIPERS AND NOZZLE ON DRIVER'S SIDE</t>
  </si>
  <si>
    <t>REPLACED BOTH THE WIPERS AND THE DRIVERS SIDE WASHER NOZZLE.</t>
  </si>
  <si>
    <t>Hood hold back cables broken on both sides</t>
  </si>
  <si>
    <t>REPLACED BROKEN CABLES</t>
  </si>
  <si>
    <t>VISOR LIGHT OUT - RIGHT OF CENTER</t>
  </si>
  <si>
    <t>MON, TUES, WED AND FRI AFTER 6:30PM</t>
  </si>
  <si>
    <t>SHOP REPLACED ONE VISOR LIGHT</t>
  </si>
  <si>
    <t>2xBREATHER LIGHT ON THE PASSENGER SIDE</t>
  </si>
  <si>
    <t>REPLACED THE SECOND FROM THE TOP BREATHER LIGHT ON THE PASSENGER SIDE.</t>
  </si>
  <si>
    <t>UPPER STACK MOUNT LOOSE ON DRIVERS SIDE</t>
  </si>
  <si>
    <t>REPLACED THE DRIVERS SIDE STACK MOUNT</t>
  </si>
  <si>
    <t>LIGHT OUT IN DRIVERS SIDE AIR BREATHER</t>
  </si>
  <si>
    <t>FRIDAY AFTER 5PM ALL WEEKEND AND ALL DAY MONDAY</t>
  </si>
  <si>
    <t>replaced light</t>
  </si>
  <si>
    <t>windsheild wiper resevior is leaking</t>
  </si>
  <si>
    <t>replaced washer bottle</t>
  </si>
  <si>
    <t>bottom breather lights out…both sides…shorting on and off..please replace</t>
  </si>
  <si>
    <t>replaced lights and wireing</t>
  </si>
  <si>
    <t>passenger side head light out (low beam)</t>
  </si>
  <si>
    <t>DRIVER HAD REPAIRED IN WHITBY</t>
  </si>
  <si>
    <t>AIR CONDITIONER LEAKING INSIDE OF CAB AT CONDENSOR IN PASSENGER SIDE FOOT WELL - THERE IS NO BLOCKAGE AT THE DRAIN HOSES</t>
  </si>
  <si>
    <t>found multiple leaks along with a piece of paper blocking drain - resealed leaks and removed paper</t>
  </si>
  <si>
    <t>PLEASE REPLACED TRAILER END OF YELLOW ELECTRICAL CORD</t>
  </si>
  <si>
    <t>REPLACED BY DRIVER</t>
  </si>
  <si>
    <t>DRIVER'S SIDE MUDFLAP BRACKET HAS BROKEN BOLT - BROKEN BY PERTERBILT LONDON</t>
  </si>
  <si>
    <t>PLEASE REPLACE UPPER STACK MOUNT ON PASSENGER SIDE - IT IS WORN AND SQUEEKING</t>
  </si>
  <si>
    <t>TRUCK LOSES ALL AIR WHEN PARKED OVERNINGHT - CAN HEAR BUT NOT FIND AIR LEAK UNDER CAB</t>
  </si>
  <si>
    <t>CEL LIGHT ON AND STAYING ON</t>
  </si>
  <si>
    <t>REPLACED EXHAUST MANIFOLD AND EGR VALVE</t>
  </si>
  <si>
    <t>WIPER MOTOR NO LONGER HAS HIGH SPEED</t>
  </si>
  <si>
    <t>REPLACED WIPER SWITCH</t>
  </si>
  <si>
    <t>PLEASE SEE SLEEMAN COMMENTS</t>
  </si>
  <si>
    <t>AVAILABLE MON SEPT 24 5:30PM AND ALL DAY TUESDAY</t>
  </si>
  <si>
    <t xml:space="preserve">REPLACED PASS WINDSHIELD,  LIC. PLATE LIGHT, FLEX PIPE FOR SCR AND TRANSMISSION SPLITTER VALVE. </t>
  </si>
  <si>
    <t>COMPLETED BY NORTH BAY PETERBILT</t>
  </si>
  <si>
    <t>FLAT TIRE LEFT SIDE INSIDE TIRE</t>
  </si>
  <si>
    <t>DRIVER PHONED AFTER HOURS SERVICE AND AFTER AN HOUR AND 10 MIN OF NO RESPONSE HE WENT AHEAD AND PHONED OK TIRE (ARRIVED IN 30MIN). ROB NEIL MORN. OF LONG THUNDERBAY</t>
  </si>
  <si>
    <t>BREATHER LIGHT OUT ON DRIVERS SIDE</t>
  </si>
  <si>
    <t>ESBAR ENGINE EATER NOT WORKING  - CAB HEATER NO LONGER WORKING EITHER</t>
  </si>
  <si>
    <t>2 BREATHER LIGHTS OUT 1 ON EACH SIDE</t>
  </si>
  <si>
    <t>WAITING FOR WORK ORDER - REPAIRS COMPLETED NOV 29 2018</t>
  </si>
  <si>
    <t>STABILITY CONTROL WARNING IS DISPLAYED AND ATC LIGHT ON TOGGLE SWITCH</t>
  </si>
  <si>
    <t xml:space="preserve">DRIVERS SIDE WINDOW SLOW TO GO UP </t>
  </si>
  <si>
    <t>WIRING ISSUE IN POWER SUPPLY FOR TRAILER - ISSUE STARTS BEFORE THE TRACTOR SIDE 7 WAY RECEPTICALS - THIS SHORT HAS BLOW SEVERAL 30AMP FUSES</t>
  </si>
  <si>
    <t>REPAIRED WIRING BUT FUSE PANEL LOOKS BURNT - SENT BACK TO AYRSHOP 12/23/19</t>
  </si>
  <si>
    <t>CAB ESBAR HEATER NOT WORKING</t>
  </si>
  <si>
    <t>REPLACED IN CAB ESBAR</t>
  </si>
  <si>
    <t xml:space="preserve">AIR LINE GOING TO LEVELING VALVE BROKEN - DRIVER THINKS LEVELING VALVE MAY HAVE BEEN FROZEN OR NOT WORKING BEFORE THE LINE BROKE. </t>
  </si>
  <si>
    <t>AS58845 - REPPLACED BROKEN AIR LINE AND THAWED OUT AIR DRYER</t>
  </si>
  <si>
    <t>WAITING FOR WORK ORDER 2/19/19 - PRETTY SURE THIS WAS OUTSOURCED</t>
  </si>
  <si>
    <t xml:space="preserve">AIR LEAK AT HIGH RANGE SPLITTER </t>
  </si>
  <si>
    <t>WAITING FOR WORK ORDER 2/26/19</t>
  </si>
  <si>
    <t>AS59317</t>
  </si>
  <si>
    <t>PASSENGER SIDE SKIRT LIGHT OUT</t>
  </si>
  <si>
    <t>NO POWER GOING TO CENTER PIN OF GREEN CORD</t>
  </si>
  <si>
    <t>RIGHT SIDE FRONT DRIVE AXLE HAS BLOWN BRAKE CHAMBER</t>
  </si>
  <si>
    <t>WAITING FOR WORK ORDER 3/15/19</t>
  </si>
  <si>
    <t>ALWAYS ON CALL FIIXING ON FRIDAY MARCH 15TH 2019 - YARD SERVICE - CONFIRMED AS COMPLETED BY MIKE THIBODEAU ON APRIL 22 2019, NO REPAIR COMMENTS ADDED</t>
  </si>
  <si>
    <t>CLUTCH NEEDS ADJUSTED</t>
  </si>
  <si>
    <t>TRANSMISSION LEAKING AT OUTPUT SEAL</t>
  </si>
  <si>
    <t>COMPLETED BY AYRSHOP 4/25/19 WAITING FOR WORK ORDER</t>
  </si>
  <si>
    <t>COMPLETED BY AYRSHOP 4/25/19</t>
  </si>
  <si>
    <t>A/C NOT WORKING PROPERLY - BLOWS WARM AIR</t>
  </si>
  <si>
    <t>AIR LEAKING FROM RED SPLITTER ON SHIFTER</t>
  </si>
  <si>
    <t xml:space="preserve">OIL IS SEEPING OUT OF AIR LINES AT TOP OF SHIFTER </t>
  </si>
  <si>
    <t>SHIFT SPLITTER MAKES GRINDING NOISE ON DOWN SHIFT</t>
  </si>
  <si>
    <t xml:space="preserve">FRAME AND CHASIS SQUEEK LOUDLY - SHAKE CAB TO HEAR SQUEEK - DRIVER COULD NOT PINPOINT BUT HAS SPRAYED LUBRICANT ON LEAF SPRINGS </t>
  </si>
  <si>
    <t>DRIVERS SIDE EXHAUST MOUNT ON TOP OF CAB NEEDS NEW BUSHING</t>
  </si>
  <si>
    <t>lights</t>
  </si>
  <si>
    <t xml:space="preserve">TAIL LIGHTS NOT WORKING  </t>
  </si>
  <si>
    <t>WHITE AIR LINE ON DRIVERS SIDE OF ENGINE HAS AN AIR LEAK AT UNION IN LINE</t>
  </si>
  <si>
    <t>PETERBILT COMPLETED IN YARD</t>
  </si>
  <si>
    <t>DRIVER SIDE UPPER STACK MOUNT IS LOOSE AND NOISEY…BOTH SIDES</t>
  </si>
  <si>
    <t>DYL;AN CHECKED MOUNTS - NO ISSUE FOUND SEPT 9 2019</t>
  </si>
  <si>
    <t>FRONT RIGHT SIDE STEER TIRE HAS UNEVEN WEAR  - ROUNDING ON THE OUTSIDE EDGE</t>
  </si>
  <si>
    <t>ALIGNMENT</t>
  </si>
  <si>
    <t>BOTH ESBAR HEATERS ARE NOT WORKING - ENGINE AND CAB</t>
  </si>
  <si>
    <t>REPAIRED BOTH ESBAR HEATERS</t>
  </si>
  <si>
    <t>RETORQUE ALL AXLES BOTH SIDES</t>
  </si>
  <si>
    <t>COMPLETED BY R&amp;N</t>
  </si>
  <si>
    <t>CLUTCH SWITCH NOT DE-ACTIVATING ENGINE BRAKE OR CRUISE CONTROL</t>
  </si>
  <si>
    <t>USED CAB HEATER FROM UNIT 1818</t>
  </si>
  <si>
    <t>PLEASE REPLACE WIPERS BLADES WITH WINTER BLADES</t>
  </si>
  <si>
    <t>PLEASE CHECK GREEN TRIALER POWER SUPPLY CORD FOR BROKEN OR LOOSE WIRES - TRAILER LIGHTS FLICKER ON AND OFF</t>
  </si>
  <si>
    <t>REPAIRED CORD</t>
  </si>
  <si>
    <t>FUEL GAUGE NOT ACCURATE - NEEDLE BOUNCES ALL OVER GAUGE</t>
  </si>
  <si>
    <t>REPLACED SENDING UNIT</t>
  </si>
  <si>
    <t>ENGINE HEATER NEEDS ECU - DYLAN REBUILT ON NOV 22 2019 BUT STILL NOT WORKING - REPLACED ECU 12/20/19</t>
  </si>
  <si>
    <t>REPLACED</t>
  </si>
  <si>
    <t>CHECK ENGINE LIGHT ON - NEEDS MANIFOLD SLIP JOINT SEALS REPLACED - THEY ARE LEAKING EXCESSIVELY CAUSING INCORRECT NOX AND EGR READINGS</t>
  </si>
  <si>
    <t>DIAGNOSED BY DYLAN IN YARD - COMPLETED BY AYRSHOP</t>
  </si>
  <si>
    <t>NEEDS MANIFOLD SLIP JOINT SEALS REPLACED - THEY ARE LEAKING EXCESSIVELY CAUSING INCORRECT NOX AND EGR READINGS - SEALS NOT REPLACED - BY-PASS IS NOT ENOUGH TO WARRANT REPLACEMENT - CLEARED CODES, REGENNED UNIT, CEL LIGHT DID NOT COME BACK ON.</t>
  </si>
  <si>
    <t>WHITE AIR LINE ON DRIVERS SIDE OF ENGINE NEAR FUEL FILTER AND PRIMER IS LEAKING AIR</t>
  </si>
  <si>
    <t xml:space="preserve">PLEASE REPLACE YELLOW CORD END - TRAILER LIGHTS NOT WORKING - CHECKED WITH SECOND TRUCK AND ALL WAS GOOD </t>
  </si>
  <si>
    <t>COMPLETED BY AYRSHOP 2/5/20</t>
  </si>
  <si>
    <t>CHECK ENGINE LIGHT ON - CODE SPN 3216</t>
  </si>
  <si>
    <t>REPLACED OUTLET KNOX SENSOR</t>
  </si>
  <si>
    <t>ONE VISOR LIGHT OUT</t>
  </si>
  <si>
    <t>ONE BREATHER LIGHT OUT</t>
  </si>
  <si>
    <t>PLEASE LOAD TEST AND REPLACE BATTERIES IF NEEDED - TRUCK HAS BEEN BOOSTED TWICE IN THE LAST 2 DAYS</t>
  </si>
  <si>
    <t>REPLACED 1 BATTERY</t>
  </si>
  <si>
    <t>RED DEF WARNING LIGHT ON</t>
  </si>
  <si>
    <t>WARNING LIGHT WENT OUT ON IT'S OWN</t>
  </si>
  <si>
    <t>CHECK ENGINE LIGHT ON AGAIN THIS HAS BEEN TO AYRSHOP TWICE AND SERVICED IN OUR YARD ONCE ALREADY - CODE ON DASH IS SPN 354</t>
  </si>
  <si>
    <t>LIGHT WENT OUT ON IT'S OWN 2/25/20 - REPLACED HUMIDITY SENSOR 2/26/20</t>
  </si>
  <si>
    <t>RIGHT SIDE TURN SIGNAL HAS MULTIPLE BURNT DIODES - PLEASE REPLACE</t>
  </si>
  <si>
    <t>exhaust stack loose on right side. Driver hand tightened but please check to make sure stack is secure</t>
  </si>
  <si>
    <t>repaired loose exhaust stack</t>
  </si>
  <si>
    <t>visor light out drivers side second from right</t>
  </si>
  <si>
    <t>middle clearance light out on visor</t>
  </si>
  <si>
    <t xml:space="preserve">exhaust stack not straight on pass. Side - both sides are not the same. Driver uses handle on heat sheild to get up to deck plate and stack and shield are shifting. </t>
  </si>
  <si>
    <t>right side track not straight to left side</t>
  </si>
  <si>
    <t>ALL DAY FRIDAY</t>
  </si>
  <si>
    <t>justin has straightened this once but said he would have another look at it if he had a chance</t>
  </si>
  <si>
    <t>cut in supply air line air leak exceeds max loss rate</t>
  </si>
  <si>
    <t>ALL DAY THURSDAY AND FRIDAY AFTER 4PM</t>
  </si>
  <si>
    <t>replaced supply air line</t>
  </si>
  <si>
    <t>bose seat extremly squeeky</t>
  </si>
  <si>
    <t>TUE AND WED AFTER 6:30PM FRIDAY AFTER 12PM</t>
  </si>
  <si>
    <t>NO FAULT FOUND 3/23/17 DRIVER COULD NOT FIND FAULT EITHER</t>
  </si>
  <si>
    <t>step trim falling off</t>
  </si>
  <si>
    <t>noticed step trim falling off so re-attached</t>
  </si>
  <si>
    <t>spike not working on tractor</t>
  </si>
  <si>
    <t>ALL DAY THURS AND FRI.</t>
  </si>
  <si>
    <t>NO ISSUE FOUND WITH SPIKE</t>
  </si>
  <si>
    <t>Bose seat very squeeky</t>
  </si>
  <si>
    <t>all weekend</t>
  </si>
  <si>
    <t>bolts holding catwalk loose</t>
  </si>
  <si>
    <t>RESCURED CAT WALK</t>
  </si>
  <si>
    <t>lic. Plate light out</t>
  </si>
  <si>
    <t>REPAIRED WIRING TO THE LIGHT</t>
  </si>
  <si>
    <t>passenger door very hard to close</t>
  </si>
  <si>
    <t>NO ISSUE'S FOUND</t>
  </si>
  <si>
    <t>5th wheel mechanism needs grease</t>
  </si>
  <si>
    <t>GREASED 5TH WHEEL BUT ALREADY HAD PLENTY OF GREASE ON IT</t>
  </si>
  <si>
    <t>PLEASE REPLACE WIPER BLADES</t>
  </si>
  <si>
    <t>REPLACED WIPER BLADES</t>
  </si>
  <si>
    <t>CLUTCH IS SQUEEKING PLEASE OIL OR GREASE</t>
  </si>
  <si>
    <t>ADJUSTED CLUTCH AND REPLACED 1 DRIVERS SIDE STEP RIVET</t>
  </si>
  <si>
    <t>BRAKE PEDAL STICKING</t>
  </si>
  <si>
    <t>FREED UP BRAKE PEDAL</t>
  </si>
  <si>
    <t>TRUCK LOOSES AIR WHEN PARKED OVERNIGHT DOWN TO 60PSI</t>
  </si>
  <si>
    <t>ALL DAY FRIDAY AND ALL WEEKEND</t>
  </si>
  <si>
    <t>NO LEAKS FOUND 7/26/17 - TRUCK STILL LOSING AIR WHEN PARKED - REPLACED TRANSMISSION AIR INLET FITTING</t>
  </si>
  <si>
    <t>TRUCK NOT ACTIVATING LIFT AXLE FOR TRAILER WHEN REVERSING - THIS IS NOT A TRAILER ISSUE</t>
  </si>
  <si>
    <t>THURS AND FRI AFTER 6:30PM</t>
  </si>
  <si>
    <t>MISSING FUSE</t>
  </si>
  <si>
    <t>Driver's side high beam is out</t>
  </si>
  <si>
    <t>red button pulled…takes time for brakes to apply</t>
  </si>
  <si>
    <t>passenger side day time running light burnt out.</t>
  </si>
  <si>
    <t>PLEASE REPLACE BUMPER</t>
  </si>
  <si>
    <t>MON TO THURS AFTER 6:30PM</t>
  </si>
  <si>
    <t>retorque all axles both sides from safety</t>
  </si>
  <si>
    <t>bumper needs to be replaced.</t>
  </si>
  <si>
    <t>MON TO THURS AFTER 6:30PM AND FRIDAY ALL DAY</t>
  </si>
  <si>
    <t>REPLACED BUMPER</t>
  </si>
  <si>
    <t>air below 60psi in both tanks</t>
  </si>
  <si>
    <t>NO AUDIBLE AIR LEAKS FOUND ON UNIT, UNIT PASSES AIR LOSS RATE PROCEDURE FOR A TRACTOR (FOLLOWED PROCEDURE FROM THE ONTARIO GOVERNMENT).  AIR LOSS RATE IN 2 MIN WAS NOT MEASUREABLE.</t>
  </si>
  <si>
    <t>Yellow Electrical cord has gauge in cord and inner wires are visible</t>
  </si>
  <si>
    <t>MON TO THURS AFTER 6:30PM AND ALL DAY FRIDAY</t>
  </si>
  <si>
    <t>Please check roof fairing</t>
  </si>
  <si>
    <t xml:space="preserve">ROOF FAIRING OK </t>
  </si>
  <si>
    <t>Esbar heater for Cab not working and is displaying Error message</t>
  </si>
  <si>
    <t>ALL WEEK AFTER 6:30PM AND ALL DAY FRIDAY</t>
  </si>
  <si>
    <t>ORDERED A CAB ESPAR BLOWER MOTOR. NOV 17 - REPLACED BLOWER MOTOR</t>
  </si>
  <si>
    <t>please top up engine oil</t>
  </si>
  <si>
    <t xml:space="preserve">CRUISE CONTROL NOT WORKING </t>
  </si>
  <si>
    <t>REPLACED THE CLUTCH SWITCH</t>
  </si>
  <si>
    <t>Esbar heater needs service</t>
  </si>
  <si>
    <t>SERVICED THE ESPAR UNIT WORKING GREAT NOW.</t>
  </si>
  <si>
    <t>broken air line on leveling valve</t>
  </si>
  <si>
    <t>REPLACED AIR FITTING IN THE LEVELING VALVE.</t>
  </si>
  <si>
    <t>front bumper damaged on a post at store 4063 ( Brandon Decoste )</t>
  </si>
  <si>
    <t>REPLACED THE DAMAGED FRONT BUMPER</t>
  </si>
  <si>
    <t>front right tire has worn tread.</t>
  </si>
  <si>
    <t>WED AND THURS AFTER 6:30PM AND ALL DAY MONDAY AND FRIDAY</t>
  </si>
  <si>
    <t>PASSENGER SIDE STEER TIRE IS AT 8/32 AND THE DRIVERS SIDE IS AT 17/32. AS OF NOV 28,  TIRES HAVE BEEN REPLACED TO BE RETORQUED LATER THIS WEEK</t>
  </si>
  <si>
    <t>retorque right side steer axle</t>
  </si>
  <si>
    <t>WED AND THURS AFTER 6:30PM AND ALL DAY FRIDAY</t>
  </si>
  <si>
    <t>retorqued the wheel.</t>
  </si>
  <si>
    <t>Hood hold back CABLE in broken on passenger side</t>
  </si>
  <si>
    <t>REPLACED THE BROKEN CABLE</t>
  </si>
  <si>
    <t>BRAKES STICKING AND NOT RELEASING - FIRST THIS ON MONDAY AFTER COLD WEEKEND</t>
  </si>
  <si>
    <t>COMPLETED BY ALWAYS ON CALL - NO ISSUE FOUND</t>
  </si>
  <si>
    <t>STABILITY CONTROL LIGHT ON - TRUCK WILL NOT EXCEED 40KPH</t>
  </si>
  <si>
    <t>SHOP COMPLETED, SERVICE BRAKE PEDAL AND RECALIBRATED THE PRESSURE SENSOR.</t>
  </si>
  <si>
    <t>2 STEP RIVETS MISSING</t>
  </si>
  <si>
    <t>back up beeper only works intermittenly but most often does not work - not working at all as of Feb 1st 2018</t>
  </si>
  <si>
    <t>REPLACED THE BACK-UP ALARM</t>
  </si>
  <si>
    <t xml:space="preserve">TURBO NOT GIVING ENOUGH BOOST </t>
  </si>
  <si>
    <t xml:space="preserve">DRIVER WENT TO AYRSHOP TO HAVE CHECKED </t>
  </si>
  <si>
    <t>REPLACED TURBO PRESSURE SENSOR</t>
  </si>
  <si>
    <t xml:space="preserve">BRAKE PEDAL STICKING AFTER BRAKE APPLICATION </t>
  </si>
  <si>
    <t>CLEANED AND REPAIRED PEDAL</t>
  </si>
  <si>
    <t>middle visor light out</t>
  </si>
  <si>
    <t>REPLACED THE RIGHT MOST VISOR LIGHT ALL OTHERS ARE WORKING.</t>
  </si>
  <si>
    <t>foot valve  sticking</t>
  </si>
  <si>
    <t>no fault found…brake valve not sticking</t>
  </si>
  <si>
    <t>FOOT VALVE STICKING</t>
  </si>
  <si>
    <t>driver side visor light out</t>
  </si>
  <si>
    <t>REPLACED TWO VISOR LIGHTS AND REPAIRED THE WIRING.</t>
  </si>
  <si>
    <t>RADIATOR NEEDS REPLACED - CHECKED BY PETERBILT WHITBY</t>
  </si>
  <si>
    <t xml:space="preserve">WAITING FOR CONFIRMATION FROM PETERBILT </t>
  </si>
  <si>
    <t>SHOP REPLACED THE RAD.</t>
  </si>
  <si>
    <t>CHECK ENGINE LIGHT ON - DRIVER CALLED PHONE NUMBER ON DASH AND WAS TOLD TO HAVE THE UNIT LOOKED AT</t>
  </si>
  <si>
    <t>SHOP REPLACED THE CCV</t>
  </si>
  <si>
    <t>DRIVER'S SIDE WINDOW SWITCH NOT WORKING</t>
  </si>
  <si>
    <t>DRIVERS DIE WINDOW IS WORKING TOOK THE DOOR APART AND FOUND NO ISSUES WITH THE SWITCH, WINDOW MOTOR, OR WIRING.  NO FAULTS FOUND.  TRIED WIGGLE TESTING THE DOOR HARNESS AND THE WINDOW STAYS WORKING.</t>
  </si>
  <si>
    <t>GPS needs to be updated if possible.</t>
  </si>
  <si>
    <t>WED AND THUR AFTER 6:30PM TUES AND FRI ALL DAY</t>
  </si>
  <si>
    <t>no updates available</t>
  </si>
  <si>
    <t>CEL light on.</t>
  </si>
  <si>
    <t>NOT AND ACTIVE - NO ISSUE FOUND</t>
  </si>
  <si>
    <t>crack in air line for red glad hand, also please change for aluminum handles</t>
  </si>
  <si>
    <t xml:space="preserve">repaired line and replaced </t>
  </si>
  <si>
    <t>CARPET VERY WET IN BETWEEN THE SEATS</t>
  </si>
  <si>
    <t>FRIDAY AFTER 5PM AND ALL WEEKEEND</t>
  </si>
  <si>
    <t>RESEALED BACK OF CAB LIGHTS</t>
  </si>
  <si>
    <t>engine light on…</t>
  </si>
  <si>
    <t>REPLACED BPV VALVE THAT REGULATES EXHAUST TEMPERATURE.</t>
  </si>
  <si>
    <t>CARPET STILL WET ON PASSENGER SIDE - BACK OF CAB LLIGHTS HAVE ALREADY BEEN RESEALED</t>
  </si>
  <si>
    <t>RIGHT SIDE HUB SEAL LEAKING</t>
  </si>
  <si>
    <t>NO HUBS ARE LEAKING</t>
  </si>
  <si>
    <t>CEL LIGHT ON.</t>
  </si>
  <si>
    <t>PASSENGER SIDE DOOR VERY DIFFICULT TO CLOSE AND WILL NOT LOCK</t>
  </si>
  <si>
    <t>Both ESBAR heaters failed to start  - SPOKE WITH DRIVER IN CAB HEATER WORKING FINE JAN 22, 2018 - CAB HEATER ERROR MESSAGE 2/5/2018</t>
  </si>
  <si>
    <t>CARPET ON PASSENGER SIDE IS STILL WET - I KNOW THE LIGHTS ON THE BACK OF THE CAB WERE REPLACED A MONTH AGO BUT IT DID NOT SOLVE THE PROBLEM</t>
  </si>
  <si>
    <t>Unit needs to be down for 2 days for us to repair the leak. Hvac box needs to come out</t>
  </si>
  <si>
    <t>bose seat not going up or down</t>
  </si>
  <si>
    <t>CHECKED INLINE FUSE FOR POWER AND IT WAS PLACED IN BACKWARDS. REPAIRED FUSE</t>
  </si>
  <si>
    <t>5th wheel loose</t>
  </si>
  <si>
    <t>ONE SIDE OF JAWS COMPLETELY SEIZED - REPLACED 5TH WHEEL CYLINDER</t>
  </si>
  <si>
    <t>ESBAR heater has no power at programmer. Heater not working</t>
  </si>
  <si>
    <t>SOUNDS LIKE DRIVER FLOODED UNIT BY DRIVING WHILE UNIT WAS RUNNING</t>
  </si>
  <si>
    <t>DRIVER SIDE BREATHER LIGHT OUT - 3RD FROM TOP</t>
  </si>
  <si>
    <t>BREATHER LIGHT OUT ON DRIVERS SIDE.</t>
  </si>
  <si>
    <t>FRI AFTER 5PM AND ALL DAY SAT AND SUN.</t>
  </si>
  <si>
    <t>DID NOT RECEIVE COMMENTS OR WORK ORDERS FROM PETERBILT REGARDING REPAIRS</t>
  </si>
  <si>
    <t>CLUTCH ADJUSTMENT NEEDED</t>
  </si>
  <si>
    <t>PARKED FOR REPAIRS</t>
  </si>
  <si>
    <t>DRIVER HAS ADDED 4 LITRES OF COOLANT THIS WEEK</t>
  </si>
  <si>
    <t>truck not sitting level….pass side lower than driver side</t>
  </si>
  <si>
    <t>LEVELING VALVE ARM VERY LOOSE - HAVE TO PUSH ON ARM TO STOP VALVE FROM LEAKING</t>
  </si>
  <si>
    <t>AIR LINE TO DRIVER'S SIDE REAR AIRBAG IS VERY FRAGILE AND NEEDS TO BE REPLACED - THIS TRUCK HAD THE AIRBAG REPAIRED AS A BREAK DOWN TODAY AND THE TECH TOLD SAID TO HAVE THE LINE REPLACED ASAP.</t>
  </si>
  <si>
    <t>BRAKE FOOT PEDAL STICKING WHEN APPLYING BRAKES</t>
  </si>
  <si>
    <t>AIR LEAK IN RED SUPPLY LINE AT CONNECTION TO GLAD HAND</t>
  </si>
  <si>
    <t>WAITING FOR WORK ORDER</t>
  </si>
  <si>
    <t xml:space="preserve">REPAIRED ONSITE BY AYRSHOP </t>
  </si>
  <si>
    <t>DRIVER'S SIDE DOOR WILL NOT CLOSE - LATCH IS STICKING AND NEED REPLACED</t>
  </si>
  <si>
    <t>CALLED PETERBILT ROADSIDE - REPAIRED BY ALWAYS ON CALL</t>
  </si>
  <si>
    <t>PASSENGER SIDE AIR BAG ON THE FRONT DRIVE IS BLOWN</t>
  </si>
  <si>
    <t>PLEASE REPLACE WINDSHIELD WIPERS</t>
  </si>
  <si>
    <t>NO POWER GOING TO TRAILER LIGHTS - NOT SURE IF FUSE OR PLUG</t>
  </si>
  <si>
    <t>ART AND ED REPLACED FUSES</t>
  </si>
  <si>
    <t>2X VISOR LIGHT OUT</t>
  </si>
  <si>
    <t>2X SKIRT LIGHTS OUT ON RIGHT SIDE</t>
  </si>
  <si>
    <t>WAITING FOR WORK ORDER 3/19/19 - COMPLETED BY DYLAN IN YARD</t>
  </si>
  <si>
    <t>AS59541</t>
  </si>
  <si>
    <t>VISOR LIGHT OUT - MIDDLE</t>
  </si>
  <si>
    <t xml:space="preserve">TRUCK LOSES ALL AIR WHEN PARKED OVERNIGHT - AUDIBLE AIR LEAK UNDER CAB </t>
  </si>
  <si>
    <t>AS59541 - NOT ON WORK ORDER BUT DRIVER CONFIRMED REPAIR WAS COMPLETED WITH OTHER REPAIRS ON THIS WORK ORDER</t>
  </si>
  <si>
    <t>TRUCK LOSES ALL AIR WHEN PARKED FOR 30MIN</t>
  </si>
  <si>
    <t>WAITING FOR WORK ORDER 3/29/19 - COMPLETED BY DYLAN IN YARD</t>
  </si>
  <si>
    <t>RIGHT SIDE REAR DRIVE AIR BAG POPPED</t>
  </si>
  <si>
    <t>REPLACED BY DYLAN IN YARD 5/3/19</t>
  </si>
  <si>
    <t>PRIMARY AIR TANK DRAIN CORD BRACKET MISSING MOUNTING BOLT - CURRENTLY ZIP TIED TO  AIR TANK U-BOLT THAT IS VISIBLE UNDER DRIVERS SIDE DOOR.</t>
  </si>
  <si>
    <t>REPLCABED BOLT</t>
  </si>
  <si>
    <t>STEER AXLE MISSING LUG COVERS AND HUB COVERS ON BOTH SIDES</t>
  </si>
  <si>
    <t>REPLACED BY AYRSHOP 5/11/19</t>
  </si>
  <si>
    <t>BREATHER LIGHT OUT ON PASSENGER SIDE</t>
  </si>
  <si>
    <t>ALL LIGHTS CONFIRMED REPAIRED BY DYLAN 5/21/19</t>
  </si>
  <si>
    <t>GROMETS FOR BREATHER AND VISOR LIGHTS ARE DAMAGED AND LIGHTS ARE POPPING OUT OF STAINLESS MOUNTS</t>
  </si>
  <si>
    <t>ALL GROMETS CONFIRMED REPAIRED BY DYLAN 5/21/19</t>
  </si>
  <si>
    <t>EXCESSIVELY COLD CRANKS WHEN FIRST STARTIN UP IN MORNING</t>
  </si>
  <si>
    <t>NO ISSUE FOUND BY DYLAN  - ALL CODES CLEARED</t>
  </si>
  <si>
    <t>PLEASE ADJUST SETTING TO ALLOW INTERIOR LIGHTS TO FUNCTION WHETHER TRAILER BRAKES ARE ENGAGED OR NOT - CURRENTLY WILL NOT WORK IF TRAILER SPRING BRAKES ARE ENGAGED</t>
  </si>
  <si>
    <t>DYLAN REPAIRED IN YARD 5/24/19</t>
  </si>
  <si>
    <t>NEEDS TO GO TO AYRSHOP TO REPLACE FUEL LINES (GETTING HARD AND BRITTLE)</t>
  </si>
  <si>
    <t>REPAIRED BY AYRSHOP 5/30/19</t>
  </si>
  <si>
    <t>WAITING FOR PARTS 5/11/19 - 2 WEEK LEAD TIME</t>
  </si>
  <si>
    <t>FUEL LINES BECOMING HARD AND BRITTLE AS PER DYLAN 5/21/19 - MAY BE CAUSING HARD STARTING ISSUE  DUE TO AIR IN LINES -  SHOULD BE REPLACED AT NEXT SERVICE</t>
  </si>
  <si>
    <t>DIAGNOSED BY DYLAN IN YARD 5/24/19 - REPAIRED BY AYRSHOP 5/30/19</t>
  </si>
  <si>
    <t>NEEDS TO GO TO AYRSHOP TO REPLACE FUEL LINES (GETTING HARD AND BRITTLE) 5/24/19</t>
  </si>
  <si>
    <t>ALL VISOR LIGHTS ARE DIM - PLEASE CHECK WIRING AND VOLTAGE</t>
  </si>
  <si>
    <t>TRACTOR SPRING BRAK VALVE LEAKS AIR WHEN SPRING BRAKES ARE RELEASED</t>
  </si>
  <si>
    <t>PMB SERVICE DUE</t>
  </si>
  <si>
    <t>RIDE HEIGHT TOO HIGH</t>
  </si>
  <si>
    <t>ALUMINUM MOUNTING PLATE FOR AIR AND ELECTRICAL LINES BEHIND CAB IS LOOSE</t>
  </si>
  <si>
    <t>NO POWER GOING TO CENTER PIN ON GREEN POWER SUPPLY CORD</t>
  </si>
  <si>
    <t>NO POWER THROUGH GREEN CORD FOR TRAILER LIGHTS - ALL FUSES ARE GOOD</t>
  </si>
  <si>
    <t>FOUND AND REPAIRED BAD CONNECTION</t>
  </si>
  <si>
    <t>VISOR LIGHT BURNT ON PASSENGER SIDE</t>
  </si>
  <si>
    <t>BACK UP LIGHT ON TOP OF DRIVER'S SIDE MIRROR IS NOT WORKING</t>
  </si>
  <si>
    <t>PASSENGER SIDE DOOR HARD TO CLOSE AND LOCK</t>
  </si>
  <si>
    <t>OIL DRIPPING FROM OIL PAN</t>
  </si>
  <si>
    <t>ESBAR CAB HEATER EXHAUST TUBE NEEDS REPLACED</t>
  </si>
  <si>
    <t>BUMPER IS BENT</t>
  </si>
  <si>
    <t>NO ACTION TO BE TAKEN</t>
  </si>
  <si>
    <t>POGO STICK NEEDS REPLACED</t>
  </si>
  <si>
    <t>COMPLETED BY AYRSHOP DURING SAFETY</t>
  </si>
  <si>
    <t>FUEL GAUGE NOT WORKING</t>
  </si>
  <si>
    <t xml:space="preserve">COMPLETED BY AYRSHOP </t>
  </si>
  <si>
    <t>LIGHT OUT ON PASSENGER SIDE BREATHER</t>
  </si>
  <si>
    <t xml:space="preserve">LOW COOLANT WARNING, AMBER CHECK ENGINE LIGHT, RED STOP ENGINE LIGHT AND SERVICE WRENCH APPEARED ON DASH - TRUCK RUNNING FINE, COOLANT FULL - MAY NEED COOLANT TANK REPLACED </t>
  </si>
  <si>
    <t>REPLACED COOANT TANK</t>
  </si>
  <si>
    <t>ESBAR ENGINE HEATER DISPLAYS ERROR MESSAGE</t>
  </si>
  <si>
    <t>PERFORMED REGULAR MAINTENANCE</t>
  </si>
  <si>
    <t>ADJUSTMENT PIN AT FRONT OF 5TH WHELL DOES NOT SIT FLUSH AGAINST 5TH WHEEL WHEN JAWS ARE CLOSED AROUND KING PIN. - HAS MORE THAT 3/16 OF PLAY</t>
  </si>
  <si>
    <t>ADJUSTED 5TH WHEEL</t>
  </si>
  <si>
    <t>CLEANED OUT HEATER</t>
  </si>
  <si>
    <t>BUMPER BENT</t>
  </si>
  <si>
    <t>STRAIGHTENED BY DRIVER (LOUIS)M) 12/17/19 - USED A TOW STRAP TO STRAIGHTEN</t>
  </si>
  <si>
    <t>SUPPLY LINE LEAKING AIR AT TRAILER SIDE GLAD HAND</t>
  </si>
  <si>
    <t>REPAIRED BY ARYSHOP IN YARD</t>
  </si>
  <si>
    <t>REPLACED HANDLE AND FITTING</t>
  </si>
  <si>
    <t>ENGINE NOT GETTING ABOVE 170 DEGREES - MAY NEED THERMOSTAT</t>
  </si>
  <si>
    <t>COMPETED BY AYRSHOP</t>
  </si>
  <si>
    <t>REPLACED ENGINE THERMOSTAT</t>
  </si>
  <si>
    <t>REPORTED BY DYLAN AS "MUST HAVE BEEN COMPLETED BY ALWAYS ON CALL" 5/29/20</t>
  </si>
  <si>
    <t>1 VISIOR LIGHT OUT</t>
  </si>
  <si>
    <t>AIR LEAK COMING FROM FRONT OF ENGINE - DRIVER SUSPECTS FAN CLUTCH BUT COULD NOT PIN POINT</t>
  </si>
  <si>
    <t>REPLACED FITTING FOR CLUTCH FAN</t>
  </si>
  <si>
    <t>DRIVE TIRES ARE GETTING LOW ON TREAD</t>
  </si>
  <si>
    <t>SENT TO AYRSHOP 8/11/20 - COMPLETED BY AYRSHOP</t>
  </si>
  <si>
    <t>REPLACE ALL 8 DRIVE TIRES</t>
  </si>
  <si>
    <t>AIR LEAK AT FRONT OF ENGINE - TRUCK LOOSES ALL AIR FROM SECONDARY TANK RAPIDLY</t>
  </si>
  <si>
    <t>REPLACED FAN HUB ASSEMBLY</t>
  </si>
  <si>
    <t>PLEASE REPLACE BOTH WINDSHIELD WIPERS</t>
  </si>
  <si>
    <t>REPLACED WINDSHIELD WIPERS</t>
  </si>
  <si>
    <t>ABS, INTERIOR LIGHTS AND REVERSOMATIC NOT WORKING - PLEASE CHECK COUPLING CORDS FOR PROPER POWER OUTPUT</t>
  </si>
  <si>
    <t>REPAIRED LIGHT CORD END</t>
  </si>
  <si>
    <t>RETURQUE ALL DRIVE WHEELS</t>
  </si>
  <si>
    <t>DRIVER STOPPED AT AYRSHOP TO HAVE COMPLETED</t>
  </si>
  <si>
    <t>PLEASE CHECK DRIVER'S SIDE WINDOW FOR LEAKAGE - FLOOR IS WET AND FUSE PANEL HAS SALTY RESIDUE ON FUSES - THIS WINDOW WAS REPLACED DURING SAFETY AND MIGHT NOT HAVE SEALED PROPERLY</t>
  </si>
  <si>
    <t>REPLACED DRIVERS SIDE WINDOW</t>
  </si>
  <si>
    <t>REPLACED FUEL LINE</t>
  </si>
  <si>
    <t>all lights working</t>
  </si>
  <si>
    <t>lic plate light out</t>
  </si>
  <si>
    <t>MON, TUES, WED AFTER 6:30PM THURS AND FRI ALL DAY</t>
  </si>
  <si>
    <t>drivers side windsheild has chip that is starting to spider</t>
  </si>
  <si>
    <t>AYRSHOP PICKING UP FRIDAY AFTERNOON FOR GO GLASS TO REPAIR AT SHOP AND RETURNING SATURDAY BEFORE CLOSE.</t>
  </si>
  <si>
    <t>marker light out on visor right side</t>
  </si>
  <si>
    <t>visor light on right side dim</t>
  </si>
  <si>
    <t>left front drive brake chamber has air leak that exceeds loss rate.</t>
  </si>
  <si>
    <t>REPLACED CHAMBER</t>
  </si>
  <si>
    <t>drivers side skirt light out</t>
  </si>
  <si>
    <t>NO SKIRT LIGHT OUT</t>
  </si>
  <si>
    <t>REPLACED 1 VISOR LIGHT</t>
  </si>
  <si>
    <t>HOOD NEEDS ADJUSTMENT ON LEFT SIDE</t>
  </si>
  <si>
    <t>ADJUSTED HOOD DOWN ON DRIVERS SIDE</t>
  </si>
  <si>
    <t>BACK OF CAB LIGHT OUT</t>
  </si>
  <si>
    <t>BOTH LIGHTS ON BACK OF CAB ARE WORKING</t>
  </si>
  <si>
    <t xml:space="preserve">FRI AFTER 6:30PM   </t>
  </si>
  <si>
    <t>reverse light not working</t>
  </si>
  <si>
    <t>REPAIRED BY PETERBILT T-BAY</t>
  </si>
  <si>
    <t>back of cab light out</t>
  </si>
  <si>
    <t>Drvers side cab Skirt light out. - 4th from bottom</t>
  </si>
  <si>
    <t xml:space="preserve">replaced light </t>
  </si>
  <si>
    <t xml:space="preserve">NO FREE PLAY AT TOP OF CLUTCH </t>
  </si>
  <si>
    <t>adjusted clutch</t>
  </si>
  <si>
    <t>step rivets missing</t>
  </si>
  <si>
    <t>replaced the missing 2 step plate rivets</t>
  </si>
  <si>
    <t>retorque both drive axles both sides</t>
  </si>
  <si>
    <t>driver's side head light lens broken from incident.</t>
  </si>
  <si>
    <t>TUES AND WED ANFRTER 6:30PMN AND THURS AND FRI ALL DAY</t>
  </si>
  <si>
    <t xml:space="preserve">REPLACED HEADLIGHT </t>
  </si>
  <si>
    <t>bumper needs replaced</t>
  </si>
  <si>
    <t>MON, WED THUR AND FRI AFTER 6:30 AND TUES ALL DAY</t>
  </si>
  <si>
    <t>REPLACED THE BUMPER</t>
  </si>
  <si>
    <t>5th Wheel will not slide please adjust</t>
  </si>
  <si>
    <t>ADJUSTED THE 5TH WHEEL AND REPLACED THE 5TH WHEEL AIR LOCK CYLINDER.</t>
  </si>
  <si>
    <t>retorque all axles both sides from safety.</t>
  </si>
  <si>
    <t>LEFT LOWER SKIRT LIGHT OUT</t>
  </si>
  <si>
    <t>REPLACED THE ONE SKIRT LIGHT.</t>
  </si>
  <si>
    <t>BREATHER LIGHTS OUT ON THE LEFT SIDE</t>
  </si>
  <si>
    <t>REPAIRED THE WIRING TO THE LIGHTS.</t>
  </si>
  <si>
    <t>DRIVER'S SIDE STEP MISSING RIVETS</t>
  </si>
  <si>
    <t>coolant leak from lower RAD hose on bottom right side of motor where rubber meets metal.</t>
  </si>
  <si>
    <t>AVAILABLE ALL WEEK</t>
  </si>
  <si>
    <t>REPLACED THE LEAKING CLAMP.</t>
  </si>
  <si>
    <t>2 - visor lights out</t>
  </si>
  <si>
    <t>missing step rivets</t>
  </si>
  <si>
    <t>ESBAR Cab heater would not start from programming over night - when driver started heater manually his Cab back filled with smoke</t>
  </si>
  <si>
    <t>UNIT NEEDS TO BE SERVICE AND HAVE THE EXHAUST REPAIRED NO OTHER FAULTS IN THE UNIT  NEEDS TO GO TO THE SHOP</t>
  </si>
  <si>
    <t>ESBAR Engine Heater will not start from programming on cold nights.</t>
  </si>
  <si>
    <t>UNIT NEEDS TO BE SERVICED  NO OTHER FAULTS IN THE UNIT  NEEDS TO GO TO THE SHOP</t>
  </si>
  <si>
    <t>1 x lower left auxillary light out</t>
  </si>
  <si>
    <t>CLUTCH PEDAL SWITCH NOT DISENGAUGING CRUISE OR ENGINE BRAKE</t>
  </si>
  <si>
    <t>ESBAR ENGINE AND CAB HEATERS NOT WORKING</t>
  </si>
  <si>
    <t>DRIVER'S SIDE WINDOW SLOW TO LOWER AND RAISE</t>
  </si>
  <si>
    <t>MON, TUE, THURS AND FRI AFTER 6:30PM</t>
  </si>
  <si>
    <t>GREASED WINDOW TRACK</t>
  </si>
  <si>
    <t>COOLANT LEAK UNDER CAB ON PASSENGER SIDE</t>
  </si>
  <si>
    <t>REPAIRED BROKEN COOLANT LINE</t>
  </si>
  <si>
    <t>SWITCH ON CLUTCH TO DISENGAGE ENGINE BRAKE AND CRUISE CONTROL NOT WORKING</t>
  </si>
  <si>
    <t>REPLACED SWITCH</t>
  </si>
  <si>
    <t>REPLACED THE LIC PLATE LIGHT AND BASE.</t>
  </si>
  <si>
    <t>left side marker light out on visor</t>
  </si>
  <si>
    <t>replaced visor light</t>
  </si>
  <si>
    <t>low beam out</t>
  </si>
  <si>
    <t>MON, THURS AND FRI AFTER 6:30PM</t>
  </si>
  <si>
    <t>SHOP REPLACED THE LIGHT BULB</t>
  </si>
  <si>
    <t>2x visor light out</t>
  </si>
  <si>
    <t>REPLACED TWO VISOR LIGHTS</t>
  </si>
  <si>
    <t>Left side visor light out</t>
  </si>
  <si>
    <t>REPLACED ONE VISOR LIGHT.</t>
  </si>
  <si>
    <t>ALL VISOR LIGHTS ON AND OFF - LEFT VISOR LIGHT OUT AT THE MOMENT</t>
  </si>
  <si>
    <t>THURS AFTER 6:30PM AND AlL DAY FRIDAY</t>
  </si>
  <si>
    <t>REPLACED ONE VISOR LIGHT AND REPAIRED THE WIRING THAT POWERS ALL VISOR LIGHTS.</t>
  </si>
  <si>
    <t>RIGHT TAIL LIGHT OUT</t>
  </si>
  <si>
    <t>REPAIRED THE WIRING TO THE RIGHT REAR TAIL LIGHT.</t>
  </si>
  <si>
    <t xml:space="preserve">CEL LIGHT ON FOR SUSPENSION PRESSURE SENSOR AND TRACTION CONTROL SENSORS </t>
  </si>
  <si>
    <t>BOTH CODES CLEARED AND CEL LIGHT WENT BACK OUT</t>
  </si>
  <si>
    <t>PASSENGER SIDE WINDSHIELD HAS STONE CHIP AND NEEDS REPLACED</t>
  </si>
  <si>
    <t>WINDSHIELD WAS REPAIRED NOT REPLACED</t>
  </si>
  <si>
    <t>PASS. SIDE DOOR NOT CLOSING PROPERLY - TRIED SEVERAL TIMES TO GET DOOR CLOSED</t>
  </si>
  <si>
    <t>REPLACE DOOR LATCH</t>
  </si>
  <si>
    <t>AUDIBLE AIR LEAK UNDER CAB  - TRUCK LOOSES ALL AIR OVERNIGHT</t>
  </si>
  <si>
    <t>REPAIRED AIR LEAKS</t>
  </si>
  <si>
    <t>VIBRATION IN DRIVE LINE - WE HAVE HAD ISSUE'S IN THE PAST WITH RIDE HEIGHT</t>
  </si>
  <si>
    <t>CHECKED DRIVELINE AND ADJUSTED RIDE HEIGHT</t>
  </si>
  <si>
    <t>TRACTOR STILL LOSING ALL AIR WHEN PARKED OVERNIGHT - MULTIPLE LEAKS REPAIRED ON JULY 14 2018 BUT STILL LOSING AIR</t>
  </si>
  <si>
    <t>found a couple of fittings leaking</t>
  </si>
  <si>
    <t>VIBRATION IN DRIVELINE - THIS TRUCK SEEMS TO SIT AND INCH AND A QUARTER HIGHER THAN UNIT 1817. DRIVER FOR UNIT 1817 IS VERY HAPPY WITH THE SMOOTHNESS OF IS TRUCK</t>
  </si>
  <si>
    <t xml:space="preserve">ADJUSTED RIDE HEIGHT </t>
  </si>
  <si>
    <t>CROSS MEMBER BEHIND 5TH WHEEL IS CRACKED ALMOST AL THE WAY THROUGH.</t>
  </si>
  <si>
    <t>GROUND OUT AND WELDED</t>
  </si>
  <si>
    <t>TRUCK LOOSES ALL AIR WHEN PARKED OVERNIGHT</t>
  </si>
  <si>
    <t>PASSENGER SIDE WINSHIELD CRACKED</t>
  </si>
  <si>
    <t>WED, THURS AND FRI AFTER 6:30PM</t>
  </si>
  <si>
    <t>REPLACED WINDSHIELD</t>
  </si>
  <si>
    <t>missing bolt on passenger side stack</t>
  </si>
  <si>
    <t>FRIDATY AFTER 6:30PM AND ALL WEEKEND</t>
  </si>
  <si>
    <t>DRIVER HAD COMPLETED IN KINGSTON</t>
  </si>
  <si>
    <t>DRIVER DOOR POPS OPEN</t>
  </si>
  <si>
    <t>REPLACED DOOR LATCH</t>
  </si>
  <si>
    <t>LOWER AUXILLARY LIGHT OUT ON LEFT SIDE</t>
  </si>
  <si>
    <t>PARKED UNTIL MONDAY 4AM</t>
  </si>
  <si>
    <t>AS58784</t>
  </si>
  <si>
    <t>AS59076</t>
  </si>
  <si>
    <t>ESBAR ENGINE HEATER FAILED TO START</t>
  </si>
  <si>
    <t>ENGINE CHARGE AIR COOLER LEAKING  - HAS A HOLE IN IT</t>
  </si>
  <si>
    <t>DRIVER HAD REPAIRED AT PETERBILT SUDBURY</t>
  </si>
  <si>
    <t>LISENCE PLATE LIGHT OUT</t>
  </si>
  <si>
    <t>GREEN ELECTRICAL CORD END BROKEN</t>
  </si>
  <si>
    <t>REPAIR CONFIRMED BY DRIVER</t>
  </si>
  <si>
    <t>REPAIRED AT PETERBILT WHITBY 3/13/19</t>
  </si>
  <si>
    <t>AUXILLARY LIGHT OUT ON RIGHT SIDE OF TRUCK</t>
  </si>
  <si>
    <t>NOT COMPLETED WHEN TRUCK WAS AT AYRSHOP ON FEB 4TH - COMPLETED ON WOR K ORDER AS59555 - NO ISSUE FOUND</t>
  </si>
  <si>
    <t>YELLOW CORD WAS CUT FOR REPAIRS AND IS NOW TOO SHORT - PLEASE REPLACE CORD AND BRAID THROUGH PROTECTIVE COVER - PLEASE ALSO REPLACE THE CLAMPS</t>
  </si>
  <si>
    <t>AVAILABLE ALL WEEK MARCH 18-22 2019</t>
  </si>
  <si>
    <t>AS59555</t>
  </si>
  <si>
    <t>ANTENNA FOR CB RADIO ON LEFT HAND SIDE IS BROKEN</t>
  </si>
  <si>
    <t>RADIO ANTEENA ON BACK OF CAB IS LOOSE AND HAS POOR RECEPTION - PLEASE CLEAN CONNECTIONS, REPALCE IF NEEDED AND TIGHTEN DOWN</t>
  </si>
  <si>
    <t>ESBAR ENGINE HEATER NOT WORKING - THIS WAS SERVICED IN EARLY FEB</t>
  </si>
  <si>
    <t>NOT COMPLETED WITH WORK ORDER AS59555 - CONFIRMED AS COMPLETED BY MIKE THIBODEAU ON APRIL 22 2019, NO REPAIR COMMENTS ADDED</t>
  </si>
  <si>
    <t>PLEASE REPLACE AIR AND ELECTRICLE LINES 0 THEY HAVE BEEN REPAIRED A COUPLE OF TIMES NOW AND ARE TOO SHORT.</t>
  </si>
  <si>
    <t>REPLACED BY DYLAN IN YARD 5/2/19</t>
  </si>
  <si>
    <t>LICENSE PLATE LIGHT OUT.</t>
  </si>
  <si>
    <t>REPLACED BY DYLAN IN YARD 6/3/19</t>
  </si>
  <si>
    <t>REPAIRED BY AYRSHOP 6/22/19</t>
  </si>
  <si>
    <t>BROKEN HOOD CABLE</t>
  </si>
  <si>
    <t>CB RADIO NOT WORKING</t>
  </si>
  <si>
    <t>REAR CAB LIGHT OUT</t>
  </si>
  <si>
    <t>REPAIRED BY AYRSHOP IN YARD</t>
  </si>
  <si>
    <t>SPRING BROKE IN DRIVERS DOOR LATCH</t>
  </si>
  <si>
    <t>DRIVERS SIDE DOOR HANDLE LOOSE</t>
  </si>
  <si>
    <t>COMPLETED BY DYAN IN YARD</t>
  </si>
  <si>
    <t>OIL PAN HAS SLOW DRIP FROM THE DRAIN PLUG</t>
  </si>
  <si>
    <t>REPLACED OIL PAN</t>
  </si>
  <si>
    <t>RIDE HEIGHT TOO HIGH - TRUCK RUMBLES AND VIBRATES AT HIGHER RMP'S</t>
  </si>
  <si>
    <t>ADJUSTED RIDE HEIGHT</t>
  </si>
  <si>
    <t>ONE HOOD CABLE BROKEN</t>
  </si>
  <si>
    <t xml:space="preserve">UPDATED SOFTWARE  </t>
  </si>
  <si>
    <t>UPDATED SOFTWARE - COMPLETED REGEN CYCLE WITH NO ISSUE</t>
  </si>
  <si>
    <t>BRAKE PEDAL STICKING - SUSPECT PRIMARY PLUNGER VALVE</t>
  </si>
  <si>
    <t>REPLACED PLUNGER AND BOOT ALSO LUBBED EVERYTHING</t>
  </si>
  <si>
    <t>FLOOR VERY WET IN CAB - COULD NOT SOURCE LEAK - DRIVER'S SIDE WINDSHEILD RECENTLY REPLACED</t>
  </si>
  <si>
    <t xml:space="preserve">RUBBER SEAL TORN FROM PREVIOUS INSTALLATION - REPLACED SEAL, SEALANT AND WINDOW </t>
  </si>
  <si>
    <t>PASSENGER SIDE BREATHER LIGHT (3RD LIGHT FROM TOP) FLICKERS ON AND OFF</t>
  </si>
  <si>
    <t>REPLACED MULTIPLE BREATHER LIGHTS</t>
  </si>
  <si>
    <t>RIGHT REAR BRAKE WOULD NOT RELEASE - ROLLED TRUCK BACK AND FORTH TO RELEASE BRAKE - PLEASE CHECK COMPONENTS</t>
  </si>
  <si>
    <t>CHECKED ADJUSTMENT, PADS AND WHEEL FREE SPIN - NO ISSUE FOUND - POSSIBLY FROZEN</t>
  </si>
  <si>
    <t>BATTERIES DEAD - HAD TO BOOST TRUCK</t>
  </si>
  <si>
    <t xml:space="preserve"> RIGHT REAR TAIL LIGHT OUT</t>
  </si>
  <si>
    <t>REPLACED LIGHT - CHECKED WIRING</t>
  </si>
  <si>
    <t>ONE SKIRT LIGHT OUT ON DRIVER'S SIDE</t>
  </si>
  <si>
    <t>BACK OF CAB LIGHT BROKEN AND SCREWS STRIPPED</t>
  </si>
  <si>
    <t>REPLACED LIGHT AND LENS - RE-TAPPED SCREW HOLES</t>
  </si>
  <si>
    <t>DRIVER SIDE WINDSHEILD LEAKING BADLY</t>
  </si>
  <si>
    <t>COMPLETED BY GO GLASS GUELPH</t>
  </si>
  <si>
    <t>PLEASE REPLACE BOTH EXHAUST CLAMPS AT STACK - BOTH ARE STRETCHED AND WORN</t>
  </si>
  <si>
    <t>REPLACED BOTH CLAMPS</t>
  </si>
  <si>
    <t>LEFT SIDE REAR DRIVE OUTSIDE RIM IS CRACKED</t>
  </si>
  <si>
    <t>RPELACED RIM</t>
  </si>
  <si>
    <t>RETORQUE RIGHTSIDE REAR WHEEL</t>
  </si>
  <si>
    <t>DRIVER HAD COMPLETED AT LONDON PETERBILT</t>
  </si>
  <si>
    <t>HD B SERVICE DUE IN MARCH 2020</t>
  </si>
  <si>
    <t>COMPLETED SERVICE</t>
  </si>
  <si>
    <t>DRIVER'S SIDE DOOR SEAL MAY NEED REPLACED</t>
  </si>
  <si>
    <t>REPLACED DOOR SEAL</t>
  </si>
  <si>
    <t>WINDSHIELD STILL LEAKS AFTER RESEAL - PLEASE REPLACE</t>
  </si>
  <si>
    <t>COMPLETED BY GO-GLASS</t>
  </si>
  <si>
    <t xml:space="preserve">REPLACED BY GO-GLASS </t>
  </si>
  <si>
    <t>LOWER RAD HOSE CLAMP BROKEN</t>
  </si>
  <si>
    <t>DRIVER SPOKE WITH DYLAN IN YARD AND CLAMP WAS REPLACED</t>
  </si>
  <si>
    <t>SIGNAL LIGHTS ON MIRRORS HAVE MANY BURNT DIODES</t>
  </si>
  <si>
    <t>REPLACED MIRROR SIGNAL LIGHTS ON BOTH SIDES</t>
  </si>
  <si>
    <t>DRIVERS SIDE WINDSHIELD LEAKS - HAS BEEN RESEALED 3 TIMES BY GO-GLASS</t>
  </si>
  <si>
    <t>AT AYRSHOP 8/14/20 COMPLETED BY AYRSHOP 8/17/20</t>
  </si>
  <si>
    <t>REPLACED AND RESEALED WINDSHIELD</t>
  </si>
  <si>
    <t>DRIVERS SIDE WINDOW HAS STONE CHIP</t>
  </si>
  <si>
    <t>LIGHT WENT OUT ON IT'S OWN, WILL WAIT TO SEE IF IT COMES BACK ON.</t>
  </si>
  <si>
    <t xml:space="preserve">COLD COOLANT LEAK FROM TOP RAD HOSE </t>
  </si>
  <si>
    <t>TIGHTENED HOSE CLAMP - NO LEAKS</t>
  </si>
  <si>
    <t>CHECK ENGINE LIGHT ON - CODE SPN 908</t>
  </si>
  <si>
    <t>CODE DUE TO LOW VOLTAGE DROP - CLEARED CODES PERFORMED REGEN - CEL LIGHT DID NOT RETURN</t>
  </si>
  <si>
    <t>AMBER CHECK ENGINE LIGHT ON - AMBER ABS LIGHT ON AND STABILITY CONTROL LIGHT ON</t>
  </si>
  <si>
    <t>HD B SERVICE DUE IN NOVEMBER 2019</t>
  </si>
  <si>
    <t>COMPLETED BY AYRSHOP 1/28/20</t>
  </si>
  <si>
    <t xml:space="preserve">MIDDLE VISOR LIGHT FLICKERS ON AND OFF </t>
  </si>
  <si>
    <t>REPAIRED WIRE</t>
  </si>
  <si>
    <t>TRUCK NOT POWERING RIGHT SIDE TURN SIGNAL ON TRAILER - TRUCK POWERS UPPER CLEARANCE LIGHTS INTERMITTENLY - PLEASE CHECK WIRES IN GREEN POWER CORD AND FUSES</t>
  </si>
  <si>
    <t>REPAIRED GREEN CORD WIRING</t>
  </si>
  <si>
    <t>HOOD CABLE BROKEN ON PASSENGER SIDE</t>
  </si>
  <si>
    <t>COMPLETED BY ALWAYS ON CALL IN YARD</t>
  </si>
  <si>
    <t>COMPLETED BY AYRSHOP 2/28/20</t>
  </si>
  <si>
    <t xml:space="preserve">REPLACED 2 LIGHTS ON PASSENGER </t>
  </si>
  <si>
    <t>PLEASE CHECK RIDE HEIGHT, MIGHT BE SET TOO HIGH - TRUCK VIBRATES</t>
  </si>
  <si>
    <t>THIS WAS CHECKED AND ALL IS GOOD - CURRENTLY SET AT 11 INCHES</t>
  </si>
  <si>
    <t>broken pogo stick</t>
  </si>
  <si>
    <t>driver has asked not to have the pogo stick replaced so this has been removed from the log 3/1/17</t>
  </si>
  <si>
    <t>drivers side CFB antenna broken</t>
  </si>
  <si>
    <t>THURSDAY AFTER 4PM AND ALL DAY FRIDAY</t>
  </si>
  <si>
    <t>drivers side window not going up or down</t>
  </si>
  <si>
    <t>REPLACED WINDOW REGULATOR</t>
  </si>
  <si>
    <t>when this truck hooks to a trailer the trailer has no top clearance lights, we have tried a couple of trailers now and same thing.</t>
  </si>
  <si>
    <t>REPLACED TRAILER LIGHT CORD</t>
  </si>
  <si>
    <t xml:space="preserve">trailer ABS light comes on in tractor but… not on trailer. We have trailer checked but no issue's found </t>
  </si>
  <si>
    <t>NO CODES AVAILBLE, UPDATED DASH SOFTWARE AS NEEDED</t>
  </si>
  <si>
    <t>centre visor light out</t>
  </si>
  <si>
    <t>license plate light out</t>
  </si>
  <si>
    <t>afTER 6:30PM TUES -  FRI</t>
  </si>
  <si>
    <t>driver side low beam headlight out</t>
  </si>
  <si>
    <t>REPLACE WIPER BLADES FOR SUMMER BLADED</t>
  </si>
  <si>
    <t>REPLACE WIPERS AND 2 DRIVERS SIDE STEP RIVETS</t>
  </si>
  <si>
    <t>ABS light on</t>
  </si>
  <si>
    <t>blown fuse</t>
  </si>
  <si>
    <t>feels like brake caliper on rear drives are sticking</t>
  </si>
  <si>
    <t>BRAKE PEDAL STICKING NOT CALIPER</t>
  </si>
  <si>
    <t>STEER TIRES GETTING LOW ON TREAD AND HAVE GOUGES IN THE TREADS</t>
  </si>
  <si>
    <t xml:space="preserve">REPLACED BOTH STEER TIRES </t>
  </si>
  <si>
    <t>Passenger side low beam out</t>
  </si>
  <si>
    <t>Adding 2 litres a week to truck but cannot locate leak.</t>
  </si>
  <si>
    <t>needs to go to shop to have rad replaced - 9/23/17</t>
  </si>
  <si>
    <t>Air lines on this unit have been replaced but were installed crossed at back of cab.</t>
  </si>
  <si>
    <t>looses coolant from lower Rad hose/Pipe on right side at the bottom of the engine.</t>
  </si>
  <si>
    <t>TUES, WED, THURS AND FRI AND ALL DAY MON.</t>
  </si>
  <si>
    <t>PLEASE CHECK STEP RIVETS</t>
  </si>
  <si>
    <t>REPLACED STEP RIVETS</t>
  </si>
  <si>
    <t>passenger door hard to close - not latching properly</t>
  </si>
  <si>
    <t>LUBED THE DOOR LATCH, IF PROBLEM CONT WE WILL REPLACE THE LATCH.</t>
  </si>
  <si>
    <t>AIR LEAK AT LEVELING VALVE</t>
  </si>
  <si>
    <t>REPLACED THE BROKEN AIR LINE AND FITTINGS.</t>
  </si>
  <si>
    <t>light out on back of cab</t>
  </si>
  <si>
    <t>REPLACED THE REAR OF CAB LIGHT BULB.</t>
  </si>
  <si>
    <t>audible air leak</t>
  </si>
  <si>
    <t>REPLACED THE LEAKING QUICK CONNECT FITTINGS ON THE TRANSMISSION.</t>
  </si>
  <si>
    <t xml:space="preserve">TRUCK NOT HOLDING AIR OVERNIGHT </t>
  </si>
  <si>
    <t>Retorque all axles both sides</t>
  </si>
  <si>
    <t>REPLACED THE WIPERS AND CLEANED AND ADJUSTED THE WASHER NOZZLE</t>
  </si>
  <si>
    <t>DRIVER'S SIDE DOOR WILL NOT STAY CLOSED</t>
  </si>
  <si>
    <t>VIBRATION STARTING TO DEVELOP IN DRIVE LINE - PLEASE CHECK U JOINT, HANGER BEARING AND OTHER POSSIBLE CONNECTIONS</t>
  </si>
  <si>
    <t>ALL U-JOINTS ARE OK, HANGER BEARING IS OK, CHECKED THE RIDE HEIGHT AND ADJUSTED IT DOWN 1/4 INCH.  PLEASE TRY THIS AND ADVISE IF THE ISSUE CONT.</t>
  </si>
  <si>
    <t>LIC. PLATE LIGHT</t>
  </si>
  <si>
    <t>VISOR LIGHT</t>
  </si>
  <si>
    <t>ESBAR IN CAB HEATER GIVING ERROR MESSAGE</t>
  </si>
  <si>
    <t>SERVICED THIS HEATER</t>
  </si>
  <si>
    <t>HOOD HOLD BACK CABLES ON BOTH SIDES OF HOOD BROKEN DUE TO HEAVY SNOW BUILD UP ON HOOD</t>
  </si>
  <si>
    <t>REPLACED CABLES</t>
  </si>
  <si>
    <t>DRIVER HAS REPORTED A VIBRATION IN TRUCK WHEN MOVING BUT NOT UNDER THROTTLE - JUSTIN CHECKED DRIVE LINE AND HANGER BRACKET AND FOUND NO ISSUE'S HE ADJUSTED RIDE HEIGHT AT LEVELING VALVE BUT TRUCK STILL HAS VIBRATION.</t>
  </si>
  <si>
    <t>Air leak at leveling valve tractor will not air up.</t>
  </si>
  <si>
    <t>TUES, THURS AND FRI AFTER 6:30PM</t>
  </si>
  <si>
    <t>REPAIRED ON SLEEMAN YARD - THIS IS A NEW LEVELING VALVE</t>
  </si>
  <si>
    <t>REPLACED 2 VISOR LIGHTS.</t>
  </si>
  <si>
    <t>right side rear signal light out</t>
  </si>
  <si>
    <t>REPLACED THE RIGHT REAR TAIL LIGHT AND PIGTAIL AND REPLACED 2 STEP RIVETS.</t>
  </si>
  <si>
    <t>VIBRATION SOMEWHERE IN DRIVE LINE</t>
  </si>
  <si>
    <t>DRIVER TEST WED MAR 7TH 3PM</t>
  </si>
  <si>
    <t>ALL U-JOINTS ARE OK AND HANGER BEARING IS OK.  NEED TO SET UP A ROAD TEST WITH THE DRIVER TO VERIFY WHEN AND HOW THE ISSUE IS HAPPENING.  RESET THE RIDE HEIGHT.  DRIVER WILL TRY WITH A TRAILER TOMORROW AND ADVISE IF THE ISSUE CONT.</t>
  </si>
  <si>
    <t>ADJUSTED BY JUSTIN MAR 7, 18 - PLEASE ADJUST AGAIN UNDER FULL LOAD. NO TIME YET</t>
  </si>
  <si>
    <t>ADJUSTED THE RIDE HEAIGHT, THIS UNIT ALSO GOT NEW REAR AXLE DRIVE TIRES AND NOW THE FRONT AND REAR DRIVE TIRES MATCH.  TRY THIS AND LET ME KNOW.</t>
  </si>
  <si>
    <t>2 X VISOR LIGHTS NOT WORKING</t>
  </si>
  <si>
    <t>ADDED BY JUSTIN FROM CERVUS DURING WEEKEND REPAIRS</t>
  </si>
  <si>
    <t>REMOVED AND REPLACE FAULTY VISOR LIGHTS</t>
  </si>
  <si>
    <t>CLEANED AND SERVICED BRAKE PEDAL</t>
  </si>
  <si>
    <t xml:space="preserve">AIR LEAK IN AIRLINE AT BRASS FITTING ON RED GLADHAND AT TRAILER END </t>
  </si>
  <si>
    <t>PASSENGER SIDE DOOR LOCK VERY HARD TO LOCK OR UNLOCK</t>
  </si>
  <si>
    <t>needs actuator. We replaced the door latch tonight - actuator has been replaced</t>
  </si>
  <si>
    <t>DEEP GOUGE IN RED SUPPLY LINE - PLEASE REPLACE</t>
  </si>
  <si>
    <t>DRIVERS SIDE HEAD LIGHT OUT -REGULAR LAMP</t>
  </si>
  <si>
    <t>WED, THURS AFTER 6:30PM AND ALL DAY FRIDAY</t>
  </si>
  <si>
    <t>NO PETERBILT COMMENTS</t>
  </si>
  <si>
    <t>ESBAR ENGINE HEATER WILL NOT STAY RUNNING - NO LONGER WORKING AT ALL 10/16/18</t>
  </si>
  <si>
    <t>WAITING FOR WORK ORDERS - DEC 11 - 17TH 2018</t>
  </si>
  <si>
    <t>AS58520</t>
  </si>
  <si>
    <t>ANNUAL INPSPECTION DUE IN DECEMBER</t>
  </si>
  <si>
    <t>AS58519</t>
  </si>
  <si>
    <t xml:space="preserve">EXCESSIVE PLAY IN 5TH WHEEL - PLEASE CHECK COMPONENTS AND ADJUSTMENT </t>
  </si>
  <si>
    <t>AS58586</t>
  </si>
  <si>
    <t>DRIVER'S SIDE DOOR WONT CLOSE</t>
  </si>
  <si>
    <t>DRIVER'S SIDE DOOR LATCH NOT WORKING PROPERLY -- STILL DOES NOT CATCH ALL THE TIME</t>
  </si>
  <si>
    <t>completed 1/2/19 work order to come</t>
  </si>
  <si>
    <t>AS58759</t>
  </si>
  <si>
    <t>DRIVERS SIDE DOOR WILL NOT OPEN</t>
  </si>
  <si>
    <t>AS58782</t>
  </si>
  <si>
    <t>LIGHT OUT UNDER DRIVER'S SIDE DOOR</t>
  </si>
  <si>
    <t>WAITING FOR WORK ORDER 2/5/19</t>
  </si>
  <si>
    <t>AS59098</t>
  </si>
  <si>
    <t>DRIVERS SIDE DOOR LOCK WILL NOT UNLOCK OR LOCK WITH KEY - KEY WILL NOT TURN IN LOCK</t>
  </si>
  <si>
    <t>INTERIOR LIGHTS COME ON WHILE DRIVING FOR NO REASON - IN THE RAIN</t>
  </si>
  <si>
    <t>PARKING BRAKE INDICATOR FLASHES ON AND OFF AND FLICKERS WHILE DRIVING - IN THE RAIN</t>
  </si>
  <si>
    <t>CRUISE CONTROL SPEED INDICATOR FLASHED RED AND ORANGE ON DASH DISPLAYWHILE CRUISE IS ENGAGED - IN THE RAIN</t>
  </si>
  <si>
    <t>BACK OF CAB LIGHT OUT ON PASSENGER SIDE</t>
  </si>
  <si>
    <t>PASSENGER SIDE LOW BEAM HEADLIGHT OUT</t>
  </si>
  <si>
    <t>REPAIRED AT PETERBILT MISSISSAUGA 4/4/19</t>
  </si>
  <si>
    <t>FIFTH WHEEL ITSELF SHIFTS INSIDE THE TRACK - CYLINDER PINS MIGHT BE SEIZED</t>
  </si>
  <si>
    <t>BLUE AIR LINE CHAFFED THROUGH OUTER LAYER - PLEASE ASSESS ALL LINES FOR DAMAGE</t>
  </si>
  <si>
    <t>PASSENGER SIDE UPPER EXHAUST STACK MOUNT IN BROKEN</t>
  </si>
  <si>
    <t>A/C BLOWS COOL BUT NOT COLD AIR</t>
  </si>
  <si>
    <t>PASSENGER SIDE DOOR LATCH STICKING</t>
  </si>
  <si>
    <t>LATCH NOT STICKING - SUPER LUBBED LATCH MYSELF ANYWAY  - NO FURTHER ACTION TAKEN</t>
  </si>
  <si>
    <t>TRACTOR IS SLOWLY USING COOLANT - COULD NOT FIND LEAK AND NO POOLING</t>
  </si>
  <si>
    <t>AT AYRSHOP - OCT. 1, 2019</t>
  </si>
  <si>
    <t>REPAIRED LOWER RAD PIPE</t>
  </si>
  <si>
    <t>DRIVERS SIDE HOOD RESTRAINT CABLE IS BROKEN</t>
  </si>
  <si>
    <t>REPLACED BY AYRSHOP</t>
  </si>
  <si>
    <t>AT AYRSHOP - OCT. 1 - ISSUE NOT RESOLVED OCT 3 2019 - COMPLETED BY AYRSHOP 10/10/19</t>
  </si>
  <si>
    <t xml:space="preserve">REPLACED COOLANT SENSOR  </t>
  </si>
  <si>
    <t>TWO BREATHER LIGHTS OUT ON PASSENGER SIDE</t>
  </si>
  <si>
    <t>REPLACED LIGHTS</t>
  </si>
  <si>
    <t>SKIRT LIGHT OUT ON PASSENGER SIDE</t>
  </si>
  <si>
    <t>2 BREATHER LIGHTS OUT ON DRIVER'S SIDE</t>
  </si>
  <si>
    <t>COMPLETED BY AYRSHOP 11/9/19</t>
  </si>
  <si>
    <t>CHECK ENGINE LIGHT ON - PEOPLENET REPORT INDICATES EGR VALVE ISSUE</t>
  </si>
  <si>
    <t xml:space="preserve">AIR LEAK IN THE LINE GOING TO THE 5TH WHEEL CYLINDER - AIR LEAK IS IN THE FITTING AT THE BRACKET THAT IS MOUNTED TO THE 5TH WHEEL CROSS MEMBER </t>
  </si>
  <si>
    <t>SKIRT LIGHTS OUT ON BOTH SIDES</t>
  </si>
  <si>
    <t>EXHAUST MOUNT SLIDE BOLT AT TOP OF CAB ON DRIVERS SIDE IS MISSING - CURRENTLY BEING HELD TOGETHER WITH ZIP TIES</t>
  </si>
  <si>
    <t>DUE FOR ANNUAL INSPECTION IN DECEMBER</t>
  </si>
  <si>
    <t>TRAILER INTERIOR LIGHTS NOT WORKING - PLEASE CHECK YELLOW POWER CORD AND FUSES RELATED TO IT POWER SUPPLY</t>
  </si>
  <si>
    <t>COMPLETED BY AYRSHOP 2/28/20 WAITING FOR WORK ORDER</t>
  </si>
  <si>
    <t>REPLACED EGR VAVLE</t>
  </si>
  <si>
    <t>PLEASE REMOVE ALL NUT AND HUB COVERS - KEEP THEM WE WILL NOT BE RETURNING THIS UNIT WITH NUT OR HUB COVERS</t>
  </si>
  <si>
    <t>REMOVED</t>
  </si>
  <si>
    <t>SUSPENSION WILL NOT AIR UP</t>
  </si>
  <si>
    <t>REPLACED AIR DRYER</t>
  </si>
  <si>
    <t>TIRES ON DRIVER-SIDE FRONT DRIVE AXEL LOSING A LOT OF TREAD</t>
  </si>
  <si>
    <t>REPLACED 4 TIRES ON FRONT DRIVE AXLE - THIS WAS CAUSED BY THE TRUCK BEING DRIVEN WITH SUSPENSION DOWN - FENDER BOLTS CUT TIRES</t>
  </si>
  <si>
    <t>WINDSHIELD CHIP ON DRIVER'S SIDE</t>
  </si>
  <si>
    <t xml:space="preserve">CHIP SEALED BY GO GLASS </t>
  </si>
  <si>
    <t>REPLACED COMPRESSOR</t>
  </si>
  <si>
    <t>BOTH DOOR LATCHES ARE JAMMED</t>
  </si>
  <si>
    <t>TRUCK IS HERE NOW</t>
  </si>
  <si>
    <t>LICENSE PLATE OUT</t>
  </si>
  <si>
    <t>OUTSIDE REAR PASSENGER TIRE IS FLAT…BOLT IN TIRE</t>
  </si>
  <si>
    <t>AT 505</t>
  </si>
  <si>
    <t>ENGINE WILL NOT CRANK - STARTER SEEMS DEAD</t>
  </si>
  <si>
    <t xml:space="preserve">PICKED UP AND REPAIRED BY AYRSHOP </t>
  </si>
  <si>
    <t>POWER STEERING FLUID LEVEL LOW - DRIVER TOPPED UP AND IS MONITORING FOR LEAKS</t>
  </si>
  <si>
    <t>PARTS ON ORDER FOR POWER STEERING RESIVIOR ASSEMBLY 7/23/20 - REPLACED POWER STEERING RESIVIOR ASSEMBLY 7/24/20</t>
  </si>
  <si>
    <t>right side convex mirror heat not working</t>
  </si>
  <si>
    <t>replaced mirror</t>
  </si>
  <si>
    <t>right tail light out</t>
  </si>
  <si>
    <t>tail lights working</t>
  </si>
  <si>
    <t>REPAIRED IN OUR YARD</t>
  </si>
  <si>
    <t>left side tail light out</t>
  </si>
  <si>
    <t>FRIDAY AFTER 5PM AND ALL WEEKEND GOING TO CHEIFS</t>
  </si>
  <si>
    <t>THIS LIGHT IS STILL FLICKERING AND DIM 3/3/17</t>
  </si>
  <si>
    <t>REPAIRED IN OUR YARD 3/2/17</t>
  </si>
  <si>
    <t>READY TO GO TO CHIEFS</t>
  </si>
  <si>
    <t>needs wipers replaced</t>
  </si>
  <si>
    <t>replaced windshield wipers</t>
  </si>
  <si>
    <t>REPLACED 2 VISOR LIGHTS</t>
  </si>
  <si>
    <t>visor lights out</t>
  </si>
  <si>
    <t>REPLACED 1 VISOR LIGHT AND 2 DRIVER SIDE STEP RIVETS</t>
  </si>
  <si>
    <t>air leak under cab</t>
  </si>
  <si>
    <t>NO LEAKS FOUND7/26/17 - TRUCK STILL LOSING AIR UNDER CAB - REPLACED TRANMISSION AIR INLET FITTING</t>
  </si>
  <si>
    <t>rear axle temperature gauge not working</t>
  </si>
  <si>
    <t>UPDATED DASH SOFTWARE 7/26/17 - DID NOT FIX ISSUE WITH REAR AXLE TEMP GAUGE - PARTS ON ORDER 7/31/17 - REPAIRED WIRING</t>
  </si>
  <si>
    <t>EXAUST STACKS UNEVEN HEIGHTS. THIS TRUCK HAS AN INCIDENT ON HWY 69 SOME TIME AGO AND REPAIRS WERE DONE BY PETERBILT INNISFIL. THE EXHAUST HEIGHTS HAVE NOT MATCHED UP SINCE</t>
  </si>
  <si>
    <t>STACKS HEIGHT MATCH 7/29/17 - INSTALLED NEW BRACKET EXHAUST HIEGHTS MATCH</t>
  </si>
  <si>
    <t>DRIVERS SIDE MIRROR DAMAGED AND GRILLE DENTED. THIS WAS DAMAGED BY ANOTHER TRAILER THERE ARE PICS AND VIDEO OF INCIDENT.</t>
  </si>
  <si>
    <t>PICTURES TAKEN 7/29/17 - PARTS IN 8/14/17 - GRILL CROWN REPLACED AT SHOP</t>
  </si>
  <si>
    <t>Both air tanks empty after being parked overnight. Air leak from under cab.</t>
  </si>
  <si>
    <t>drivers side step trim missing rivets</t>
  </si>
  <si>
    <t>NEEDS ADJUSTMENT</t>
  </si>
  <si>
    <t>ADJUSTED THE CLUTCH AND CLUTCH LINKAGE.</t>
  </si>
  <si>
    <t>AIR LEAK AT FITTING ON TOP OF TRANSMISSION</t>
  </si>
  <si>
    <t>REPLACED THE LEAKING QUICK CONNECT FITTING ON TOP OF THE TRANSMISSION</t>
  </si>
  <si>
    <t>GREASE FITTING MISSING ON RIGHT SIDE TIE ROD AND FITTING ON FIRST AXLE U JOINT NOT TAKING GREASE</t>
  </si>
  <si>
    <t>UNIT IS DUE A SERVICE GOING TO BE GOING TO THE SHOP SOON. COMPLETED AT AYRSHOP</t>
  </si>
  <si>
    <t xml:space="preserve">DRIVER SAW SMOKE COMING FROM BEHIND DASH NOW AUXILLARY LIGHTS ARE NOT WORKING AND TAIL LIGHT CUT ON AND OFF </t>
  </si>
  <si>
    <t>DASH LIGHTS NOT WORKING</t>
  </si>
  <si>
    <t>REPAIRED THE WIRING AND REPLACED THE LIC PLATE LIGHT.</t>
  </si>
  <si>
    <t>visor marker light out</t>
  </si>
  <si>
    <t xml:space="preserve">CB ANTENNA BROKEN  </t>
  </si>
  <si>
    <t>LOWER STEP RIVET MISSING</t>
  </si>
  <si>
    <t>mudflap reflector tape missing</t>
  </si>
  <si>
    <t>REPAIR COMPLETE 3/12/18 - WAITING WORK ORDERS</t>
  </si>
  <si>
    <t>AS55486, AS55487, COMPLETE</t>
  </si>
  <si>
    <t>drivers side door limiter broken - door opens too far</t>
  </si>
  <si>
    <t>upper stack mounts loose</t>
  </si>
  <si>
    <t>foot brake sticking</t>
  </si>
  <si>
    <t>RIVETS MISSING FROM GRILL</t>
  </si>
  <si>
    <t>mud bracket tore off…fastened to deck plate</t>
  </si>
  <si>
    <t>shop replaced hanger</t>
  </si>
  <si>
    <t>MISSING BOTH CB ANTENNA'S</t>
  </si>
  <si>
    <t>REPLACED BOTH THE MISSING CB ANTENNAS</t>
  </si>
  <si>
    <t>CENTER PIN IN GREEN CORD HAS NO POWER CAUSING REVERS-O-MATIC TO NOT WORK</t>
  </si>
  <si>
    <t>REPAIRED THE GREEN LIGHT CORD WIRING.</t>
  </si>
  <si>
    <t>RED LIGHT ON DEF GAUGE - TRUCK IN DERATE NOW</t>
  </si>
  <si>
    <t>REPAIRED THE WIRING TO THE DEF DOSER</t>
  </si>
  <si>
    <t>BUMPER RUSTING OUT</t>
  </si>
  <si>
    <t xml:space="preserve">REPLACED WITH STAINLESS STEEL BUMPER </t>
  </si>
  <si>
    <t xml:space="preserve">PLEASE REPLACE WINDSHIELD WIPER </t>
  </si>
  <si>
    <t>REPLACED BOTH WIPERS</t>
  </si>
  <si>
    <t>PLEASE REPLACE WASHER FLUID RESIVIOR</t>
  </si>
  <si>
    <t>REPLACED WASHER FLUID TANK</t>
  </si>
  <si>
    <t>GOING TO AYRSHOP OCT 24 AFTERNOON</t>
  </si>
  <si>
    <t>ANNUAL INPSECTION DUE OCTOBER</t>
  </si>
  <si>
    <t>ENGINE RUNS ROUGH AT HIGHER SPEEDS AND FUEL MILEAGE IS INCREASING - PLEASE CHECK TOP END</t>
  </si>
  <si>
    <t>NOT REPAIRED DURING SAFETY</t>
  </si>
  <si>
    <t>TOP SETS GET REPAIRED AT SERVICE INTRVALS - THIS TRUCK IS NOT DUE. - A PM SERVICE WAS PERFOMED ON THIS TRUCK AS PART OF IT'S SAFETY IN OCTOBER</t>
  </si>
  <si>
    <t>COMPLETED BY R&amp;N DURING SAFETY</t>
  </si>
  <si>
    <t xml:space="preserve">FLOAT FOR COOLANT RESIVIOR IS BROKEN INSIDE OF TANK - DRIVER HAS TAPED A MAGNET TO THE SENSOR  </t>
  </si>
  <si>
    <t>WAITING FOR WORK ORDER 1/18/19</t>
  </si>
  <si>
    <t>AS58918</t>
  </si>
  <si>
    <t>DRIVER WENT TO AYRSHOP TO HAVE CLUTCH ADJUSTED AND CLAMP REPLACED BUT DID NOT WRITE UP ANY ISSUES</t>
  </si>
  <si>
    <t>DRIVER WENT TO AYRSHOP</t>
  </si>
  <si>
    <t>REPLACED BROKEN EXHAUST CLAMP, ADJUSTED CLUTCH</t>
  </si>
  <si>
    <t>BROKEN CLAMP ON ESBAR EXHAUST</t>
  </si>
  <si>
    <t>ADJUSTED CLUTCH AND LINKAGE IS FINE</t>
  </si>
  <si>
    <t>DRIVER WENT TO AYRSHOP 12/10/18 TO HAVE A CLAMP REPLACED - DRIVER REPLACED ATOMIZER SCREEN AND CUT OFF DAMAGED PORTION OF EXHAUST PIPE AND REINSTALLED</t>
  </si>
  <si>
    <t>RE-TORQUE DRIVE AXLES ON BOTH SIDES</t>
  </si>
  <si>
    <t>COMPLETED BY PETERBILT TIRE GUY 4/12/19</t>
  </si>
  <si>
    <t>LOCKING JAWS WILL NOT LOCK TIGHT AROUND PIN - DRIVER HAS TO TAP PIN TO SECURE JAWS</t>
  </si>
  <si>
    <t>WAITING FOR WORK ORDER 4/10/19</t>
  </si>
  <si>
    <t>FIFTH WHEEL HAS EXCESSIVE PLAY</t>
  </si>
  <si>
    <t>REAR PARKING LIGHTS NOT WORKING</t>
  </si>
  <si>
    <t>NOT REPAIRED AT THIS TIME</t>
  </si>
  <si>
    <t>AIR LEAK UNDER CAB ON PASSENGER SIDE - DRIVER CAN HEAR BUT NOT FIND</t>
  </si>
  <si>
    <t>REPAIRED LEAK</t>
  </si>
  <si>
    <t>TORSION BARS HAVE WORN RUBBERS - BARS HAVE SLID TO FRONT OF BRACKET</t>
  </si>
  <si>
    <t>BUSHING HAVE SOME WEAR BUT ALL IS TIGHT AND WITHIN SPEC.</t>
  </si>
  <si>
    <t>AIR CONDITIONING IS COOL BUT NOT COLD</t>
  </si>
  <si>
    <t>PLEASE CHECK 5TH WHEEL FOR EXCESSIVE PLAY</t>
  </si>
  <si>
    <t>PLAY IS IN SLIDE RAIL, 5TH WHEEL IS WITHIN SPEC.</t>
  </si>
  <si>
    <t>DUE FOR ANNUAL INSPECTION IN OCTOBER</t>
  </si>
  <si>
    <t>REPAIRED AT SAFETY</t>
  </si>
  <si>
    <t>DRIVER HAD ISSUE WITH CRUISE CONTROL NOT WORKING</t>
  </si>
  <si>
    <t>REPORTED AND REPAIRED BY DYLAN</t>
  </si>
  <si>
    <t>ONE BROKEN HOOD CABLE</t>
  </si>
  <si>
    <t>REPLACED HOOD CABLE</t>
  </si>
  <si>
    <t>MULTIPLE SKIRT LIGHTS OUT</t>
  </si>
  <si>
    <t>REPLACED SKIRT LIGHTS</t>
  </si>
  <si>
    <t>NEEDS CLUTCH</t>
  </si>
  <si>
    <t>RED STOP ENGINE LIGHT ON AND TRUCK WILL NOT START</t>
  </si>
  <si>
    <t>DRIVERS SIDE SEAT HAS NO POWER</t>
  </si>
  <si>
    <t>PASSENGER SIDE WINDOW HAS STONE CHIP</t>
  </si>
  <si>
    <t>REPAIRED BY GO GLASS IN YARD</t>
  </si>
  <si>
    <t>NEEDS 1 FENDER BRACKET REPLACED</t>
  </si>
  <si>
    <t>HD A #2 SERVICE DUE IN DECEMBER 2019</t>
  </si>
  <si>
    <t>No Mirror heat on drivers side convex mirror</t>
  </si>
  <si>
    <t>TUES, THUR AND FRI AFTER 6:30PM</t>
  </si>
  <si>
    <t>replaced visor lights</t>
  </si>
  <si>
    <t>clutch will not diengage engine brake or cruise control</t>
  </si>
  <si>
    <t>replaced shorted switch</t>
  </si>
  <si>
    <t>lower speakers not working in cab</t>
  </si>
  <si>
    <t>parts on order 02/10/17 - repaired loose connection speakers are now working</t>
  </si>
  <si>
    <t>smart nav display display goes blank but sound still works</t>
  </si>
  <si>
    <t>need to re-visit this issue - this has been checked seveal times and issue cannot be duplicated</t>
  </si>
  <si>
    <t>clutch pedal not fully returning it is sticking in the free play zone</t>
  </si>
  <si>
    <t>needs a return spring - repaired clutch pedal not returning</t>
  </si>
  <si>
    <t>doors are difficult to lock/unlock with key</t>
  </si>
  <si>
    <t>MON, TUES AND WED AFTER 6:30PM AND ALL DAY THURS AND FRI</t>
  </si>
  <si>
    <t>oiled door locks but the key Justin used worked fine</t>
  </si>
  <si>
    <t>left side visor light out</t>
  </si>
  <si>
    <t>2 visor lights were out replaced them both</t>
  </si>
  <si>
    <t>work light on rear of cab left side is out</t>
  </si>
  <si>
    <t>replaced work light</t>
  </si>
  <si>
    <t>left antenna's that were on the truck in cab of truck</t>
  </si>
  <si>
    <t xml:space="preserve">did clutch adjustment </t>
  </si>
  <si>
    <t>truck was disengaging engine brake sporatically</t>
  </si>
  <si>
    <t>caliper seizing on rear drive axle</t>
  </si>
  <si>
    <t>repaired on road side - by Justin.</t>
  </si>
  <si>
    <t>wire for rear diff. engaged sensor is broken</t>
  </si>
  <si>
    <t>REMOVED WIRES NOT FOR THIS TRUCK</t>
  </si>
  <si>
    <t>slow coolant leak, seems like it is coming from the coolant pipe on the lower right side of the motor</t>
  </si>
  <si>
    <t>1 visor light out and 1 breather light out.</t>
  </si>
  <si>
    <t>REPLACED 2 VISOR LIGHTS 1 BREATHER LIGHT AND 1 SKIRT LIGHT</t>
  </si>
  <si>
    <t>drivers side door difficult to latch</t>
  </si>
  <si>
    <t>REPLACED DRIVERS DSOOR LATCH</t>
  </si>
  <si>
    <t xml:space="preserve">door lock on drivers side hard to turn </t>
  </si>
  <si>
    <t>REPLACED DRIVER SIDE DOOR ACTUATOR</t>
  </si>
  <si>
    <t>drivers side window switch for drivers side window does not illuminate</t>
  </si>
  <si>
    <t>FRIDAY AFTER 3PM</t>
  </si>
  <si>
    <t>PARTS ON ORDER 5/13/17- REPLACED THE SWITCH</t>
  </si>
  <si>
    <t>supply glad hand needs to have extended handle. This has been repaired at some point but driver would like the same exteded handle that is on the service side.</t>
  </si>
  <si>
    <t>PARST ON ORDER- REPLACED EMEGENCY SIDE GLAD HAND HANDLE 5/27/17</t>
  </si>
  <si>
    <t>PASSENGER SIDE 1ST DRIVE OUTSIDE TIRE IS OFF RIM</t>
  </si>
  <si>
    <t>REPLCAED TIRE HAD CRACKED SIDEWALL</t>
  </si>
  <si>
    <t>stone chip in drivers side winsheild</t>
  </si>
  <si>
    <t>drivers window cracked</t>
  </si>
  <si>
    <t>Monday</t>
  </si>
  <si>
    <t>4am</t>
  </si>
  <si>
    <t>replaced by go glass</t>
  </si>
  <si>
    <t>rubber missing between fuel tank and steps….driver side</t>
  </si>
  <si>
    <t>WILL BRING PARTS 9/6/17 - replaced missing fuel tank rubber</t>
  </si>
  <si>
    <t>retorque drive axles both sides</t>
  </si>
  <si>
    <t>COMPLETED BY R&amp;N - TRUCK WAS GOING TO TIMMINS</t>
  </si>
  <si>
    <t>TUES THURS AND FRI AFTER 6:30PM</t>
  </si>
  <si>
    <t>on board Navigation not working</t>
  </si>
  <si>
    <t>MONDAY AFTER 4:30PM AND ALL DAY TUES AND WED.</t>
  </si>
  <si>
    <t>SOFTWARE UPDATED</t>
  </si>
  <si>
    <t>Truck has vibration in 8/9th gear at 1300-1500 RPM. This is most prominent with trailer under load</t>
  </si>
  <si>
    <t>Bushing connecting exhaust to cab on driver's side worn.</t>
  </si>
  <si>
    <t>NOT WORN ENOUGH OT WARRANT REPLACEMENT</t>
  </si>
  <si>
    <t>REPLACED TRANSMISSION SUPPLY FITTING</t>
  </si>
  <si>
    <t>retorque completed by R&amp;N</t>
  </si>
  <si>
    <t>supply glad hand leaking</t>
  </si>
  <si>
    <t>REPAIRED AT EGLINGTON AND DIXIE</t>
  </si>
  <si>
    <t>right side head light out</t>
  </si>
  <si>
    <t>replaced head light</t>
  </si>
  <si>
    <t>Nav still not working and radio still cuts out. This truck has recently received a software update</t>
  </si>
  <si>
    <t>AT ARYSHOP</t>
  </si>
  <si>
    <t>SHOP FOUND NO FAULTS WITH THE NAV SYSTEM</t>
  </si>
  <si>
    <t>this truck still has shifting issue's between 8-9th gears. Driver would like to schedule drive test with tech (needs trailer weight).</t>
  </si>
  <si>
    <t>Test driven by Justin and needs to go to Ayrshop for futher diagnosis. TRNASMISSION REPARIED BY AYRSHOP</t>
  </si>
  <si>
    <t>NAv still not working and radio still cuts out. This truck has recently received a software update</t>
  </si>
  <si>
    <t>REPAIRED THE NAV SYSTEM. IT IS NOW WORKING.</t>
  </si>
  <si>
    <t>retorque both drive axles both sides from tire replacement</t>
  </si>
  <si>
    <t>visor light popped out</t>
  </si>
  <si>
    <t>repaired by driver</t>
  </si>
  <si>
    <t>RADIO IS STILL CUTTING OUT - NAV IS NOW WORKING. - NAV NOW NOT WORKING 12/14/17</t>
  </si>
  <si>
    <t>BOTH THE RADIO AND NAV ARE WORKING OK TESTED THEM FOR 20 MIN WHILE WORKING ON THE ESPAR NO ISSES FOUND.</t>
  </si>
  <si>
    <t>RED GLAD HAND HOSE IS SPLIT JUST BELOW GLAD HAND ( ON TRAILER SIDE ).</t>
  </si>
  <si>
    <t>NO SPLITS FOUND, NO LEAKS FOUND</t>
  </si>
  <si>
    <t>work light on right side Back of Cab out</t>
  </si>
  <si>
    <t>AT AYRSHOP MON, PLEASE UPDATE US ON COMPLETED ITEMS</t>
  </si>
  <si>
    <t>TRACTOR SUSPENSION NOT AIRING UP</t>
  </si>
  <si>
    <t xml:space="preserve">REPLACED AIR DRYER ( FULL OF MOISTURE ), AND AIR LINER AT LEVELING VALVE WAS FROZEN.  </t>
  </si>
  <si>
    <t>PASSENGER SIDE DOOR LOCK STICKING KEY WILL NOT TURN IN LOCK</t>
  </si>
  <si>
    <t>REPLACED THE DOOR LOCK ACTUATOR</t>
  </si>
  <si>
    <t>DRIVERS SIDE DOOR MISSING INTERIOR DOOR LOCK BUTTON AND DOOR WILL SOMETIMES LOCK ON ITS OWN</t>
  </si>
  <si>
    <t>REINSTALLED THE LOCK ROD TO THE CORRECT POISTION.  THE DOOR LOCKING ON ITS OWN MAY HAVE BEEN DUE TO THE LOCK ROD IN THE INCORRECT POISTION.  TRY IT AND LET US KNOW.</t>
  </si>
  <si>
    <t>RADIO AND NAV STILL CUT OUT AND WONT STAY ON</t>
  </si>
  <si>
    <t>DRIVER CONFIRMED RADIO AND NAV ARE WORKING FINE.</t>
  </si>
  <si>
    <t>2 x DRIVERS SIDE STEP RIVETS</t>
  </si>
  <si>
    <t>VISOR LIGHTS FLICKER ON AND OFF - THE 3 LIGHTS ON THE RIGHT SIDE SEEM TO BE THE WORST</t>
  </si>
  <si>
    <t>REPLACED THREE VISOR LIGHTS AND REPAIRED THE WIRING.</t>
  </si>
  <si>
    <t>visor lights replaced</t>
  </si>
  <si>
    <t>driver door latch not closing properly</t>
  </si>
  <si>
    <t>door has no issues</t>
  </si>
  <si>
    <t>LEFT SIDE TAIL LIGHT OUT - SIGNAL STILL WORKS</t>
  </si>
  <si>
    <t>both tail lights working</t>
  </si>
  <si>
    <t>heated seat not working</t>
  </si>
  <si>
    <t>AVAIL. ALL WEEK</t>
  </si>
  <si>
    <t>SHOP REPLACED THE SEAT</t>
  </si>
  <si>
    <t>SHOP REPAIRED TAIL LIGHT WIRING</t>
  </si>
  <si>
    <t>windshield washer bottle leaking</t>
  </si>
  <si>
    <t>SHOP REPLACED THE WASHER BOTTLE</t>
  </si>
  <si>
    <t>please remove pogo stick</t>
  </si>
  <si>
    <t>REMOVED POGO STICK</t>
  </si>
  <si>
    <t>left intake breather clamp not in place</t>
  </si>
  <si>
    <t>MOVED AND ADJUSTED BREATHER CLAMP</t>
  </si>
  <si>
    <t>drivers door latch not working properly</t>
  </si>
  <si>
    <t>NO ISSUE FOUND BUT LUBED LATCH AND TRIED DOOR SEVERAL TIMES  - DOOR GRABS SMOOTHLY</t>
  </si>
  <si>
    <t>ESPAR CAB HEATER NOT WORKING</t>
  </si>
  <si>
    <t>GOING TO HAVE TO BRING OUT THE ESPAR ADAPTER FOR FURTHER DIAGNOSTICS. SENT TO AYRSHOP BUT ESBAR DID NOT GET REPAIRED ( END OF JAN 2018 ) - THIS UNIT HAD A RAG SUCKED INTO THE INTAKE.</t>
  </si>
  <si>
    <t>SOFTWARE UPDATE</t>
  </si>
  <si>
    <t xml:space="preserve">NO FAULTS FOUND </t>
  </si>
  <si>
    <t xml:space="preserve">ATC LIGHT ON  </t>
  </si>
  <si>
    <t>A/C BLOWING WARM AIR ONLY</t>
  </si>
  <si>
    <t>CABIN AIR FILTER PLUGGED</t>
  </si>
  <si>
    <t>CLUTCH ADJ.</t>
  </si>
  <si>
    <t>ac still not working</t>
  </si>
  <si>
    <t>right side stack missing cab mount</t>
  </si>
  <si>
    <t>ABS and ATC warnings on</t>
  </si>
  <si>
    <t>coolant leak…lower metal rad hose is leaking</t>
  </si>
  <si>
    <t>A/C NOT WORKING STILL - CABIN AIR FILTER CLEANED AUG 16 2018</t>
  </si>
  <si>
    <t>RIGHT SIDE BACK OF CAB LIGHT NOT WORKING</t>
  </si>
  <si>
    <t>BACK OF CAB LIGHT HAS BROKEN FIXTURE</t>
  </si>
  <si>
    <t xml:space="preserve">PARTS ON ORDER 9/24/18 - REPLACED WORK LIGHT </t>
  </si>
  <si>
    <t>ATC AND ABS WARNING LIGHTS COMING ON AND STAYING ON FOR LONG PERIODS OF TIME AND THEN GOING BACK OFF.</t>
  </si>
  <si>
    <t>need to bring it back to the shop. Looks like a wheel speed sensor issue</t>
  </si>
  <si>
    <t>CHECK ENGINE LIGHT IS ON AND STAYING ON.</t>
  </si>
  <si>
    <t>REPLACED FUEL SHUT OFF</t>
  </si>
  <si>
    <t>PLEASE PLACE SAFETY STICKER ON TRUCK AND UPDATE PAPERWORK - SAFETY FOR THIS TRUCK HAS ALREADY BEEN COMPLETED</t>
  </si>
  <si>
    <t>Driver side stackmissing slider shaft on exhaust mounting assembly</t>
  </si>
  <si>
    <t>530am</t>
  </si>
  <si>
    <t>engine light came on</t>
  </si>
  <si>
    <t>CHECH ENGINE LIGHT ON AGAIN - OBD DIAGNOSTIC SUGGESTS AN ISSUE WITH THE INTAKE MANIFOLD</t>
  </si>
  <si>
    <t>HOLE IN CHARGE AIR COOLER</t>
  </si>
  <si>
    <t>IN CAB (ESBAR) HEATER NOT WORKING</t>
  </si>
  <si>
    <t>AS58647</t>
  </si>
  <si>
    <t>RIGHT SIDE HOOD CABLE NEEDS RE-ATTACHED</t>
  </si>
  <si>
    <t>DRIVERS SIDE LOW BEAM OUT</t>
  </si>
  <si>
    <t>NOT ON WORK ORDER AS58647 BUT DRIVER COMNFIRMED LIGHT HAS BEEN REPLACED</t>
  </si>
  <si>
    <t>RIGHT SIDE BREATHER LIGHT OUT</t>
  </si>
  <si>
    <t>AS58646</t>
  </si>
  <si>
    <t>DRIVER'S SIDE DOOR HOLD BACK WILL NOT HOLD DOOR OPEN -  DRIVER MENTIONED THAT A MILD BREEZE WILL CLOSE THE DOOR.</t>
  </si>
  <si>
    <t xml:space="preserve">ABS AND ATC LIGHTS BACK ON </t>
  </si>
  <si>
    <t>perfromed temp repair, abs chassis harness on order</t>
  </si>
  <si>
    <t>completed 12-28-18 work order to come</t>
  </si>
  <si>
    <t>BACK OF CAB LIGHT OUT LEFT SIDE</t>
  </si>
  <si>
    <t>AS59069</t>
  </si>
  <si>
    <t>LIGHT ON TRAILER CONTROL SWITCH IS CONSTANTLY LIT</t>
  </si>
  <si>
    <t>SKIRT LIGHT OUT ON THE DRIVER SIDE</t>
  </si>
  <si>
    <t>SERVICE GLAD HAND (BLUE) ON TRACTOR NEEDS REPLACED</t>
  </si>
  <si>
    <t>COMPLETED BY R&amp;N - NO CHARGE</t>
  </si>
  <si>
    <t xml:space="preserve">THE SWITCH ON THE DRIVER'S SIDE FOR THE PASSENGER SIDE WINDOW DOES NOT LIGHT UP </t>
  </si>
  <si>
    <t>I HAVE SPOKEN WITH MATT ELLIOT IN THE PAST AND HE COMMENTED THAT THEIR TIRE REPAIR SERVICE COMPLETES RE-TORQUES - STILL WORKING ON RECEIVING CONFIRMATION THOUGH</t>
  </si>
  <si>
    <t>OIL COOLER LINE NEEDS TO BE INSTALLED AS PER MATT ELLIOT</t>
  </si>
  <si>
    <t>COMPLETED BY AYRSHOP WAITING FOR WORK ORDER 4/8/19</t>
  </si>
  <si>
    <t>COMPLETED BY AYRSHOP 4/8/19</t>
  </si>
  <si>
    <t>FLEX PIPE CRACKED AT BOTTOM OF THE STACK ON THE RIGHT SIDE</t>
  </si>
  <si>
    <t>WAITING FOR WORK ORDER 3/19/19</t>
  </si>
  <si>
    <t>PLEASE CHECK POWER AT ELECTRICAL CORDS AND FUSES FOR INTERIOR TRAILER LIGHTS - LIGHTS NOT WORKING ON MULTIPLE TRIALERS</t>
  </si>
  <si>
    <t>REVERSE BEEPER WILL GO OFF WHEN DRIVING FORWARD - SOMETIMES</t>
  </si>
  <si>
    <t>PLEASE RE-INSTALL THE FRONT FENDER MIRRORS - HARDWARE AND MIRRORS ARE IN TRUCK</t>
  </si>
  <si>
    <t>WAITING FOR WORK ORDER 4/8/19</t>
  </si>
  <si>
    <t>CLUTCH SWITCH DOES NOT DE-ACTIVATE CRUISE CONTROL OR ENGINE BRAKES</t>
  </si>
  <si>
    <t>WAITING FOR WORK ORDER 4/26/19 - COMPLETED BY DYLAN IN YARD</t>
  </si>
  <si>
    <t>BACK UP BEEPER WILL SOUND SPORATICALLY, EVEN WHEN DRIVING FORWARD</t>
  </si>
  <si>
    <t>CAB HAS BANGING NOISE COMING FROM PASSENGER SIDE - DRIVER SUSPECTS IT MIGHT BE COMING FROM EXHAUST STACK ON THAT SIDE BUT COULD NOT CONFIRM</t>
  </si>
  <si>
    <t>REPAIRED BY DYLAN IN YARD 5/8/19</t>
  </si>
  <si>
    <t>REPLACED BUSHING</t>
  </si>
  <si>
    <t>LIGHTNG PANEL UNDER CAB IS LOOSE AND HAS LOOSE WIRING</t>
  </si>
  <si>
    <t>REPLACED BOLTS</t>
  </si>
  <si>
    <t>RUBBER GROMETS HOLDING BREATHER LIGHTS IN PLACE ARE DETERIORATED AND NO LONGER HOLD LIGHTS IN PLACE</t>
  </si>
  <si>
    <t>REPLACED GROMETS</t>
  </si>
  <si>
    <t>PASSENGER SIDE MUDFLAP BRACKET BROKEN</t>
  </si>
  <si>
    <t>PARTS ON ORDER 5/8/19</t>
  </si>
  <si>
    <t>LIC. PLATE LIGHT NOT WORKING</t>
  </si>
  <si>
    <t>DRIVER'S SIDE DOOR WILL LOCK ON IT'S OWN (SOMETIMES) WHEN YOU CLOSE THE DOOR - DRIVER DID LOCK HIMSELF OUT OF TRUCK</t>
  </si>
  <si>
    <t>BACK OF CAB LIGHT NOT WORKING ON PASSENGER SIDE</t>
  </si>
  <si>
    <t>BOTTOM OF RAD IS WET, DRIVER ADDED 1 GALLON OF FLUID</t>
  </si>
  <si>
    <t>LEFT SIDE BREATHER LIGHT NOT WORKING</t>
  </si>
  <si>
    <t>AT AYRSHOP 10/10/19</t>
  </si>
  <si>
    <t>FIXED MULTIPLE AIR LEAKS ON TRANSMISSION FITTINGS AS WELL AS SUSPENSION FITTINGS</t>
  </si>
  <si>
    <t>PLEASE REPLACE BUMPER LIGHTS - DRIVER HAS PLACED NEW LIGHTS INSIDE CAB</t>
  </si>
  <si>
    <t>AUDIBLE AIR LEAK FROM RANGE SELECTOR SOLENOID</t>
  </si>
  <si>
    <t>REPAIRED AIR LEAK AT FITTING</t>
  </si>
  <si>
    <t>BOTTOM OF REAR DIFF WET WITH OIL, PLEASE CHECK FOR LEAK.</t>
  </si>
  <si>
    <t>REPLAECEDREAR  INPUT SEAL</t>
  </si>
  <si>
    <t>RE-TORQUE ALL AXLES BOTH SIDES</t>
  </si>
  <si>
    <t>BOTH HOOD CABLES ARE BROKEN</t>
  </si>
  <si>
    <t>COMPLETED BY AYRSHOP 11/12/19</t>
  </si>
  <si>
    <t>PLATES HAVE BEEN RIPPED OUT OF THEIR MOUNTS - TRUCK WILL NEED TO GO TO AYRSHOP FOR REPAIR 10/26/19 - REPAIRED MOUNTS AND REPLACED PLATES 11/12/19</t>
  </si>
  <si>
    <t>NEEDS 2 EXHAUST CLAMPS REPLACED</t>
  </si>
  <si>
    <t>DIAGNOSED BY DYLAN DURING PM A SERVICE - REPAIRED BY DYLAN IN YARD 1/12/20</t>
  </si>
  <si>
    <t>REPLACED BROKEN EXHAUST CLAMPS</t>
  </si>
  <si>
    <t>REPLACED RADIATOR</t>
  </si>
  <si>
    <t>CB DOES NOT RECEIVE OR TRANSMIT AND ONE ANTENNA IS BROKEN</t>
  </si>
  <si>
    <t>REPLACED BROKEN ANTENNA AND LEAD WIRE</t>
  </si>
  <si>
    <t>LOWER 12 VOLT POWER OUTLET IN CAB IS NOT WORKING</t>
  </si>
  <si>
    <t>REPLACED POWER POINT</t>
  </si>
  <si>
    <t>VISOR LIGHT NOT WORKING</t>
  </si>
  <si>
    <t>HEADLIGHT COVERS CLOUDING - PLEASE CLEAN</t>
  </si>
  <si>
    <t>IF COMPLETED, NOT REPORTED</t>
  </si>
  <si>
    <t>CROSS MEMBER BEHIND 5TH WHHEEL CRACKED</t>
  </si>
  <si>
    <t>WELDED CRACKS IN 5TH WHEEL CROSS MEMBER</t>
  </si>
  <si>
    <t>REPLACED BLOWER MOTOR, SEALS AND GASKET</t>
  </si>
  <si>
    <t>fender chicken light out on passenger side</t>
  </si>
  <si>
    <t>there is a piece of trim on the frame in front of the fire wall on the drivers side that is hanging down driver has tried to put it back on but won't stay keeps falling down.</t>
  </si>
  <si>
    <t>secured trim</t>
  </si>
  <si>
    <t>CB antenna broken on right side</t>
  </si>
  <si>
    <t>replaced CB antenna's</t>
  </si>
  <si>
    <t>please replace windshield wipers</t>
  </si>
  <si>
    <t>REPLACED WIDSHIELD WIPERS</t>
  </si>
  <si>
    <t>needs stainless steel clamps ordered for exhaust</t>
  </si>
  <si>
    <t>passenger side low beam out</t>
  </si>
  <si>
    <t>WED AND FRI AFTER 6:30PM</t>
  </si>
  <si>
    <t>passenger side window would not go up. Driver did eventually get it up but very slow and after multiple tries.</t>
  </si>
  <si>
    <t>WATER IN DOOR SEAL TRACK AND SWELLED SEAL, OILED TRACK WINDOW WORKING FINE.</t>
  </si>
  <si>
    <t>needs drivers side window replaced</t>
  </si>
  <si>
    <t>REPLACED WINSHIELD</t>
  </si>
  <si>
    <t>air leak on supply line at glad hand</t>
  </si>
  <si>
    <t>REPLACED 1 VISOR LIGHT AND 1 DRIVER SIDE STEP RIVETS</t>
  </si>
  <si>
    <t>took several attempts to start truck. Driver only had an issue first thing in the morning has started fine since.</t>
  </si>
  <si>
    <t>NO FAULTS FOUND WITH STARTER. STARTED SEVERAL TIMES NO ISSUE'S AND ALL CONNECTIONS OK.</t>
  </si>
  <si>
    <t>broken V clamp</t>
  </si>
  <si>
    <t>REMOVED BROKEN CLAMP AND FREED UP BRAKE PEDAL</t>
  </si>
  <si>
    <t>REPLACE BUMPER</t>
  </si>
  <si>
    <t>lower lumbar not holding air</t>
  </si>
  <si>
    <t>seat held air for 20 min…if issue continues we need to know how long it takes to drain air out and which switch is loosing air….</t>
  </si>
  <si>
    <t>UNEVEN WEAR ON STEER TIRES  pass side 3-4 mm and drivers side 12-13mm</t>
  </si>
  <si>
    <t>DRIVERS SIDE IS AT 14/32 PASSENGER SIDE IS AT 5/32 BUT IS BEING RUBBED OFF ON THE OUTSIDE EDGE OF THE TIRE.  AS OF SEPT 23 - replaced steer tires both sides</t>
  </si>
  <si>
    <t xml:space="preserve">retorque all axles both sides  </t>
  </si>
  <si>
    <t>left low beam light out</t>
  </si>
  <si>
    <t>Please Replace Windshield Wipers</t>
  </si>
  <si>
    <t>drivers side fuel tank steps has broken welds</t>
  </si>
  <si>
    <t>WED , THURS AND FRI AFTER 6:30PM</t>
  </si>
  <si>
    <t>radiator issue found during service - replaced radiator</t>
  </si>
  <si>
    <t xml:space="preserve">glad hand leaking </t>
  </si>
  <si>
    <t>MON TO THURS AFTER 6:30PM FRI ALL DAY</t>
  </si>
  <si>
    <t>sent service truck in evening</t>
  </si>
  <si>
    <t>Switch in cab for lift axle not working</t>
  </si>
  <si>
    <t>CHECKED WITH DRIVER AND SWITCH HAS BEEN WORKING FOR 2 DAYS SO I REMOVED FROM LOG</t>
  </si>
  <si>
    <t>light out on pass. Side air filter</t>
  </si>
  <si>
    <t>Esbar Cab heater fan and heat not working - driver has checked and removed obstructions but still not working</t>
  </si>
  <si>
    <t>driver side seat lumbar not holding air</t>
  </si>
  <si>
    <t>RESECURED THE LUMBAR AIR BAG IN THE SEAT.</t>
  </si>
  <si>
    <t>driver's side step trim missing rivets</t>
  </si>
  <si>
    <t>REPLACED THE MISSING STEP TRIM RIVETS</t>
  </si>
  <si>
    <t>drivers side squirter only cleaning lower two thirds of windshield when driving</t>
  </si>
  <si>
    <t>MON, TUES, TUHRS AND FRI AND ALL DAY WED.</t>
  </si>
  <si>
    <t>REPLACED WASHER NOZZLE</t>
  </si>
  <si>
    <t>drivers side turn signal on mirror not working</t>
  </si>
  <si>
    <t>REPLACED LIGHT ON MIRROR ARM.</t>
  </si>
  <si>
    <t>air tanks completely empty after being parked overnight</t>
  </si>
  <si>
    <t>REPAIR AIR LEAK ABOVE TRANSMISSION AND AT LEVELING VALVE.</t>
  </si>
  <si>
    <t>coolant warning light coming on in morning but fluid resivior full</t>
  </si>
  <si>
    <t>REPAIRED COOLANT LEAK NEAR THE PUMP.</t>
  </si>
  <si>
    <t>Growl in engine when coasting and not demanding power - This is likely a ride height issue</t>
  </si>
  <si>
    <t>THURS AFTER 6:30PM AND FRI ALL DAY</t>
  </si>
  <si>
    <t>ADJUSTED RIDE HEIGHT - TRUCK RUNNING MUCH SMOOTHER</t>
  </si>
  <si>
    <t>REPLACED THE WIPERS AND CLEANED AND ADJUSTED THE WASHER NOZZLE.</t>
  </si>
  <si>
    <t xml:space="preserve">cb Radio not working   </t>
  </si>
  <si>
    <t>MON, WED AND FRI AFTER 6:30PM</t>
  </si>
  <si>
    <t>ORDERED A NEW CB MICROPHONE  DEC 16. - REPLACED THE MICROPHONE</t>
  </si>
  <si>
    <t>could not get air into Primary air tank for 2.5hrs</t>
  </si>
  <si>
    <t>this issue self corrected when truck warmed up</t>
  </si>
  <si>
    <t>both doors will lock on their own - this has happened 4 times in the last 2 weeks. As of Jan 15 2018 this is a daily occurance</t>
  </si>
  <si>
    <t>NO FAULTS FOUND WITH EITHER DOOR.  BOTH LOCKS ARE WORKING CORRECTLY.  NO FAULTS FOUND WITHIN EITHER DOOR.</t>
  </si>
  <si>
    <t>Please change headlights for a brighter type - driver has already checked with parts and they have a brighter bulb in stock</t>
  </si>
  <si>
    <t>REPLACED BOTH THE HEADLIGHT BULBS WITH BRIGHTER ONES.  NEXT TIME THE HEADLIGHT BULBS BURN OUT PLEASE LET US KNOW THAT THE UNIT HAS THE BRIGHTER ONES IN IT.</t>
  </si>
  <si>
    <t>TOP RIGHT VISOR LIGHT ON TRACTOR IS OUT - THIS LIGHT HAS BEEN ON AND OFF FOR A COUPLE OF WEEKS AND MAY HAVE A BAD CONNECTION</t>
  </si>
  <si>
    <t>Windshield wipers need replacing</t>
  </si>
  <si>
    <t>SENT TO AYRSHOP 2/15/18</t>
  </si>
  <si>
    <t>FUEL PEDAL STARTING TO STICK</t>
  </si>
  <si>
    <t>FM radio, Bluetooth and Sirius not working - this worked before being serviced at Peterbilt Ayrshop.</t>
  </si>
  <si>
    <t>MON, TUE AND WED AFTER 6:30PM AND ALL DAY THURS AND FRI</t>
  </si>
  <si>
    <t>ALL OF THESE ARE WORKING ACCORDING TO GERRY AND JOHN V. 2/27/18 BOTH HAVE USED TRUCK THIS WEEK</t>
  </si>
  <si>
    <t xml:space="preserve">heat not working on passenger side round mirror </t>
  </si>
  <si>
    <t>COMPLETED BY THE SHOP REPLACED THE MIRROR.</t>
  </si>
  <si>
    <t>POWER MIRRORS WILL OFTEN TIMES NOT WORK - DRIVERS FEELS THAT THERE IS NO POWER GOING TO THESE MIRRORS</t>
  </si>
  <si>
    <t>COMPLETED BY THE SHOP REPLACED THE FUSE.</t>
  </si>
  <si>
    <t>YELLOW ELECTRICAL CORD IS WORN TO BARE WIRE</t>
  </si>
  <si>
    <t>SHOP REPLACED THE YELLOW LIGHT CORD.</t>
  </si>
  <si>
    <t>RIGHT SIDE HOOD MIRROR DAMAGED IN INCIDENT PLEASE REPLACE</t>
  </si>
  <si>
    <t>CROWN DAMAGED IN INCIDENT PLEASE REPLACE</t>
  </si>
  <si>
    <t>PIECE OF DECK PLATE DAMAGED PLEASE REPLACE</t>
  </si>
  <si>
    <t>THIS WAS PREVIOUSLY COMPLETED BUT I DID NOT RECEIVE AN UPDATE.</t>
  </si>
  <si>
    <t>DRIVER SIDE DOOR LOCKS ON ITS OWN WHEN CLOSING DOOR - THIS HAS HAPPENED SEVERAL TIMES OVER THE LAST FEW DAYS.</t>
  </si>
  <si>
    <t>REPLACED THE DRIVERS DOOR LOCK ACTUATOR.</t>
  </si>
  <si>
    <t>HOOD RELEASE LOCK INSIDE ENGINE COMPARTMENT IS MISSING C-CLIP AND WASHER - PIN IS STAYING IN PLACE BUT SHOULD REPLACE PARTS BEFORE IT FALLS OUT</t>
  </si>
  <si>
    <t>REPLACED THE MISSING WASHERS AND E CLIP.</t>
  </si>
  <si>
    <t>STEP RIVETS MISSING</t>
  </si>
  <si>
    <t>REPLACED 4 STEP RIVETS</t>
  </si>
  <si>
    <t>WATER, SALT AND SILT ENTERING CAB FROM BEHIND PASSEGER SEAT</t>
  </si>
  <si>
    <t>FRI AFTER 6:30PM SAT AND SUN  ALL DAY</t>
  </si>
  <si>
    <t xml:space="preserve">RESEALED  </t>
  </si>
  <si>
    <t>CENTER VISOR LIGHT OUT</t>
  </si>
  <si>
    <t>DRIVER SIDE DOOR WILL LOCK ON ITS OWN</t>
  </si>
  <si>
    <t>DRIVERS SIDE DOOR LOCKING ON IT'S OWN - ACTUATOR AND LOCK MECHANISM HAVE BOTH ALREADY BEEN REPLACED</t>
  </si>
  <si>
    <t>1 SKIRT LIGHT ON PASS SIDE IS MISSING A SCREW</t>
  </si>
  <si>
    <t>INSTALLED ONE NEW SCREW AND REPLACED ONE BREATHER LIGHT.</t>
  </si>
  <si>
    <t>PASSENGER'S SIDE DOOR LOCKING ON ITS OWN AND VERY DIFFICULT TO UNLOCK DOOR WITH KEY</t>
  </si>
  <si>
    <t>found the door lock actuator was broken</t>
  </si>
  <si>
    <t>CHECK ENGINE LIGHT IS ON.</t>
  </si>
  <si>
    <t>repaired cel</t>
  </si>
  <si>
    <t>RIGHT SIDE HEAD LIGHT OUT - HIGH INTESITY BULB</t>
  </si>
  <si>
    <t>SHOP REPLACED THE LIGHT BULB.</t>
  </si>
  <si>
    <t>LEFT SIDE HEAD LIGHT OUT - RIGHT SIDE WAS JUST REPLACED</t>
  </si>
  <si>
    <t>REPLACED THE DRIVERS SIDE HEADLIGHT BULB.</t>
  </si>
  <si>
    <t>CB RADIO NOT WORKING - HAS POWER BUT IS NOT SENDING OR RECEIVING A SIGNAL.</t>
  </si>
  <si>
    <t>replaced radio…working fine</t>
  </si>
  <si>
    <t>will need either new coax or just new ends installed 5/22/18 - CABLES REPLACED NEEDS NEW RADIO 6/2/18</t>
  </si>
  <si>
    <t>driver's side top step rivets missing</t>
  </si>
  <si>
    <t>replaced missing rivets</t>
  </si>
  <si>
    <t>signal lights flickering…seems to be in light chord</t>
  </si>
  <si>
    <t>REPLACED THE TRAILER LIGHT CORD END.</t>
  </si>
  <si>
    <t>DRIVERS SIDE DOOR LOCKING ON IT OWN</t>
  </si>
  <si>
    <t>NO FAULTS FOUND TRIED THE DOOR MANY TIMES FROM THE INSIDE  AND OUT THE DOOR DID NOT LOCK ON ITS OWN AND THE LOCK FROM THE INSIDE AND OUT IS WORKING SMOOTHLY.  THE LOCK WOULD ALSO NOT LOCK WITH THE DOOR OPEN.  THIS IS NORMAL.</t>
  </si>
  <si>
    <t>DRIVER'S SIDE MIRROR TURN SIGNAL VIBRATES VIOLENTLY - SEEMS TIGHT COULD NOT LOCATE REASON</t>
  </si>
  <si>
    <t>NO FAULT FOUND IT IS THE SAME AS THE REST OF THE UNITS.</t>
  </si>
  <si>
    <t>LIGHT WENT OFF ON  IT'S OWN</t>
  </si>
  <si>
    <t>DRIVER'S SIDE BREATHER LIGHT OUT</t>
  </si>
  <si>
    <t>BREATHER LIGHT REPAIRED</t>
  </si>
  <si>
    <t>SUPPLY (RED) GLAD HAND HAS AIR LEAK AT TRAILER GLAD HAND.</t>
  </si>
  <si>
    <t>REPAIRED THE AIR LEAK</t>
  </si>
  <si>
    <t>LEFT SIDE LOWER BREATHER LIGHT OUT</t>
  </si>
  <si>
    <t>replace breather light</t>
  </si>
  <si>
    <t>AUDIBLE AIR LEAK WHEN SERVICE BRAKE DEPRESSED</t>
  </si>
  <si>
    <t>replaced the broken fitting</t>
  </si>
  <si>
    <t>POWER MIRROS STICKING - DO NOT ROTATE SMOOTHLY</t>
  </si>
  <si>
    <t>NO COMMENT</t>
  </si>
  <si>
    <t>CHECK CROSS MEMBER AT BACK OF 5TH WHEEL FOR CRACKS IN STEEL.</t>
  </si>
  <si>
    <t>STARTED THE WARRANTY PROCESS FOR NEW SLIDE 7/14/18  unit is at the welding shop - REPLACED 5TH WHEEL MOUNT</t>
  </si>
  <si>
    <t>FUEL GAUGE READS FULL ALL THE TIME</t>
  </si>
  <si>
    <t>WED AFTER 3:30PM AND FRI AFTER 12:30PM</t>
  </si>
  <si>
    <t>REPLACED LIGHT WITH H11</t>
  </si>
  <si>
    <t>DRIVER'S SIDE DOOR LOCKING ON IT'S OWN - HAPPENED SEVERAL TIMES TODAY</t>
  </si>
  <si>
    <t>DRIVER SIDE DOOR WILL LOCK ON ITS OWN AND DOOR LATCH IS NOT WORKING PROPERLY</t>
  </si>
  <si>
    <t>AIR LINE ON LEFT SIDE REAR BAG IS BROKEN OFF</t>
  </si>
  <si>
    <t>DRIVERS SIDE HEAD LIGHT OUT - PLEASE REPLACE WITH NIGHTHAWK H11</t>
  </si>
  <si>
    <t>SLOW COOLANT LEAK ON RIGHT SIDE OF ENGINE - DRIVER CAN SEE SMALL POOLING AFTER TRUCK HAS BEEN PARKED OVERNIGHT</t>
  </si>
  <si>
    <t>AS58574</t>
  </si>
  <si>
    <t>DRIVER'S SIDE WINDOW SWITCH IS ONLY WORKING RANDOMLY</t>
  </si>
  <si>
    <t>DOOR LOCK ACTUATOR NOT WORKING BOTH SIDE - DRIVER;S SIDE NOT WOKING AT ALL AND PASSENGER SIDE WILL ONLY UNLOCK</t>
  </si>
  <si>
    <t>DRIVER CONFIRMED THAT ALL DOOR LOCKS AND SWITCHES ARE WORKING</t>
  </si>
  <si>
    <t>THIS OR SIMILAR ISSUES WITH DOOR LOCKS ON THIS TRUCK HAVE BEEN ADDRESSED SEVERAL TIMES - PLEASE CHECK EXTENSIVE HISTORY WITH THIS ISSUE. - SWITCH WAS UNPLUGGGED REPAIRED BY AYRSHOP</t>
  </si>
  <si>
    <t>RE-TORQUE DRIVER'S SIDE REAR AXLE</t>
  </si>
  <si>
    <t>COMPLETED ON SLEEMAN YARD</t>
  </si>
  <si>
    <t>NO POWER THROUGH YELLOW CORD. LOOKS LIKE TOP IN IN BROKEN, INTERIOR LIGHTS AND LIFT AXLE NOT WORKING</t>
  </si>
  <si>
    <t>AIR LEAK ON RED SUPPLY LIGHT AT GLAD HAND</t>
  </si>
  <si>
    <t>BACK UP BEEPER NOT WORKING</t>
  </si>
  <si>
    <t>RIGHT LOW BEAM OUT</t>
  </si>
  <si>
    <t>AS59308</t>
  </si>
  <si>
    <t>DRIVER SIDE WINDSHEILD WIPER NEEDS REPLACEING AND SQUIRTER NEEDS ADJUSTMENT</t>
  </si>
  <si>
    <t>AS59309</t>
  </si>
  <si>
    <t>DRIVER SIDE MUD FLAP OFF AND BRACKET DAMAGED</t>
  </si>
  <si>
    <t>NO POWER AT YELLOW CORD - FUSES SEEM FINE</t>
  </si>
  <si>
    <t>REPAIRED AT PETERBILT MISSISSAUGA 3/15/19</t>
  </si>
  <si>
    <t>MS60042</t>
  </si>
  <si>
    <t>HEAD LIGHT OUT ON LEFT SIDE - THESE HEAD LIGHTS ARE H11 BULBS</t>
  </si>
  <si>
    <t>SUPPLY LINE LEAKING AT GLAD HAND</t>
  </si>
  <si>
    <t>NAIL IN LEFT SIDE REAR OUTSIDE TIRE</t>
  </si>
  <si>
    <t>COMPLETED BY PETERBILT TIRE GUY, NO RETORQUE NEEDED</t>
  </si>
  <si>
    <t>RIGHT SIDE SHOCK LEAKING OIL</t>
  </si>
  <si>
    <t>BRAKE CHAMBER LEAKING AT MAXI</t>
  </si>
  <si>
    <t xml:space="preserve">ENGINE WILL NOT START - VOLT METER READS 12.2 VOLTS WHEN IGNITION IS ON - WHEN TURNING OVER NOTHING HAPPENS AT ALL </t>
  </si>
  <si>
    <t>NO COMPLETION CONFIRMATION BUT TRUCK IS RUNNING - LIKELY SOMETHING QUICK THAT DYLAN REPAIRED</t>
  </si>
  <si>
    <t>SEAT ADJUSTMENT FOR THE BACK OF THE SEAT ON THE PASSENGER SIDE IS BROKEN - THIS IS A LARGE GREY ADJUSTMENT KNOB THAT PIVOTS THE BACK OF THE SEAT FORWARDS OR BACKWARDS</t>
  </si>
  <si>
    <t>WAITING FOR WORK ORDER 4/25/19 - COMPLETED BY DYLAN IN YARD</t>
  </si>
  <si>
    <t xml:space="preserve">SWITCH FOR DRIVER'S SIDE WINDOW CUTS IN AND OUT - HAD A SIMILAR ISSUE BEFORE WHERE THE HARNESS WAS DISCONNECTING FROM THE SWITCH. </t>
  </si>
  <si>
    <t>CLUTCH SWITCH DOES NOT DEACTIVATE CRUISE CONTROL</t>
  </si>
  <si>
    <t>WAITING FOR WORK ORDER 4/29/19 - COMPLETED BY DYLAN IN YARD</t>
  </si>
  <si>
    <t>REPLACED CLUTCH SWITCH</t>
  </si>
  <si>
    <t>NOT BUILDING AIR IN PRIMARY AIR TANK</t>
  </si>
  <si>
    <t>COMPLETED BY ALWAYS ON CALL IN YARD 4/30/19</t>
  </si>
  <si>
    <t>RIGHT SIDE LOW BEAM OUT - PLEASE REPLACE WITH NIGHTHAWK H11</t>
  </si>
  <si>
    <t>REPAIRED IN YARD</t>
  </si>
  <si>
    <t>LEFT SIDE, REAR DRIVE AXLE, INSIDE TIRE IS FLAT</t>
  </si>
  <si>
    <t>FLAT TIRE REPLACED BY PETERBILT TIRE GUY</t>
  </si>
  <si>
    <t>REPAIRED BY DYLAN IN YARD 5/13/19</t>
  </si>
  <si>
    <t>DRIVER'S SIDE DOOR LOCKS WHEN DRIVER CLOSES DOOR.</t>
  </si>
  <si>
    <t>TRACTOR LOOSES ALL AIR WHEN PARKED OVERNIGHT.</t>
  </si>
  <si>
    <t>TIRES ARE WEARING UNEVENLY - DRIVERS SIDE OUTSIDE TREAD IS 5/32 AND PASSENGER SIDE OUTSIDE TREAD IS 9/32</t>
  </si>
  <si>
    <t>FIRE EXTINGUISHHER NEEDS RECHARGED</t>
  </si>
  <si>
    <t>PLEASE CHECK ENGINE FOR SLIGHT KNOCKING SOUND AT LOW IDLE - AS PER DRIVER</t>
  </si>
  <si>
    <t>RED GLAD HAND LEAKING AIR</t>
  </si>
  <si>
    <t>REPAIRED BY DYLAN IN YARD 6/14/19</t>
  </si>
  <si>
    <t>AIR LEAK ON SUPPLY LINE (RED LINE) IN CONNECTION BETWEEN GLAD HAND AND AIR LINE</t>
  </si>
  <si>
    <t>REPLACED FITTING</t>
  </si>
  <si>
    <t>PASS SIDE UPPER STACK MOUNT BROKEN - NEEDS REPLACED</t>
  </si>
  <si>
    <t>RIGHT SIDE LOW BEAM HEAD LIGHT OUT - NIGHTHAWK H11 BULB</t>
  </si>
  <si>
    <t>COMPLETED IN YARD BY AYRSHOP</t>
  </si>
  <si>
    <t>DRIVER'S SIDE STEER AT 5/32 PASS SIDE AT 8/32</t>
  </si>
  <si>
    <t>STEER TIRES REPLACED JULY 27 2019</t>
  </si>
  <si>
    <t>LEFT SIDE BREATHER LIGHT OUT</t>
  </si>
  <si>
    <t>DRIVER'S SIDE DOOR LATCH ONLY CATCHING ON SECONDARY (SAFETY) LATCH</t>
  </si>
  <si>
    <t>REPAIRED BY AYRSHOP IN YARD 7/29/19 - DRIVER REPORTED DOOR STILL AN ISSUE 7/31/19</t>
  </si>
  <si>
    <t>LEFT REAR INSIDE DRIVE TIRE IS OFF RIM</t>
  </si>
  <si>
    <t>REPAIRED BY BRENNAN TIRE AS PER DEANNA LAVIN</t>
  </si>
  <si>
    <t>I CALLED BRENNAN TIRE AS PER DEANNA LAVIN 8/2/19</t>
  </si>
  <si>
    <t>NO ISSUE FOUND WITH THIS LIGHT</t>
  </si>
  <si>
    <t>FUEL ONLY PUMPING FROM OR RETURNING TO 1 TANK - DRIVER HAS TURNED OFF BALL VALVE TO PASSENGER SIDE TANK.</t>
  </si>
  <si>
    <t>INSTALLED METERING VALVE</t>
  </si>
  <si>
    <t>WIRING REPAIR</t>
  </si>
  <si>
    <t>DRIVER'S SIDE DOOR WINDOW STICKS UP OR DOWN SOMETIMES</t>
  </si>
  <si>
    <t>NO ISSUE FOUND BY DYLAN OCT 11, 2019</t>
  </si>
  <si>
    <t>LOW BEAM HEAD LIGHT OUT</t>
  </si>
  <si>
    <t>CHECK YELLOW POWER SUPPLY PLUG FOR BROKEN WIRING</t>
  </si>
  <si>
    <t xml:space="preserve">COMPLETED BY DYLAN IN YARD  </t>
  </si>
  <si>
    <t>NO ISSUE FOUND WITH WIRING - REPLACED BLOWN BRAKE FUSE</t>
  </si>
  <si>
    <t>PLEASE REPLACE BOTH WINDSHIELD WIPERS  AND ADJUST SRAYER NOZZLES TO SPRAY FURTHER UP WINDSHIELD</t>
  </si>
  <si>
    <t>REPLACED WIPERS AND ADJUSTED SPRAY NOZZLES</t>
  </si>
  <si>
    <t>DRIVERS SIDE ARM REST PLASTIC IS CRACKED - DRIVER REPORTED THAT THIS HAS EXPOSED SOME SHARP EDGES</t>
  </si>
  <si>
    <t>AT AYRSHOP 11/26/19</t>
  </si>
  <si>
    <t>DRIVER WROTE UP THAT TIRES SHOULD BE LOOKED AT - REAR DRIVES 8/32 - FRONT DRIVES 12/32NDS</t>
  </si>
  <si>
    <t>AIR LEAK AT SUPPLY LINE</t>
  </si>
  <si>
    <t>REPACED FUSE</t>
  </si>
  <si>
    <t>PLEASE TEST DRIVE THIS TRUCK FOR EXCESSIVE SHAKING, RATTLING AND SQUEEKING AT HIGHWAY SPEEDS - MAYBE A DRIVE LINE ISSUE.</t>
  </si>
  <si>
    <t>UNEVEN TIRE PRESSURES - RANGING FROM 8-120 PSI - SET ALL PRESSURES AT 100 PSI</t>
  </si>
  <si>
    <t>PLEASE CHECK TRAILER POWER AND FUSES ASSOCIATED TO THESE CIRCUITS - DRIVER HAS REPORTED A SHORT - TRAILER SWITCH IN CAB STAYS LIT WHETHER SWITCH IS ON OR OFF</t>
  </si>
  <si>
    <t>REPLACED YELLOW POWER CORD</t>
  </si>
  <si>
    <t>CLUTCH SWITCH NOT DISENGAUGING ENGINE BRAKE OR CRUISE CONTROL</t>
  </si>
  <si>
    <t>RIGHT FRONT BRAKE CHAMBER NEEDS REPLACED</t>
  </si>
  <si>
    <t>DIAGNOSED BY DYLAN DURING PM A SERVICE - COMPLETED BY AYRSHOP</t>
  </si>
  <si>
    <t>REPLACED RIGHT REAR BRAKE CHAMBER</t>
  </si>
  <si>
    <t>POGO STICK BROKEN</t>
  </si>
  <si>
    <t>REPLACED POGO STICK</t>
  </si>
  <si>
    <t>DRIVERS SIDE HEAD LIGHT OUT</t>
  </si>
  <si>
    <t>REPAIRED BY PETERBILT VAL RITA</t>
  </si>
  <si>
    <t>ENGINE</t>
  </si>
  <si>
    <t>FUEL FILTER PLUGGED</t>
  </si>
  <si>
    <t>FILTER WAS VERY CLOGGED, BOWL HOLD DOWN RING HAD TO CUT OFF DUE TO HEAVY CORROSION - MECHANIC COMMENTED THAT IT DID NOT LOOK LIKE FILTERS HAVE EVER BEEN REPLACED</t>
  </si>
  <si>
    <t>REPAIRED BY ALWAYS ON CALL IN YARD</t>
  </si>
  <si>
    <t>COMPLETED BY AYRSHOP 2/21/20</t>
  </si>
  <si>
    <t>SERVICED ESBAR</t>
  </si>
  <si>
    <t>CLUTCH SWITCH WORKS BUT IS NOT SET PROPERLY - DRIVER HAS TO PUSH THE CLUTCH TOO FAR TO DE-ACTIVATE CRUISE CONTROL</t>
  </si>
  <si>
    <t>NO FAULT FOUND</t>
  </si>
  <si>
    <t>BLUETOOTH IN TRUCK NOT WORKING - DOES SCAN BUT DOES NOT CONNECT</t>
  </si>
  <si>
    <t>FIFTH WHEEL IS VERY DIFFICULT RELEASE</t>
  </si>
  <si>
    <t>REPAIRED BY ALWAYS ON CALL IN YARD - NO FAULT FOUND</t>
  </si>
  <si>
    <t>REPLACED MIC.</t>
  </si>
  <si>
    <t>VISOR, BREATHER AND TAIL LIGHTS WILL STAY ON WHEN SWITCHES ARE TURNED OFF BUT LIGHTS ARE DIM</t>
  </si>
  <si>
    <t>FOUND LOTS OF MELTED WIRES - REPLACED LOTS OF WIRING</t>
  </si>
  <si>
    <t>STEPS OVER FUEL TANK LOOSE ON DRIVER'S SIDE</t>
  </si>
  <si>
    <t>CAB AIR RIDE NEEDS REPAIR</t>
  </si>
  <si>
    <t>REPLACED IN YARD</t>
  </si>
  <si>
    <t>CHECK ENGINE LIGHT ON - TRUCK BACK FIRING THROUGH BREATHERS AND HAS NO POWER</t>
  </si>
  <si>
    <t>COMPLETED BY AYRSHOP, WAITING FOR WORK ORDERS - 3/26/20</t>
  </si>
  <si>
    <t>WAITED UNTIL 4/30/20 FOR WORK ORDERS - NO LUCK</t>
  </si>
  <si>
    <t>SEATBELT FRAYED AND NEEDS REPLACED</t>
  </si>
  <si>
    <t>CHECK ENGINE LIGHT ON AGAIN</t>
  </si>
  <si>
    <t>COMPLETED BY AYRSHOP - WAITING FOR WORK ORDERS 4/3/20</t>
  </si>
  <si>
    <t>CLUTCH NEEDS ADJUSTED  - BRAKE NOT STOPPING TRANSMISSION AND HAS TOO MUCH FREE PLAY AT TOP OF CLUTCH PEDAL</t>
  </si>
  <si>
    <t>DRIVER WENT TO AYRSHOP TO HAVE ADJUSTED</t>
  </si>
  <si>
    <t>CEL ON</t>
  </si>
  <si>
    <t>COMPLETED BY AYRSHOP 5/19/20</t>
  </si>
  <si>
    <t>heat not working on right side convex mirror</t>
  </si>
  <si>
    <t>GOING TO AYRSHOP FRIDAY</t>
  </si>
  <si>
    <t>NEXT TO GO TO CHEIFS</t>
  </si>
  <si>
    <t>repaired heated mirror</t>
  </si>
  <si>
    <t>doors not locking/unlocking with key</t>
  </si>
  <si>
    <t>MON, TUES WED AND FRI AFTER 6:30PM</t>
  </si>
  <si>
    <t>LUBED DOOR LOCKS</t>
  </si>
  <si>
    <t>AUX. switch for under cab and fender lights burnt out.</t>
  </si>
  <si>
    <t>REPAIRED SHORT IN BREATHER LIGHT WIRING AND REPLACED FUSE</t>
  </si>
  <si>
    <t>driver has removed the low view window on the passenger side to get into the truck this will need to be replaced</t>
  </si>
  <si>
    <t>REPLACED WINDOW</t>
  </si>
  <si>
    <t>REPLACED VISOR LIGHTS</t>
  </si>
  <si>
    <t>the nuts on the top and bottom of the power mirrors on both side have loosened off. Drivers has tightened them but please check.</t>
  </si>
  <si>
    <t>TIGHTENED</t>
  </si>
  <si>
    <t>visor light out - now has 3 visor lights out</t>
  </si>
  <si>
    <t>interrior lights not working when drivers side door open</t>
  </si>
  <si>
    <t>REPLACED BLOWN FUSE</t>
  </si>
  <si>
    <t>ESBAR heater not working has failed for 2 days straight</t>
  </si>
  <si>
    <t>DRIVER TRIED AGAIN ON THURSDAY NIGHT 3/30/17 TO SET HIS HEATER AND HEATER WOULD NOT RUN - NEEDS ESBAR SERVICE REPAIRS ONGOING 4/1/17 - SERVICE AS NEEDED 4/8/17</t>
  </si>
  <si>
    <t>passenger side door will not close properly - windy in cab</t>
  </si>
  <si>
    <t>Will not start battery seems fine but will not turn over there is also no clicking noise.</t>
  </si>
  <si>
    <t>TRUCK LEFT IN GEAR SO STARTER WOULD NOT ENGAGE</t>
  </si>
  <si>
    <t>vissor light out</t>
  </si>
  <si>
    <t>REPLACED LIGHT AND PIG TAIL</t>
  </si>
  <si>
    <t>REPLACED LIC. PLATE LIGHT AND 1 DRIVERS SIDE STEP RIVET</t>
  </si>
  <si>
    <t>door locks not opening with key</t>
  </si>
  <si>
    <t>REPLACED ACTUATOR NEW DOOR LOCK MECHANISM ON ORDER 3/29/17 - REPLACED DOOR LCK TUMBLERS 7/8/17</t>
  </si>
  <si>
    <t xml:space="preserve">power locks not working and passenger side door missing manual lock push/pull knob doors locking unlocking with key only </t>
  </si>
  <si>
    <t>REPLACED THE DOOR LOCK FUSE, PASSENGER SIDE DOOR LOCK ACTUATOR AND REINSTALLED THE PASSENGER SIDE LOCK ROD CAP.</t>
  </si>
  <si>
    <t>LIGHT WAS OUT DURING PRE-TRIP BUT DRIVER HAS HAD NO ISSUE WITH IT SINCE</t>
  </si>
  <si>
    <t>DRIVER SIDE STEER TIRE HAS HEAVY WEAR ON OUTSIDE EDGE OF TIRE</t>
  </si>
  <si>
    <t>TIRE REPLACED ROAD SIDE WITH NEW TIRE</t>
  </si>
  <si>
    <t>DRIVER IS STILL HAVING AN ISSUE WITH HOW THIS TRUCK RIDES AND WOULD LIKE A RIDE ALONG WITH JUSTIN - TRUCK RIDES VERY ROUGH</t>
  </si>
  <si>
    <t>ADJUSTED CAB RIDE HEIGHT</t>
  </si>
  <si>
    <t>TRUCK PULLS HARD TO THE RIGHT</t>
  </si>
  <si>
    <t>REPLACED DECK PLATE HOLD DOWN</t>
  </si>
  <si>
    <t>HAD DRIVERS SIDE STEER TIRE REPLACED ROAD SIDE NOW STEER TIRES HAVE UNEVEN TREAD</t>
  </si>
  <si>
    <t>TUES, THURS AND FRI AFTER 6:30PM AND ALL DAY WEDNESDAY</t>
  </si>
  <si>
    <t>RIGHT SIDE STEER AT 12/32 AND LEFT SIDE AT 20/32. HAVE ADVISED MATT. - ADJUSTED PRESSURE AND ROTATED TIRES</t>
  </si>
  <si>
    <t>RETORQUE STEER TIRES BOTH SIDES</t>
  </si>
  <si>
    <t>RETORQUED STEER AXLE</t>
  </si>
  <si>
    <t>Driver's door not closing properly</t>
  </si>
  <si>
    <t>Tues</t>
  </si>
  <si>
    <t>no faults found with door…if issue continues, need mor info</t>
  </si>
  <si>
    <t>Right side head light out</t>
  </si>
  <si>
    <t>ALL DAY THURS AND FRIO AFTER 6:30PM</t>
  </si>
  <si>
    <t>LEFT SIDE TOP BREATHER LIGHT OUT</t>
  </si>
  <si>
    <t>MON TO THURS AFTER 6:30PM AND FRI ALL DAY</t>
  </si>
  <si>
    <t xml:space="preserve">replaced breather light </t>
  </si>
  <si>
    <t>MISSISNG STEP RIVETS</t>
  </si>
  <si>
    <t xml:space="preserve">REPLACED MISSING RIVETS </t>
  </si>
  <si>
    <t>Supply (RED) line needs replaced it is worn through outer casing in spots and showing mesh. THIS LINE IS NOW LEAKING 10/30/17</t>
  </si>
  <si>
    <t>REPLACED RED TRAILER AIR LINE.</t>
  </si>
  <si>
    <t>audible air leak under cab…loosing 90psi in 45 minutes</t>
  </si>
  <si>
    <t>REPLACED TRAILER AIR SUPPLY LINE FITTING</t>
  </si>
  <si>
    <t>no clutch brake</t>
  </si>
  <si>
    <t>MON, TUES, WED, AND THURS AFTER 6:30PM AND ALL DAY FRIDAY</t>
  </si>
  <si>
    <t>passenger side headlight out</t>
  </si>
  <si>
    <t>driver's side headlight out</t>
  </si>
  <si>
    <t>REPLACED HEADLIGHT BULB.</t>
  </si>
  <si>
    <t>MON AND WED AFTER 6:30PM AND ALL DAY THURS AND FRI.</t>
  </si>
  <si>
    <t>ROOF FAIRING NEEDS 2 MOUNTING BOLTS GOING TO BRING THEM OUT NEXT TIME HERE OK TO RUN FOR NOW. - SHOP INSTALLED MISSING BOLTS 12/1/17</t>
  </si>
  <si>
    <t>in between seats is wet but have not been able to locate leak</t>
  </si>
  <si>
    <t>FOUND NO LEAKS IN THE CAB PRESSURE TESTED IT.  DID FIND A COFFEE STAIN BETWEEN THE SEATS COULD THIS BE HIS LEAK?</t>
  </si>
  <si>
    <t>Esbar cab heater runs for 3 minutes then shuts down - Drivers has tried several times.</t>
  </si>
  <si>
    <t>SHOP FOUND NO FAIULTS WITH EITHER ESPAR</t>
  </si>
  <si>
    <t>WIPER RESIVIOR MISSING CAP</t>
  </si>
  <si>
    <t>SHOP REPLACED THE MISSING CAP.</t>
  </si>
  <si>
    <t>coolant leak at engine block firewall side of turbo</t>
  </si>
  <si>
    <t>SHOP REPLACED THE WIPERS AND CLEANED OUT AND RE-AIMED THE WASHERS.</t>
  </si>
  <si>
    <t>TURBO MAKING NEW NOISE AT HEAVY LOAD SOUNDS LIKE IT IS SUCKING OR BLOWING AIR - TRUCKS RUNS FINE AND HAS JUST CAME BACK FROM RAD REPLACEMENT AND OTHER MINOR REPAIRS</t>
  </si>
  <si>
    <t>NEW GASKET ON ORDER FOR WEDNESDAY. DEC 27 2017  REPLACED THE INTAKE GASKET</t>
  </si>
  <si>
    <t>Driver side floor vents seem to blow very little to no heat - all other vents working fine</t>
  </si>
  <si>
    <t>NO ISSUES FOUND WITH THE VENTS.</t>
  </si>
  <si>
    <t>CB RADIO ONLY WORKING INTERMITTENLY</t>
  </si>
  <si>
    <t>COULD NOT GET THE CB TO ACT UP.  WHAT IS IT DOING OR NOT DOING?</t>
  </si>
  <si>
    <t>Both ESBAR heaters failed to start - Cab heater seems to run in warmer Temps but Engine heater continuing to fail.</t>
  </si>
  <si>
    <t>AT AYR NOW</t>
  </si>
  <si>
    <t>WINDSHIELD WASHER FLUID TANK CRACKED AND LEAKING</t>
  </si>
  <si>
    <t>green electrical cord has broken wires</t>
  </si>
  <si>
    <t>1 - visor light out</t>
  </si>
  <si>
    <t>brake chamber leaking Air.</t>
  </si>
  <si>
    <t>service call at Acton TBS</t>
  </si>
  <si>
    <t xml:space="preserve">ESBAR ENGINE HEATER NOT WORKING   </t>
  </si>
  <si>
    <t>1/4 " COOLANT LINE MOUNTED TO RIGHT SIDE OF RAD HAVE BROKEN CLAMP</t>
  </si>
  <si>
    <t>CB RADIO HAS POWER BUT RECEPTION AND TRANSMISSION ONLY WORKING SOMETIMES</t>
  </si>
  <si>
    <t>ATC LIGHT ON AND SWITCH ON - DRIVER COULD NOT DIS-ENGAUGE</t>
  </si>
  <si>
    <t>ABS FAULT - DASH INDICATING A PRESSURE SENSOR ISSUE</t>
  </si>
  <si>
    <t>lift axle will not go up or down - please check switch in truck</t>
  </si>
  <si>
    <t>DRIVER ENDED UP REMOVING JUMPER WIRE BETWEEN GREEN AND YELLOW CORDS AND LIFT AXLE IS WORKING FINE.</t>
  </si>
  <si>
    <t>CHECKED BY AYRSOP ON FEB 21 2018 BUT NO ACTION TAKEN - WENT TO AYRSHOP 2/26/18 POWER TO SWITCH AND CORDS ALL GOOD.  AS55209</t>
  </si>
  <si>
    <t>2x visor lights out</t>
  </si>
  <si>
    <t>3 breather lights out..driver side</t>
  </si>
  <si>
    <t>REPLACED THREE BREATHER LIGHTS ON THE DRIVERS SIDE.</t>
  </si>
  <si>
    <t>CLUTCH ADJUSTED BACK TO FACTORY SPEC</t>
  </si>
  <si>
    <t>DRIVER SEAT HAS NO CUSION LEFT IN IT - PLEASE REPLACE</t>
  </si>
  <si>
    <t>SERVICE DUE IN APRIL</t>
  </si>
  <si>
    <t>Gouge in supply line ,threads visiable</t>
  </si>
  <si>
    <t>REPLACED THE TRAILER AIR LINES.</t>
  </si>
  <si>
    <t>BOTH CB ANTENNA'S ARE BROKEN AND HAVE BEEN REMOVED</t>
  </si>
  <si>
    <t>SHOP REPLACED BOTH CB ANTENNAS</t>
  </si>
  <si>
    <t>AIR AND ELECTRICAL LINES DRAGGING ON DECK (RECENTLY HAD SUPPLY LINE REPIAR COMPLETED)</t>
  </si>
  <si>
    <t>SHOP ADJUSTED THE POISTION OF THE AIR LINES.</t>
  </si>
  <si>
    <t>PLEASE REPLACE BOTH WINDSHIELD WIPERS WITH A SUMMER STYLE.</t>
  </si>
  <si>
    <t>SHOP REPLACED THE WIPERS</t>
  </si>
  <si>
    <t>AIR LINE FOR LEVELING VALVE BROKEN</t>
  </si>
  <si>
    <t>AYR SHOP REPAIRED THE AIR LINE AND REPLACED THE FITTING.</t>
  </si>
  <si>
    <t>DRIVERS SIDE POWER MIRROR IS BROKEN INSIDE - IT SHAKES AND VIBRATES ALL THE TIME.</t>
  </si>
  <si>
    <t>TIGHTENED MIRROR</t>
  </si>
  <si>
    <t>DASH GAUGES NOT WORKING</t>
  </si>
  <si>
    <t>lights came back on no issue found</t>
  </si>
  <si>
    <t>CB RADIO DOES NOT WORKING MOST OF THE TIME</t>
  </si>
  <si>
    <t>CB MIC ON ORDER 7/14/18 - REPLACED MIC. 7/26/18</t>
  </si>
  <si>
    <t>CB RADIO WORKING SPORATICALLY - CB MIC AND CABLE HAVE ALREADY BEEN REPLACED</t>
  </si>
  <si>
    <t>no faults found</t>
  </si>
  <si>
    <t>CLUTCH NEEDS READJUSTED.</t>
  </si>
  <si>
    <t>adjusted the clutch</t>
  </si>
  <si>
    <t>ON/OFF SWITCH FOR BOSE SEAT NOT WORKING</t>
  </si>
  <si>
    <t>unit needs a new switch</t>
  </si>
  <si>
    <t>DRIVER SIDE WINDOW NOT WORKING</t>
  </si>
  <si>
    <t>clutch adjusted too much….1'' from floor</t>
  </si>
  <si>
    <t>RE-ADJUSTED</t>
  </si>
  <si>
    <t>am/fm has poor radio reception</t>
  </si>
  <si>
    <t xml:space="preserve">driver complaining that this unit rides like a tank…..air bags under cab set too hard? </t>
  </si>
  <si>
    <t>ADJUSTED RIDE HEIGHT TO THE SAME AS UNIT 1830</t>
  </si>
  <si>
    <t>bose seat wont turn on</t>
  </si>
  <si>
    <t>WED AFTER 3:30PM, THURS AND FRI AFTER 6:30PM</t>
  </si>
  <si>
    <t>switch on order - PARTS ARE IN WAITING FOR TRUCK AVAILABILITY - replaced switch</t>
  </si>
  <si>
    <t>AIR TANKS DRAIN COMPLETELY WHEN PARKED OVER NIGHT</t>
  </si>
  <si>
    <t>REPLACED FITTINGS AT TRANSMISSION</t>
  </si>
  <si>
    <t>CROSS MEMBER ON 5TH WHEEL SLIDE RAIL IS CRACKED -- I HAVE ALREADY SENT PICS TO MATT ELLIOT</t>
  </si>
  <si>
    <t>HAS BEEN REWELDED</t>
  </si>
  <si>
    <t>ESBAR ENGINE HEATER DISPLAY READS ERROR</t>
  </si>
  <si>
    <t>HAS BEEN REBUILT</t>
  </si>
  <si>
    <t>D</t>
  </si>
  <si>
    <t>ADJUSTED CLUTCH, REPAIRED AIR LEAK AT LEVELING VALVE, REPLACED PORTION OF STEERING COLUME FROM BROKEN WELDS AT YOKE, REPAIRED AIR LEAK AT FLEX PIPE, REPLACE FRONT TORQUE ROD</t>
  </si>
  <si>
    <t>WIRING ISSUE CAUSING LIGHTS TO STAY ON - CORRODED WIRE CAN BE SEEN INSIDE FUSE PANEL UNDER HOOD, RELAY MAKES CONTINOUS HUMMING NOISE</t>
  </si>
  <si>
    <t>REPAIRED CORRODED WIRE AND ORDERED NEW FUSE PANEL ASSEMBLY (NOV 15 2018). - REPLACED PANEL 12/3/18</t>
  </si>
  <si>
    <t>SEVERE CORROSION ON MOUNTING CONNECTION FOR RADIO ANTENNA AT BACK OF CAB (OUTSIDE OF TRUCK)</t>
  </si>
  <si>
    <t>WIRE BOC TO ANTENNA HAS BEEN CHECKED AND NO CORROSION FOUND - PLEASE CHECK BOTTOM OF THE ANTENNA, INSIDE SPRING COIL IS FULL OF CORROSION - REPLACED ALL BROKEN AND MISSING ANTENNA'S</t>
  </si>
  <si>
    <t>ESBAR engine heater not working</t>
  </si>
  <si>
    <t>NO FAULTS FOUND</t>
  </si>
  <si>
    <t>need new wipers…washer fluid not spraying on entire window</t>
  </si>
  <si>
    <t>REPLACED WIPERS AND ADJUSTED SPRAYER NOZZLES</t>
  </si>
  <si>
    <t>left side floor vent not blowing heat…cold feet!</t>
  </si>
  <si>
    <t>RE-SECURED VENT</t>
  </si>
  <si>
    <t>RIGHT SIDE HOOD MIRROR HAS BROKEN HOOD MOUNT.</t>
  </si>
  <si>
    <t>AS58641</t>
  </si>
  <si>
    <t>DASH LIGHTS OUT</t>
  </si>
  <si>
    <t>AS58760</t>
  </si>
  <si>
    <t>AS58859 - CLEANED AND REPAIRED ESBAR ENGINE HEATER</t>
  </si>
  <si>
    <t>ESBAR IN CAB HEATER - NOT WRITTEN UP BY DRIVER BUT REPAIRED BY PETERBILT</t>
  </si>
  <si>
    <t>AS58859 - CLEANED AND REPAIRED ESBAR IN CAB HEATER</t>
  </si>
  <si>
    <t xml:space="preserve">BRAKE CHAMBER LEAKING   </t>
  </si>
  <si>
    <t>REPLACED AT PETERBILT NIAGRA</t>
  </si>
  <si>
    <t>CB RADIO ONLY SENDS AND RECIEVES SIGNAL INTERMITTENLY AND DISPLAY'S INCORRECT CHANNEL.</t>
  </si>
  <si>
    <t>WAITING FOR WORK ORDER 2/6/19</t>
  </si>
  <si>
    <t>ESBAR ENGINE HEATER NOT WORKING - THIS UNIT WAS RECENTLY SERVICED</t>
  </si>
  <si>
    <t xml:space="preserve">GREEN ELECTRICAL CORD BROKEN </t>
  </si>
  <si>
    <t>WAITING FOR WORK ORDER 1/28/19</t>
  </si>
  <si>
    <t>TRUCK NOT SUPPLYING POWER TO TRAILER FOR LIGHTS - GREEN CORD HAS BEEN REPLACED RECENTLY</t>
  </si>
  <si>
    <t>ESBAR ENGINE HEATER FAILED TO START THIS MORNING</t>
  </si>
  <si>
    <t>WAITING FOR WORK ORDER 3/8/19</t>
  </si>
  <si>
    <t>AS59399</t>
  </si>
  <si>
    <t>ESBAR CAB HEATER NOT WORKING, DISPLAYS ERROR MESSAGE</t>
  </si>
  <si>
    <t>NEEDS A PMG FOR ITS PEOPLENET CONNECTION</t>
  </si>
  <si>
    <t>ONE OF THE RETENTION CABLES FOR HOOD IS BROKEN</t>
  </si>
  <si>
    <t xml:space="preserve">CLUTCH SWITCH AT PEDAL IS NOT WORKING - WILL NOT DISENGAUGE ENGINE BRAKE OR CRUISE CONTROL </t>
  </si>
  <si>
    <t>MULTIPLE BREATHER LIGHTS AND 1 VISOR LIGHT OUT</t>
  </si>
  <si>
    <t>SUPPLY LINE HAS TEAR THROUGH OUTER LAYER</t>
  </si>
  <si>
    <t>WAITING FOR WORK ORDER 4/23/19 - COMPLETED BY DYLAN IN YARD</t>
  </si>
  <si>
    <t>REPLACED ALL ELECTRICLE AND AIR LINES</t>
  </si>
  <si>
    <t xml:space="preserve">FUEL LEAK NEAR DRIVER'S SIDE FIREWALL - FITTING IS LEAKING AT AN ENGINE INLET PORT </t>
  </si>
  <si>
    <t xml:space="preserve">FUEL LEAK NEAR DRIVER'S SIDE FIREWALL - FITTING IS STILL LEAKING AT AN ENGINE INLET PORT - DYLAN LOOKED AT THIS ON 4/23/19 BUT ISSUE NOT RESOLVED </t>
  </si>
  <si>
    <t>REPLACED FUEL UNIT PUIMP - LEAKING INTERNALLY</t>
  </si>
  <si>
    <t>BOLT MISSING ON TOP OF EXHAUST ON DRIVER'S SIDE</t>
  </si>
  <si>
    <t>REPLACED EXHAUST BUSHING</t>
  </si>
  <si>
    <t>BOLT MISSING IN BRACKET NEAR UNIT PUMP THAT HOLDS FUEL LINES ON LEFT SIDE OF ENGINE</t>
  </si>
  <si>
    <t>WIPER BLADES NEED REPLACING</t>
  </si>
  <si>
    <t>DRIVERS DOOR IS PANEL LOOSE AND RATTLES FROM INSIDE PANEL</t>
  </si>
  <si>
    <t>LEFT SIDE REAR AXLE LOCKS UP WHEN BRAKING</t>
  </si>
  <si>
    <t>DRIVERS SIDE DOOR PANEL LOOSE AND RATTLES</t>
  </si>
  <si>
    <t>SOMETHING RATTLES FROM BEHIND THE DASH</t>
  </si>
  <si>
    <t>ONBOARD INFOTAINMENTS SYSTEM FREQUENTLY REBOOTS WHICH SETS EVERYTHING BACK TO FACTORY DEFAULT SETTINGS. SIRIUS SATELLITE SYSTEM WILL NOT HOLD SIGNAL EITHER</t>
  </si>
  <si>
    <t>PARTS ON ORDER 6/18/19 - PARTS IN 7/3/19</t>
  </si>
  <si>
    <t>DASH PANEL LOOSE AT RIGHT SIDE CORNER</t>
  </si>
  <si>
    <t>1X FENDER MOUNTING BRACKET CRACKED</t>
  </si>
  <si>
    <t>AIRSHOP REPAIRED ON YARD</t>
  </si>
  <si>
    <t>CRACK IN RIM..OUTSIDE REAR DRIVE…MAJOR DEFECT</t>
  </si>
  <si>
    <t>TO BE REPLACED SATURDAY 
AT 505 SOUTHGATE</t>
  </si>
  <si>
    <t>AYRSHOP REPLACED RIM IN OUR YARD</t>
  </si>
  <si>
    <t>PLEASE REPLACE BOTH WIPER BLADES - ONE OF THEM IS BROKEN</t>
  </si>
  <si>
    <t>RADIO NOT WORKING</t>
  </si>
  <si>
    <t>NO ISSUES FOUND WITH THIS RADIO</t>
  </si>
  <si>
    <t>TRACTOR ABS LIGHT ON IN DASH</t>
  </si>
  <si>
    <t>DRIVER DOOR LATCH ON BOTH SIDES IS STICKING - DOORS HARD TO CLOSE</t>
  </si>
  <si>
    <t>LUBBED LATCHES ON BOTH SIDES - NO FURTHER ACTION TAKEN</t>
  </si>
  <si>
    <t>ESBAR ENGINE HEATER FAILED</t>
  </si>
  <si>
    <t>COMPLETED A SERVICE TO THIS UNIT</t>
  </si>
  <si>
    <t>BAND CLAMP ON RIGHT SIDE EXHAUST FLEX PIPE IS CRACKED</t>
  </si>
  <si>
    <t>FRON DRIVE LEFT SIDE BRAKE CHAMBER BLOWN</t>
  </si>
  <si>
    <t xml:space="preserve">PASSENGER SIDE HEAD LIGHT OUT   </t>
  </si>
  <si>
    <t>REPAIRED AT AYRSHOP - DRIVER STOPPED TO HAVE REPAIRED</t>
  </si>
  <si>
    <t>ESBAR ENGINE HEATER NOT WORKING - DISPLAY READS ERROR</t>
  </si>
  <si>
    <t>BOTH ESBAR HEATERS ARE WORKING ON THIS UNIT - NOT SURE IF DYLAN FOUND AN ISSUE OR NOT</t>
  </si>
  <si>
    <t>2 X VISOR LIGHT OUT - NOT SURE WHICH SIDE</t>
  </si>
  <si>
    <t>REPAIRED ONE LEFT SIDE BREATHER LIGHT, ALL VISOR LIGHTS ARE WORKING - ALL OTHER LIGHTS LOOK FINE</t>
  </si>
  <si>
    <t>ESBAR CAB HEATER NOT WORKING - DISPLAY READS ERROR</t>
  </si>
  <si>
    <t>LEFT HOOD SUPPORT CABLE BROKEN</t>
  </si>
  <si>
    <t>BOSE SEAT TURNS ON BUT WONT STAY ON - SWITCHES OFF BY ITSELF</t>
  </si>
  <si>
    <t xml:space="preserve">REPLACED SWITCH </t>
  </si>
  <si>
    <t>SECONDARY TANK SLOW TO AIR UP - DRIVER SUSPECTS THE CROSS OVER VALVE OR LINE</t>
  </si>
  <si>
    <t>REPAIRED BY ALWAYS ON CALL</t>
  </si>
  <si>
    <t>SECONDARY AIR TANK BUILDING PRESSURE NORMALLY WHEN CHECKED BY ALWAYS ON CALL - FILLED AND DRAINED AIR TANKS MULTIPLE TIMES</t>
  </si>
  <si>
    <t>BRAKES STICKING AND SLOW TO RELEASE</t>
  </si>
  <si>
    <t>DYLAN RAN MULTIPLE TESTS AND INSPECTIONS BUT COULD NOT LOCATE AN ISSUE</t>
  </si>
  <si>
    <t xml:space="preserve">TRACTOR LOSES ALL AIR OVERNIGHT - </t>
  </si>
  <si>
    <t>1 VISOR LIGHT OUT..1 SKIRT LIGHT OUT</t>
  </si>
  <si>
    <t>SHAGS NOTED THAT ALL TIRES WILL NEED REPLACED SOON 1/13/20</t>
  </si>
  <si>
    <t>TIRES HAVE BEEN ROTATED AND REPLACED</t>
  </si>
  <si>
    <t>COOLENT WARNING COMES ON DASH - COOLANT TEMP FINE AND RESIVIOR FULL - TRUCK IS  NOT LOSING COOLANT - PLEASE CHECK SENSOR IN RESIVIOR</t>
  </si>
  <si>
    <t>REPLACED COOLANT LEVEL SENSOR</t>
  </si>
  <si>
    <t>RETORQUE ALL AXLES FROM TIRE REPLACEMENT AND ROTATION</t>
  </si>
  <si>
    <t>CENTER VISOR LIGHT NOT WORKING</t>
  </si>
  <si>
    <t>HD A SERVICE DUE IN FEBRUARY 2020</t>
  </si>
  <si>
    <t>left side mudflap hanger damaged and needs replaced</t>
  </si>
  <si>
    <t>re-installed mudflap hanger and mudflap</t>
  </si>
  <si>
    <t>drivers side door not closing properly please adjust latch</t>
  </si>
  <si>
    <t>repaired drivers side door latch</t>
  </si>
  <si>
    <t>step trim has fallen off on drivers side</t>
  </si>
  <si>
    <t>I gave the step trim for this unit to Justin who used it for unit 1827 and then ordered one for unit 1826</t>
  </si>
  <si>
    <t>INSTALLED NEW TRIM</t>
  </si>
  <si>
    <t>please replace CB antena's with stainless steel. Driver is complaining about lack of range on his CB</t>
  </si>
  <si>
    <t>REPLACED ANTENNA'S</t>
  </si>
  <si>
    <t>please replace exhaust clamps with stainless steel ones</t>
  </si>
  <si>
    <t>UPDATED TO STAINLESS STEEL CLAMPS</t>
  </si>
  <si>
    <t xml:space="preserve">drivers side door not latching properly </t>
  </si>
  <si>
    <t>LUBED LATCH</t>
  </si>
  <si>
    <t>pedal does not completely lift…….cruise and jake will not engage…</t>
  </si>
  <si>
    <t>needs blue glad hand replaced it has a broken tip and will not hold to trailer anymore</t>
  </si>
  <si>
    <t>SAT SUN AND MON ALL DAY</t>
  </si>
  <si>
    <t>COMPLETED BY ALWAYS ON CALL 5/23/17</t>
  </si>
  <si>
    <t>skirt light out on drivers side</t>
  </si>
  <si>
    <t>REPLACED 1 SKIRT LIGHT</t>
  </si>
  <si>
    <t>PLEASE REPLACE WINSHIELD WIPERS</t>
  </si>
  <si>
    <t>REPLACED WIPERS</t>
  </si>
  <si>
    <t>DRIVERS SIDE WINDOW SLOW TO GO UP</t>
  </si>
  <si>
    <t>LUBBED PASS SIDE WINDOW TRACK</t>
  </si>
  <si>
    <t>cracked exhaust pipe driver side</t>
  </si>
  <si>
    <t>NO CRACKS FOUND 7/26/17 - I FOUND CRACK IT IS ON DRIVER'S SIDE INSIDE OF TOP ELBOW NEAR CAB - PARTS ON ORDER 7/31/17 - PARTS IN 8/14/17</t>
  </si>
  <si>
    <t>driver seat arm rest not adjusting</t>
  </si>
  <si>
    <t>ordering new arm rest Aug 25</t>
  </si>
  <si>
    <t>left headlight out</t>
  </si>
  <si>
    <t>Licence plate light out</t>
  </si>
  <si>
    <t>replaced lic plate light.</t>
  </si>
  <si>
    <t>drivers side window binding</t>
  </si>
  <si>
    <t>READY TO GO TO AYRSHOP</t>
  </si>
  <si>
    <t>WENT TO AYRSHOP</t>
  </si>
  <si>
    <t xml:space="preserve">please check 5th wheel for excessive </t>
  </si>
  <si>
    <t>REPLACED 5TH WHEEL</t>
  </si>
  <si>
    <t>foot valve sticking</t>
  </si>
  <si>
    <t>stop engine light on</t>
  </si>
  <si>
    <t>FROZEN EGR DELTA PRESSURE SENSOR AND ENGINE SOFTWARE OUT OF DATE</t>
  </si>
  <si>
    <t>retorque rear drive axle and left side front drive axle</t>
  </si>
  <si>
    <t>RETORQUED WHEELS.</t>
  </si>
  <si>
    <t>NO FAULT CODES IN THE ECM</t>
  </si>
  <si>
    <t xml:space="preserve">OUT OF SERVICE GOING TO AYRSHOP  </t>
  </si>
  <si>
    <t>COOLANT LEAK ON DRIVERS SIDE OF ENGINE NEAR RADIATOR</t>
  </si>
  <si>
    <t>UNIT NEEDS TO GO TO THE AYR SHOP TO HAVE THE RAD REPLACED IT IS LEAKING AROUND THE TOP SEAL.  ALSO NEED TO FIX COOLANT LEAK ON UPPER RAD PIPE AT ENGINE SIDE./  SHOP REPLACED THE THERMOSTATS</t>
  </si>
  <si>
    <t>Brake pedal sticking</t>
  </si>
  <si>
    <t>SHOP FREE'D UP THE PEDAL.</t>
  </si>
  <si>
    <t>Passenger side door very difficult to close</t>
  </si>
  <si>
    <t>SHOP LUBED THE DOOR LATCHES.</t>
  </si>
  <si>
    <t>SHOP REPLACED THE LIC LIGHT AND PIGTAIL</t>
  </si>
  <si>
    <t>SHOP SAYS ON DUE TO BRAKE PEDAL STICKING</t>
  </si>
  <si>
    <t>FIFTH WHEEL SLIDE RAIL STOP BLOCKS MISSING FROM 5TH WHEEL REPLACEMENT ON OCT 20TH 2017</t>
  </si>
  <si>
    <t>SHOP SAYS THE NEW SLIDE DOES NOT NEED THE STOP BLOCKS.</t>
  </si>
  <si>
    <t>stability control light on.</t>
  </si>
  <si>
    <t>check engine light on</t>
  </si>
  <si>
    <t>SHOP REPLACED THE OUTLET NOX SENSOR</t>
  </si>
  <si>
    <t>DRIVERS SIDE WINDOW SEEMS TO BE BINDING AND SLOW TO GO UP OR DOWN</t>
  </si>
  <si>
    <t>LUBED THE WINDOW TRACK.</t>
  </si>
  <si>
    <t>REPLACED THE PASSENGER SIDE HEADLIGHT BULB.</t>
  </si>
  <si>
    <t>2x VISOR LIGHTS OUT</t>
  </si>
  <si>
    <t>REPLACED TWO VISOR LIGHTS AND REPAIRED WIRING.</t>
  </si>
  <si>
    <t>SERVICE COMPLETED</t>
  </si>
  <si>
    <t>FENDER BRAKET BROKEN ON DRIVERS SIDE.</t>
  </si>
  <si>
    <t>TOOK PICTURES ORDERED THE PART - REPLACED FENDER BRACKETS</t>
  </si>
  <si>
    <t>AIR LEAK ON TOP OF TRANSMISSION</t>
  </si>
  <si>
    <t>NO LEAKS FOUND.</t>
  </si>
  <si>
    <t>OUTSIDE TEMP GAUGE NOT READING CORRECT TEMP.</t>
  </si>
  <si>
    <t>REPLACED THE OUTSIDE AIR TEMP SENSOR.</t>
  </si>
  <si>
    <t>ENGINE FAN RUNNING ALMOST CONSTANTLY - ENGINE RUNS AT NORMAL TEMPERATURE - REPORTED AGAIN ON AUG 3 2018</t>
  </si>
  <si>
    <t xml:space="preserve">DRIVERS SIDE DOOR HANDLE IS BROKEN - STEEL RETURN SPRING HAS BROKEN AND FALLEN OUT </t>
  </si>
  <si>
    <t>COULDN’T FIND ANYTHING WRONG WITH EITHER INNER OR OUTTER HANDLE</t>
  </si>
  <si>
    <t>air leak top of transmission</t>
  </si>
  <si>
    <t>LICENCE PLATE LIGHT OUT</t>
  </si>
  <si>
    <t>ENGINE FAN KICKING IN AND OUT REGULARILY</t>
  </si>
  <si>
    <t>ALL SKIRT LIGHTS, UNDER CAB LIGHTS AND BREATHER LIGHTS ARE NOT WORKING. DRIVER THINKS THIS IS LIKELY AN ISSUE WITH BROKEN WIRING BLOWING FUSES</t>
  </si>
  <si>
    <t>AS58576</t>
  </si>
  <si>
    <t>WAITING WORK ORDER 1/18/19</t>
  </si>
  <si>
    <t>AS58885</t>
  </si>
  <si>
    <t>REAR TURN SIGNAL ON LEFT SIDE NOT WORKING</t>
  </si>
  <si>
    <t>PASSENGER MUD FLAP MISSING</t>
  </si>
  <si>
    <t>AS59229</t>
  </si>
  <si>
    <t>SKIRT LIGHT OUT</t>
  </si>
  <si>
    <t>COMPLETED BY DYLAN IN YARD 5/1/19</t>
  </si>
  <si>
    <t>DRIVER SIDE LOW BEAM OUT</t>
  </si>
  <si>
    <t>I CHECKED LIGHTS AND THIS IS WORKING 6/19/19</t>
  </si>
  <si>
    <t>UPPER STACK MOUNT AT TOP OF CAB IS WORN AND NEEDS REPLACED</t>
  </si>
  <si>
    <t>COMPLETED IN SLEEMAN YARD</t>
  </si>
  <si>
    <t>PASSENGER SIDE FRONT DRIVE AIR BAG BLOWN</t>
  </si>
  <si>
    <t xml:space="preserve">DRIVER'S SIDE SEAT SWITCH IS BROKEN </t>
  </si>
  <si>
    <t>SWITCH IS DEFECTIVE AS PER DYLAN 5/24/19 - PARTS ON ORDER 6/5/19 - PARTS IN 7/3/19</t>
  </si>
  <si>
    <t xml:space="preserve">CRUISE CONTROL AND JAKE BRAKE DE-ACTIVATE ON THEIR OWN - MIGHT BE AN ISSUE WITH THE CLUTCH SWITCH 6/28/19 - CRUISE AND ENGINE BRAKE NOW NOT WORKING 7/22/19 </t>
  </si>
  <si>
    <t>LEFT SIDE REAR SIGNAL LIGHT NOT WORKING</t>
  </si>
  <si>
    <t>LEFT REAR SIGNAL LIGHT OUT</t>
  </si>
  <si>
    <t>ESBAR ENGINE HEATER DISPLAYS ERROR CODE</t>
  </si>
  <si>
    <t>DUE FOR PMB SERVICE</t>
  </si>
  <si>
    <t>POGO STICK IS BROKEN OFF - PLEASE REPLACE</t>
  </si>
  <si>
    <t>REPLACED BY DYLAN</t>
  </si>
  <si>
    <t>LEFT REAR TURN SIGNAL NOT WORKING</t>
  </si>
  <si>
    <t>2 BREATHER LIGHTS OUT ON PASSENGER SIDE</t>
  </si>
  <si>
    <t>DRIVERS SIDE BACK OF CAB LIGHT OUT</t>
  </si>
  <si>
    <t>DRIVERS SIDE CB ANTENNA MISSING</t>
  </si>
  <si>
    <t>REPLACED ANTENNA</t>
  </si>
  <si>
    <t>EXHAUST BELLOWS PIPE BETWEEN SCR AND Y PIPE IS CRACKED</t>
  </si>
  <si>
    <t>REPLACED PIPE</t>
  </si>
  <si>
    <t>TRUCK NOT POWERING TRAILER LIGHTS</t>
  </si>
  <si>
    <t>FIXED BY ELITE REPAIRS</t>
  </si>
  <si>
    <t>DRIVER CALLED ELITE AS A TRAILER ISSUE - REPLACED FUSE IN TRUCK</t>
  </si>
  <si>
    <t>PASSENGER SIDE WINDSHIELD HAS A 6 INCH CRACK STATRING FROM BOTTOM CENTER</t>
  </si>
  <si>
    <t>REPLACED ON WEEKEND BY GO-GLASS</t>
  </si>
  <si>
    <t>REPLACED BOTH WINDSHIELDS</t>
  </si>
  <si>
    <t>PASSENGER SIDE BACK OF CAB LIGHT OUT</t>
  </si>
  <si>
    <t>PARTS ON ORDER 4/15/20 - REPLACED LIGHT</t>
  </si>
  <si>
    <t xml:space="preserve">LOW COOLANT BUZZER CAME ON WHILE DRIVING - DRIVER GOT OUT TO ASSESS AND ALL COOLANT LEVEL WAS FINE - NEXT TIME DRIVER TURNED TRUCK OFF AND BACK ON - BUZZER WAS OFF - SENSOR WAS RECENTLY REPLACED ON THIS TRUCK </t>
  </si>
  <si>
    <t>NO ISSUE FOUND - COULD NOT DUPLICATE 4/15/20 -SPOKE WITH DRIVER THIS IS AN ONGOING ISSUE 4/17/20 - TRUCK WENT TO AYRSHOP MAY 1ST, EXTENSIVE SHOP DIAGNOSTIC COMPLETED AT THIS TIME - STILL NO ISSUE FOUND 5/1/20</t>
  </si>
  <si>
    <t>LOW COOLANT WARNING BUZZER GOES OFF BUT COOLANT LEVEL IS FINE</t>
  </si>
  <si>
    <t>SURGE TANK REPLACED</t>
  </si>
  <si>
    <t>all visor lights working</t>
  </si>
  <si>
    <t>visor light out on left side</t>
  </si>
  <si>
    <t>multiple visor lights out IT LOOKS LIKE 1 VISOR LIGHT WAS RELACED ON THE WEEKEND IT WAS NOT THE LIGHT THAT WAS OUT BUT STILL THE ONE THAT WAS PUT IN IS NOT WORKING</t>
  </si>
  <si>
    <t>there is a leaking air line at firewall on drivers side at airline cluster plate. This leak exceeds air loss rate and is a major defect.</t>
  </si>
  <si>
    <t xml:space="preserve">this has been temporarily fixed </t>
  </si>
  <si>
    <t>right rear brake chamber leaking air</t>
  </si>
  <si>
    <t>WED, THUR AND FRI AFTER 6:30PM</t>
  </si>
  <si>
    <t>replace old exhaust clamps with stainless steel</t>
  </si>
  <si>
    <t>replaced</t>
  </si>
  <si>
    <t>uneven wear on steer tires and rear axle tires - truck may need an alighnment</t>
  </si>
  <si>
    <t>NEEDS TO GO TO AYRSHOP TO ADDRESS SCRUB ISSUE ON STEER TIRES - ADJUSTED TOE SETTINGS 4/8/17</t>
  </si>
  <si>
    <t>truck shakes when driving - truck may need an alighnment</t>
  </si>
  <si>
    <t>ADJUSTED TOE SETTINGS AND RIDE HEIGHT 4/8/17</t>
  </si>
  <si>
    <t>tail light out</t>
  </si>
  <si>
    <t>REPAIRED WIRING TO TAIL LIGHT</t>
  </si>
  <si>
    <t>center visor light out</t>
  </si>
  <si>
    <t>REPLACED CENTER VISOR LIGHT</t>
  </si>
  <si>
    <t>drivers side door not closing properly</t>
  </si>
  <si>
    <t>REPLACED DRIVERS SIDE DOOR LATCH</t>
  </si>
  <si>
    <t>vibration at end of power stoke sounds like a grinding noise</t>
  </si>
  <si>
    <t>WAITING FOR DRIVE TEST WITH DRIVER- ADJUSTED RIDE HEIGHT-ADJUSTED CLUTCH AND REPLACED VISOR LIGHT</t>
  </si>
  <si>
    <t>steer tires down to wear bars.</t>
  </si>
  <si>
    <t>LEFT STEER TIRE AT 4/32 AND RIGHT AT 8/32 CHECKED MAY 13 2017</t>
  </si>
  <si>
    <t>RETORQUE STEER AXLE BOTH SIDES FROM TIRE REPAIR DONE ON JULY LONG WEEKEND</t>
  </si>
  <si>
    <t>RETORQUE STEER AXLE TIRES</t>
  </si>
  <si>
    <t>rear axle tires at 3-4mm</t>
  </si>
  <si>
    <t>ALL DRIVE TIRES REPLACED</t>
  </si>
  <si>
    <t>completed at shop</t>
  </si>
  <si>
    <t>BLUE COOLANT HOSE NEAR THAT CONNECTS UPPER RAD HOSE TO WATER PUMP IS LEAKING</t>
  </si>
  <si>
    <t>Engine brake and cruise control not working</t>
  </si>
  <si>
    <t>REPLACED THE CLUTCH SWITCH, AND ADJUSTED THE CLUTCH TO SPEC.</t>
  </si>
  <si>
    <t>coaxle cable for CB broken on passenger side mirror</t>
  </si>
  <si>
    <t>ORDERED A NEW CB CABLE ON SEPT 20 - REPLACED CABLE AND REMOVED OLD CABLE</t>
  </si>
  <si>
    <t>retorque all axles from safety</t>
  </si>
  <si>
    <t>truck not activating reversomatic</t>
  </si>
  <si>
    <t>repaired broken wire in green cord</t>
  </si>
  <si>
    <t>bad vibration coming from drive line….also humming noise</t>
  </si>
  <si>
    <t>ALL DAY MON AND TUES</t>
  </si>
  <si>
    <t>REGULAR DRIVER ALSO REPORTED NO ISSUE.</t>
  </si>
  <si>
    <t>CHECKED RIDE HEIGHT OK, RD TESTED NO NOISE HEARD OR VIBRATION FELT.</t>
  </si>
  <si>
    <t>bottom bolts on wind deflector loose…shakes against the cab</t>
  </si>
  <si>
    <t>RESECURED THE WIND DEFLECTOR</t>
  </si>
  <si>
    <t>ENGINE AND AFTERTREATMENT SOFTWARE OUT OF DATE</t>
  </si>
  <si>
    <t>Radiator has slow coolant leak</t>
  </si>
  <si>
    <t>RESECURED THE COOLANT HOSE CLAMP AT THE LOWER RAD PIPE</t>
  </si>
  <si>
    <t>AIR LINES AND ELECTRICAL LINES NEED TO BE RE-WRAPPED</t>
  </si>
  <si>
    <t>SHOP RE-WARPED THE AIR LINES AND LIGHT CORD.</t>
  </si>
  <si>
    <t>SHOP REPAIRED THE AIR LEAKS ON THE TRANSMISSION.</t>
  </si>
  <si>
    <t>LIGHT SHORTED OUT AND SMOKED THROUGH THE AIR INTAKE INTO THE CAB</t>
  </si>
  <si>
    <t>BRACKET FOR PASSENGER SIDE MIRROR SIGNAL LIGHT BROKEN - CURRENTLY CABLE TIED TOGETHER</t>
  </si>
  <si>
    <t>ORDERED A BRACKET DEC 22  SHOP INSTALLED THE NEW BRACKET</t>
  </si>
  <si>
    <t>Yellow Check engine light on. Our Fault Code Report indicates Low Voltage. This did not start first thing in the morning on a cold day it came on near the end of the drivers day</t>
  </si>
  <si>
    <t>DONE BY SHOP NO FAULTS FOUND.</t>
  </si>
  <si>
    <t>TAIL LIGHTS NOT WORKING ON TRAILER - NEEDS TRL FUSE REPLACED</t>
  </si>
  <si>
    <t>SERVICE CALL PLACED FOR FUSE REPLACEMENT</t>
  </si>
  <si>
    <t>SENT TO AYRSHOP 1/24/18</t>
  </si>
  <si>
    <t>CEL LIGHT ON - TRUCK NOT RUNNING AT PEAK POWER AND NOT GETTING REGULAR BOOST FROM TURBO.</t>
  </si>
  <si>
    <t>REPLACED ACTUATOR DUE TO FAULTY WIRING</t>
  </si>
  <si>
    <t>left rear parking light not working…signal works</t>
  </si>
  <si>
    <t>2 right side skirt lights out</t>
  </si>
  <si>
    <t>REPLACED BOTH THE LIGHTS.</t>
  </si>
  <si>
    <t>2x STEP RIVETS</t>
  </si>
  <si>
    <t>2 x UTILITY LIGHT ON BACK OF CAB IS OUT</t>
  </si>
  <si>
    <t>REPLACED BOTH THE LIGHT BULBS FOR THE BACK OF THE CAB LIGHTS.</t>
  </si>
  <si>
    <t>retorque both rear drive axles on both sides</t>
  </si>
  <si>
    <t>CONFIRMED BY KYLE 3/19/18</t>
  </si>
  <si>
    <t>Esbar Cab heater exhausting thick smoke ( Outside of Cab ) and will not stay running</t>
  </si>
  <si>
    <t>replaced broken esbar exaust and serviced unit</t>
  </si>
  <si>
    <t>WAITING FOR AYRSHOP COMMENTS</t>
  </si>
  <si>
    <t>UNIT NEEDS TO GO TO THE SHOP FOR DEF PUMP MODULE AND WIRING DIAGNOSTICS. PARTS NOT COMING IN UNTIL APRIL 6TH 2018 - SHOP REPLACED THE HARNESS</t>
  </si>
  <si>
    <t>SHOP REPLACED THE LIC PLATE LIGHT.</t>
  </si>
  <si>
    <t>WINDSHIELD WASHER RESIVIOR CRACKED AND LEAKING</t>
  </si>
  <si>
    <t>COLLIN CONFIRMED WASHER TANK HAS BEEN REPLACED</t>
  </si>
  <si>
    <t>SAFTETY CABLE UNDER HOOD HAS CORREDED AND SNAPPED</t>
  </si>
  <si>
    <t>repaired broken cable</t>
  </si>
  <si>
    <t>FENDER SUPPORTS ON BOTH SIDES ARE BROKEN</t>
  </si>
  <si>
    <t>AT WOODSTOCK TRUCK SHOW</t>
  </si>
  <si>
    <t>LIKELY DONE WAITING FOR PETERBILT COMMENTS</t>
  </si>
  <si>
    <t>TOOK PICTURES ORDERED THE PART - PARTS ON ORDER 5/12/18 - REPAIRED AT AYRSHOP</t>
  </si>
  <si>
    <t>CROSS MEMBER BEHIND 5TH WHEEL HAS BRIKEN WELDS ON BOTH SIDES</t>
  </si>
  <si>
    <t>PARTS ON ORDER 5/17/18 - SHOP REPLACED SLIDE TRACK</t>
  </si>
  <si>
    <t>AIR LEAK AT 5TH WHEEL CYLINDER</t>
  </si>
  <si>
    <t>DRIVER TOOK TO AYRSHOP</t>
  </si>
  <si>
    <t>REPLACED 5TH WHEEL CYLINDER AND FITTINGS</t>
  </si>
  <si>
    <t>replaced the breather light</t>
  </si>
  <si>
    <t>TRUCK NOT POWERING REVERS-O-MATIC</t>
  </si>
  <si>
    <t>rlaced wireing and fuses</t>
  </si>
  <si>
    <t>3 engine codes have come up</t>
  </si>
  <si>
    <t xml:space="preserve">FAULT CODES ARE TOO OLD TO BE TROUBLE SHOT RAN THE VERIFICATION CYCLES AND HAD NO CODES RETURN.  CLEARED ALL THE CODES. </t>
  </si>
  <si>
    <t>REPLACED DPF PRESSURE SENSOR</t>
  </si>
  <si>
    <t>MAJOR DEFECT** DRIVER SIDE DOOR NOT LATCHING PROPERLY</t>
  </si>
  <si>
    <t>FRI AFTER 5PM AND WEEKEND</t>
  </si>
  <si>
    <t>replaced the door latch</t>
  </si>
  <si>
    <t>lights fixed</t>
  </si>
  <si>
    <t>BRAKE PEDAL IS STICKING</t>
  </si>
  <si>
    <t>CLEANED INTERNAL PARTS AND RE-ASSEMBLED</t>
  </si>
  <si>
    <t>COOLANT LEAK FROM UPPER RAD HOSE AT BLUE RUBBER PIPE CONNECTION</t>
  </si>
  <si>
    <t>LIGHT WHISTLE SOUND COMING FROM ENGINEWHILE TURBO IS AT FULL BOOST</t>
  </si>
  <si>
    <t>AIR LEAK ON DRIVERS SIDE REARMOST AIR BAG - WE THINK IT IS THE FITTING BUT COULD NOT PIN POINT</t>
  </si>
  <si>
    <t>RESECURED FITTING</t>
  </si>
  <si>
    <t xml:space="preserve">MOUNTING BOLT BROKEN FOR EXHAUST STACK ON PASSENGER SIDE </t>
  </si>
  <si>
    <t>REPLACED PIN AND BUSHINGS</t>
  </si>
  <si>
    <t>ATC LIGHT ON, ABS LIGHT ON AND CHECK ENGINE LIGHT ON.</t>
  </si>
  <si>
    <t>REPLACED LEFT REAR WHEEL SPEED SENSOR</t>
  </si>
  <si>
    <t>WATER LEAKING INTO TRUCK WHERE AC EVAPORATOR IS - FLOOR VERY WET AROUND PASSENGER SIDE.</t>
  </si>
  <si>
    <t>USED QUICK SEAL TO REPAIR LEAK AT HVAC BOX MOUNTS ON FIREWAL</t>
  </si>
  <si>
    <t>PASSENGER SIDE SKIRT LIGHTS OUT - DRIVER CAN SEE A SPLIT WIRE</t>
  </si>
  <si>
    <t>CLUTCH OUT OF ADJUSTMENT  - HAS NO FREE PLAY AT TOP OF CLUTCH DRIVER WOULD PREFER TO HAVE 1.5 - 2 INCHES OF FREE TRAVEL BEFORE ENGAUGING CLUTCH.</t>
  </si>
  <si>
    <t>REPLACED ADJUSTOR</t>
  </si>
  <si>
    <t>AS58705</t>
  </si>
  <si>
    <t>ALL ACCESSORY LIGHTS OUT ON BOTH SIDE - BREATHER, SKIRT AND UNDER CAB</t>
  </si>
  <si>
    <t>TRUCK IS NOT POWERING INTERIOR LIGHTS FOR TRAILER - DRIVER THIS WITH ANOTHER TRIALER TO ENSURE IT IS A TRUCK ISSUE</t>
  </si>
  <si>
    <t>DRIVER FOUND BLOWN FUSE AND REPLACED IT</t>
  </si>
  <si>
    <t>ATC LIGHT ON, ABS LIGHT ON AND SPEEDOMETER IS NOT ACCURATE</t>
  </si>
  <si>
    <t>AS58969</t>
  </si>
  <si>
    <t>BREATHER LIGHT OUT</t>
  </si>
  <si>
    <t>LEFT SIDE REAR RUNNING LIGHT IS OUT - FLASHER STILL WORKING</t>
  </si>
  <si>
    <t>WAITING FOR WORK ORDER 2/25/19</t>
  </si>
  <si>
    <t>AS59297</t>
  </si>
  <si>
    <t>DRIVER'S SIDE EXHAUST STACK MOUNT AT TOP OF CAB IS BROKEN - CURRENTLY ZIP TIED TOGETHER.</t>
  </si>
  <si>
    <t>5TH WHEEL WILL NOT MOVE, SOUNDS LIKE IT WILL REASE BUT WON'T SLIDE</t>
  </si>
  <si>
    <t>TRANSMISSION COOLER LINE ON  RIGHT SIDE OF RAD NEEDS TO BE RE-BOLTED - BOTH BOLTS ARE MISSING</t>
  </si>
  <si>
    <t>HEATER ONLY WORKING ON HIGH SPEED - DRIVER COMMENTED THAT IT MAY NEED A RESISTOR REPLACED</t>
  </si>
  <si>
    <t>WAITING FOR WORK ORDER 2/3/19</t>
  </si>
  <si>
    <t>AS59366</t>
  </si>
  <si>
    <t>PASSENGER SIDE DOOR LOCK "POP UP" IS MISSING</t>
  </si>
  <si>
    <t>PLEASE CHECK BOTH STEER TIRES - DRIVERS SIDE IS LOW AND WEARING ON THE OUTSIDE OF THE TIRE</t>
  </si>
  <si>
    <t>CONFIRMED AS COMPLETE BY ROB NEIL 3/15/19</t>
  </si>
  <si>
    <t xml:space="preserve">CHECKED ON FEB 25 - SCHEDULED FOR REPLACEMENT NEXT TIME TIRE GUY VISITS SLEEMAN YARD </t>
  </si>
  <si>
    <t>FIFTH WHEEL DOES NOT SLIDE - CYLINDER PINS WILL NOT RELEASE - ISSUE NOT FIXED ON WORK ORDER AS59297</t>
  </si>
  <si>
    <t>DRIVER'S SIDE REAR BRAKE CHAMBER IS LEAKING AIR</t>
  </si>
  <si>
    <t>GREEN ELECTRICAL SUPPLY CORD IS SEPARATING AT TRIALER PLUG - I SUSPECT THERE MAY ALSO BE CORROSION IN THE PLUG</t>
  </si>
  <si>
    <t>LEFT SIDE TAIL LIGHT OUT - BLINKER STILL WORKING</t>
  </si>
  <si>
    <t>REPAIRED BY AYRSHOP 5/24/19</t>
  </si>
  <si>
    <t>REAR PARKING LIGHT OUT ON DRIVERS SIDE</t>
  </si>
  <si>
    <t>ALL 6 FENDER MOUNTING BRACKETS ARE BROKEN</t>
  </si>
  <si>
    <t>COMPLETED BY PETERBILT</t>
  </si>
  <si>
    <t>YELLOW POWER CORD END NEEDS REPLACED</t>
  </si>
  <si>
    <t>ONE BREATHER LIGHT OUT ON RIGHT SIDE - WIRE IS BROKEN</t>
  </si>
  <si>
    <t>RETORQUE DRIVE AXLES BOTH SIDES</t>
  </si>
  <si>
    <t>MIRROR SIGNAL LIGHTS MISSING MORE THAN HALF OF THE DIODES ON BOTH SIDES - PLEASE REPLACE</t>
  </si>
  <si>
    <t>CROSS MEMBER BEHIND 5TH WHEEL CRACKED</t>
  </si>
  <si>
    <t>RE-WELDED CROSS MEMBER - PETERBILT WORKING WITH HOLLAND TO HAVE ALL 5TH WHEEL SLIDE PLATES REPLACED</t>
  </si>
  <si>
    <t>MUDFLAP HANGER HAS CRACKED WELD ON DRIVERS SIDE</t>
  </si>
  <si>
    <t>REPLACED HANGER BRACKET</t>
  </si>
  <si>
    <t>PLEASE TIGHTEN U BOLTS ON FRAME</t>
  </si>
  <si>
    <t xml:space="preserve">CHECKED TORQUE SPECS, NO ISSUE FOUND, </t>
  </si>
  <si>
    <t>WATER LEAKING ONTO FLOOR ON PASSENGER SIDE - NOT SURE FROM WHERE MAYBE A/C</t>
  </si>
  <si>
    <t>REPLACED PASS SIDE WINDOW</t>
  </si>
  <si>
    <t>WHITE AIR LINE ON DRIVERS SIDE OF ENGINE HAS AN AIR LEAK AT CONNECTION RIGHT BESIDE DIPSTICK</t>
  </si>
  <si>
    <t xml:space="preserve">COMLPETED BY PETERBILT MISSISSAUGA </t>
  </si>
  <si>
    <t>AUDIBLE AIR LEAK AT FITTING ON SUPPLY LINE GLAD HAND - WHERE ALUMINUM HANDLE MEETS BRASS FITTING</t>
  </si>
  <si>
    <t>REPAIRED BY AYRSHOP IN YARD - NO ISSUE FOUND</t>
  </si>
  <si>
    <t>AT AYRSHOP 10/17/19 - COMPLETE 10/25/19</t>
  </si>
  <si>
    <t>RIGHT SIDE HUB SEAL ON STEER AXLE HAS SLOW LEAK</t>
  </si>
  <si>
    <t>AT AYRSHOP 10/17/19</t>
  </si>
  <si>
    <t>PASSENGER DOOR STICKS AND SOMETIMES WILL NOT OPEN FROM THE OUTSIDE</t>
  </si>
  <si>
    <t>REPAIRED DOOR</t>
  </si>
  <si>
    <t>VISOR LIGHT FLICKERS - LEFT SIDE OF MIDDLE CLUSTER</t>
  </si>
  <si>
    <t>REPLACED VISOR LIGHT AND RED BACK OF CAB LIGHT - ALL OTHER LIGHTS A GOOD</t>
  </si>
  <si>
    <t>ALL WIRING IN YELLOW CORD IS GOOD - REPLACED BLOWN TRAILER SUPPLY FUSE</t>
  </si>
  <si>
    <t>BACK OF CAB LIGHT OUT ON DRIVERS SIDE</t>
  </si>
  <si>
    <t>LEFT REAR TURN SIGNAL/BRAKE LIGHT NOT WORKING</t>
  </si>
  <si>
    <t>BLOWN AIR BAG IN HEARST</t>
  </si>
  <si>
    <t>REPLACED BY PAC-CENTRAL</t>
  </si>
  <si>
    <t>PACCENTRAL CALLED - REPLACED AIRBAG</t>
  </si>
  <si>
    <t>BLOWN AIR BAG IN BEAVERTON</t>
  </si>
  <si>
    <t>DRIVERS SIDE EXHAUST STACK LOOSE - NEEDS CLAMPS REPLACED</t>
  </si>
  <si>
    <t>REPLACED CLAMPS</t>
  </si>
  <si>
    <t xml:space="preserve">REAR AXLE DIFF LOCK DOES NOT SEEM TO BE DISENGAGING </t>
  </si>
  <si>
    <t>COMPLETED AT AYRSHOP 2/4/20</t>
  </si>
  <si>
    <t>REPAIRED LOCK CYLINDER FOR REAR AXLE DIFF LOCK</t>
  </si>
  <si>
    <t>HD A SERVICE DUE IN JANUARY 2020</t>
  </si>
  <si>
    <t>REPLACED 2 REAR BRAKE CHAMBERS</t>
  </si>
  <si>
    <t>EMERGENCY AIRLINE LEAKING</t>
  </si>
  <si>
    <t>REPAIRED BY DRIVER (ARTUR)</t>
  </si>
  <si>
    <t>CUT OFF LEAKING PIECE OF LINE AND REPLACED GLAD HAND</t>
  </si>
  <si>
    <t>CLUTCH SWITCH NOT DISENGAGING CRUISE CONTROL OR ENGINE BRAKE</t>
  </si>
  <si>
    <t>COMPLETED BY AYRSHOP - WAITING FOR WORK ORDERS 4/2/20</t>
  </si>
  <si>
    <t>THIS ISUE WAS BECAUSE FOOT VALVE WAS STICKING</t>
  </si>
  <si>
    <t>REPLACED CORRODED WIRE</t>
  </si>
  <si>
    <t>AUDIBLE AIR LEAK UNDER CAB ON DRIVER'S SIDE  - DRIVER COULD NOT LOCATE SOURCE</t>
  </si>
  <si>
    <t>FOUND AIR LINE WITH AN PIN HOLE - REPAIRED LINE</t>
  </si>
  <si>
    <t>YOLK LEAKING ON REAR AXLE DIFF.</t>
  </si>
  <si>
    <t>REPLACED REAR DIFF SEAL</t>
  </si>
  <si>
    <t>TRUCK LIKELY NEEDS THERMOSTAT REPLACED - NOT GETTING UP TO REGULAR TEMPERATURE.</t>
  </si>
  <si>
    <t>AIR LEAK UNDER CAB</t>
  </si>
  <si>
    <t xml:space="preserve">POWER STEERING BOX LEAKING - </t>
  </si>
  <si>
    <t>AT AYR 6/12/20</t>
  </si>
  <si>
    <t>no dash lights - nav screen working</t>
  </si>
  <si>
    <t>updated software</t>
  </si>
  <si>
    <t>mirrors have no power and no heat</t>
  </si>
  <si>
    <t>all mirrors and lights working</t>
  </si>
  <si>
    <t>drvers side door not closing properly, driver had a very diffucult time getting it closed and called ARYSHOP for assistance. Drivers door did close but is still broken driver is using passenger side door.</t>
  </si>
  <si>
    <t>REPLACED AFFECTED VISOR LIGHTS</t>
  </si>
  <si>
    <t>truck using coolant driver adding 1-2 liters every couple of weeks resivior will drain below minimum level. No visible pooling or leaking</t>
  </si>
  <si>
    <t>PRESSURIZED SYSTEM NO LEAKS FOUND</t>
  </si>
  <si>
    <t>auxillary lights under cab and on air breathers not working on both sides</t>
  </si>
  <si>
    <t>REPAIRED EFFECTED LIGHTS</t>
  </si>
  <si>
    <t xml:space="preserve"> right retension cable for hood broken</t>
  </si>
  <si>
    <t>NEEDS TO GO BACK TO AYRSHOP TO HAVE BACKING PLATES MADE UP - INSTALLED PLATES FOR HOOD CABLES 3/18/17</t>
  </si>
  <si>
    <t>left retension cable broken for hood</t>
  </si>
  <si>
    <t>truck is leaking coolant and has coolant pooloing near bottom of rad when parked.</t>
  </si>
  <si>
    <t>NEEDS TO GO TO AYRSHOP FOR RAD REPLACEMENT- REPLACED RAD</t>
  </si>
  <si>
    <t>COOLANT PUDDLE UNDER TRUCK MONDAY MORNING 7/10/17</t>
  </si>
  <si>
    <t>RE-SECURED DRAIN PLUG</t>
  </si>
  <si>
    <t>DECK PLATE BEHIND CAB LOOSE</t>
  </si>
  <si>
    <t>ORDERED NEW DECK PLATE HOLD DOWN CLAMP.  JULY 8 - replaced 7/31/17</t>
  </si>
  <si>
    <t>pass side door latch not working</t>
  </si>
  <si>
    <t>no faults found…lubed latch</t>
  </si>
  <si>
    <t>driver side steer tire worn unevenly</t>
  </si>
  <si>
    <t>there is minor odd wear on the edge of tire…will advise Matt</t>
  </si>
  <si>
    <t>pass door will not close</t>
  </si>
  <si>
    <t>now</t>
  </si>
  <si>
    <t>RETORQUED ALL WHEELS FROM SAFETY</t>
  </si>
  <si>
    <t>REPLACED TRANSMISSION SUPPLY AIR LINE FITTING</t>
  </si>
  <si>
    <t>1 breather light out on the right side.</t>
  </si>
  <si>
    <t xml:space="preserve">steer tires L/S 5/32 - R/S 8/32 rear drive axle tires L/S 3/32( o/s) - 5/32 (i/s) R/S 6/32(o/s) 7/32(i/s) </t>
  </si>
  <si>
    <t>STEER TIRES HAVE BEEN REPLACED AS WELL AS THE REAR DRIVE TIRES.  THE FRONT DRIVE TIRES ARE AT 13/32NDS</t>
  </si>
  <si>
    <t>driver's side door pops partially open occasionally</t>
  </si>
  <si>
    <t>NO FAULTS FOUND WITH DOOR THE OPERATION IS OK.</t>
  </si>
  <si>
    <t>retorque rear and steer axles from tire replacement</t>
  </si>
  <si>
    <t>no power mirrors and no defog. This has been working intermitttenly. Generally won't work in morning then if fine by afternoon.</t>
  </si>
  <si>
    <t>MON, TUES, WED AND THURS AFTER 6:30PM AND ALL DAY FRI</t>
  </si>
  <si>
    <t>SHOP FOUND NO FAULTS WITH THE MIRRORS.</t>
  </si>
  <si>
    <t>SHOP REPAIRED WIRING AND REPLACED THE LIGHT.</t>
  </si>
  <si>
    <t xml:space="preserve">please check yellow power cord for power </t>
  </si>
  <si>
    <t>REPLACED FUSE AND REPAIRED WIRING.</t>
  </si>
  <si>
    <t>top breather light on both sides are out.</t>
  </si>
  <si>
    <t>driver's side head light out</t>
  </si>
  <si>
    <t>REPLACED HEADLIGHT BULB</t>
  </si>
  <si>
    <t>HEAD LIGHT OUT</t>
  </si>
  <si>
    <t>REPAIRED HEAD LIGHT</t>
  </si>
  <si>
    <t>YELLOW POWER CORD WAS REPAIRED ON WEEKEND BUT NOW AUXILLARY SWITCH IN CAB FOR TRAILER LIGHTS HAS NO POWER AT ALL AND INTERIOR LIGHTS IN TRAILER NOT WORKING</t>
  </si>
  <si>
    <t>REPLACED THE FUSE, TESTED THE YELLOW LIGHT CORD FOR ANY SHORTS AND FOUND NO ISSUES.  POSSIBLE TRAILER BLOWING THE FUSE.</t>
  </si>
  <si>
    <t>AIR LINES TOO LONG AND RUBBING ON FENDER. ELECTRICAL LINES ARE FINE</t>
  </si>
  <si>
    <t>SHORTENED THE AIR LINES TO MATCH THE LIGHT CORDS.</t>
  </si>
  <si>
    <t>SOMETHING LOOSE AND RATLLING INSIDE DRIVERS SIDE DOOR</t>
  </si>
  <si>
    <t>REMOVED THE DRIVERS DOOR PANEL AND FOUND NOTHING RATTELING.  POSSIBLY THE DRIVERS STUFF IN THE DOOR POCKET MAKING THE NOISE.</t>
  </si>
  <si>
    <t xml:space="preserve">fluid leaking at rear of front diff. near drive shaft </t>
  </si>
  <si>
    <t>NEEDS TO GO TO THE AYR SHOP TO HAVE THIS REPLACED.</t>
  </si>
  <si>
    <t>NEED TO BOOK A ROAD TEST WITH A LOADED TRAILER.</t>
  </si>
  <si>
    <t>VIBRATION UNDER PULL</t>
  </si>
  <si>
    <t>rattling noise from inside driver side door.</t>
  </si>
  <si>
    <t>ESBAR CAB AND ENGINE HEATERS WOULD NOT START - DRIVER HAS ADDED CONDITIONER</t>
  </si>
  <si>
    <t>SENT TO AYRSHOP 1/23/18</t>
  </si>
  <si>
    <t>NO COMMENTS MADE</t>
  </si>
  <si>
    <t>DIFF LOCK AIR LINE BROKEN, REAR DIFF WILL NOT LOCK - DRIVER ADDED GREEN ZIP TIE FOR EASY IDENTIFICATION</t>
  </si>
  <si>
    <t>Air line from leveling valve to top of left rear air bag keeps falliang out of fitting - driver has taped together and added green zip tie to help identify the line</t>
  </si>
  <si>
    <t>REPLACED RIVETS WITH STAINLESS BOLTS</t>
  </si>
  <si>
    <t>engine heater FAILING WHEN TEMP BELOW -11</t>
  </si>
  <si>
    <t>REPAIRED BY NORTH HEAT ON OUR YARD</t>
  </si>
  <si>
    <t xml:space="preserve">AT AYR SHOP </t>
  </si>
  <si>
    <t>RIGHT REAR TAIL LIGHT OUT</t>
  </si>
  <si>
    <t>REPLACED THE LIGHT AND PIGTAIL.  REPLACED ONE STEP RIVET.</t>
  </si>
  <si>
    <t>RIGHT SIDE FENDER CLUSTER LIGHT OUT</t>
  </si>
  <si>
    <t>REPLACED ONE SKIRT LIGHT.</t>
  </si>
  <si>
    <t xml:space="preserve">COOLANT PIPE LEAKING ON LOWER RIGHT SIDE OF ENGINE - WHERE RUBBER HOSE MEETS STEEL PIPE.  </t>
  </si>
  <si>
    <t>AS55619 - INSTALLED SECOND GEAR CLAMP</t>
  </si>
  <si>
    <t>DASH LIGHTS SOMETIMES NOT WORKING</t>
  </si>
  <si>
    <t>UPDATED THE DASH CONTROLER TO THE LATEST SOFTWARE.  ALL LIGHTS ARE WORKING.</t>
  </si>
  <si>
    <t>YELLOW CORD HAS NO POWER</t>
  </si>
  <si>
    <t>TESTED THE YELLOW LIGHT CORD AND FOUND BOTH THE CORRECT POWERS AT THE TRAILER END.  NO FAULTS FOUND.</t>
  </si>
  <si>
    <t>ENGINE FAN COMES ON FIRST THING IN THE MORNING AND STAYS UNTIL TRUCK CAN REACH 180 DEGREES  WITH THE FAN RUNNING</t>
  </si>
  <si>
    <t>2X LIGHTS OUT ON RIGHT SIDE BREATHER</t>
  </si>
  <si>
    <t>TUES, THURS AND FRI AFTER 6:30PM AND ALL DAY MONDAY</t>
  </si>
  <si>
    <t>SHOP REPLACED TWO BREATHER LIGHTS</t>
  </si>
  <si>
    <t>LEAK AT TOP OF FUEL TANK ON DRIVERS SIDE - COULD NOT LOCATE BUT MIGHT BE A LOOSE FITTING.</t>
  </si>
  <si>
    <t>AT SINISTER</t>
  </si>
  <si>
    <t>RETIGHTENED THE FUEL LINES AND THE FUEL LEVEL SENSOR.  LET US KNOW IF THE ISSUE CONT.  THE TANK WAS JUST POLISHED SO I DID NOT HAVE MUCH TO GO OFF OF FOR SEEING THE PROBLEM.</t>
  </si>
  <si>
    <t>REVERSE ALARM NOT WORKING</t>
  </si>
  <si>
    <t>BACK UP ALARM AND LIGHT ARE WORKING AND WORKED FOR 5MIN WHILE I WIGGLED TESTED THE HARNESS.</t>
  </si>
  <si>
    <t>RETORQUE DRIVE TIRES FROM REPLACEMENT</t>
  </si>
  <si>
    <t>RETORQUE REAR DRIVES BOTH SIDES FROM TIRE REPAIR OR SERVICE COMPLETED JUNE 2, 2018</t>
  </si>
  <si>
    <t>CALLED OK TIRE 6/4/18</t>
  </si>
  <si>
    <t>retourqued drive axles..both sides</t>
  </si>
  <si>
    <t>CAB HAS LEAK IN FLOOR - SEEMS TO BE MOSTLY WET AROUND THE PASSENGER SEAT.</t>
  </si>
  <si>
    <t>UNIT WILL NEED TO GO TO THE SHOP TO HAVE THIS LOOKED IN TO AS IT WILL NEED TO BE SPRAYED DOWN TO LOCATE THE LEAK.</t>
  </si>
  <si>
    <t>COOLANT LEAK - COULD NOT LOCATE LEAK BUT COULD SEE POOLING ON 2 SEPARATE MORNING AND IT IS WET INSIDE ENGINE COMPARTMENT</t>
  </si>
  <si>
    <t>DRIVER PICKED UP RAD CAP AND PUT ON JUNE 25 2018</t>
  </si>
  <si>
    <t>THE PRESSURE SIDE RAD CAP IS ALLOWING PRESSURE OUT AT 12PSI INSTEAD OF 15PSI AND ALLOWING COOLANT OUT AS WELL.  DID NOT HAVE THE PART ON THE TRUCK  MAYBE HAVE THE DRIVER STOP AT THE AYR SHOP TO HAVE IT REPLACED.  THERE ARE NO OTHER LEAKS ON THE UNIT.</t>
  </si>
  <si>
    <t>NEW RAD CAP DID NOT FIX COOLANT LEAK. THIS TRUCK IS STILL LEAKING COOLANT AND DRIVER HAS MENTIONED ABOUT A SLIGHT WHINE AT THE WATERPUMP</t>
  </si>
  <si>
    <t xml:space="preserve">REPLACED WATER PUMP  </t>
  </si>
  <si>
    <t>RUBBER STRIP AT TOP OF FIREWALL THAT HOOD RESTS ON WHEN CLOSED KEEPS FALLING OFF - COULD YOU PLEASE USE AN ADHEISIVE AND STICK THIS BACK ON.</t>
  </si>
  <si>
    <t>RESEALED WEATHER STRIPPING</t>
  </si>
  <si>
    <t>FITTINGS AT TOP OF DRIVERS SIDE FUEL TANK ARE LEAKING FLUID</t>
  </si>
  <si>
    <t>RESEALED FITTINGS</t>
  </si>
  <si>
    <t>SKIRT LIGHT OUT ON DRIVER SIDE</t>
  </si>
  <si>
    <t>SKIRT LIGHTS REPAIRED</t>
  </si>
  <si>
    <t>GPS NOT CONNECTING WITH SIGNAL - CONSTANTLY AQUIRING SIGNAL</t>
  </si>
  <si>
    <t>preformed software update</t>
  </si>
  <si>
    <t>DRIVERS SIDE FUEL TANKS STILL LEAKING FROM FITTINGS AT TOP OF TANK - THESE WERE RE-SEALED ON JULY 14 2018 BUT DID NOT FIX LEAK</t>
  </si>
  <si>
    <t>replaced the gasket for the fuel sending unit</t>
  </si>
  <si>
    <t>ALL AIR TANKS COMPLETELY DRAINED BY MORNING.</t>
  </si>
  <si>
    <t>repaired  air leaks near the transmission</t>
  </si>
  <si>
    <t>replaced door handle</t>
  </si>
  <si>
    <t>MAJOR DEFECT** DRIVER SIDE DOOR NOT LATCHNIG PROPERLY - DOOR HANDLE REPLACED ALREADY</t>
  </si>
  <si>
    <t>engine heater failed again ( AFTER FUEL PICK UP REPLACED ) this morning temp is -15 degrees</t>
  </si>
  <si>
    <t>REPORTED AS COMPLETE BUT NOT DONE 2/21/18 - ENGINE HEATER BEING REPAIRED BY 3RD PARTY VENDOR</t>
  </si>
  <si>
    <t>FITTING AT TOP OF TANK ON DRIVER'S SIDE STILL LEAKING. SENDING UNIT HAS NEW SEAL AND FITTINGS HAVE BEEN RE-SEALED</t>
  </si>
  <si>
    <t>resealed some more fittings</t>
  </si>
  <si>
    <t>BOSE SEAT TURNING ON AND OFF</t>
  </si>
  <si>
    <t>switch on order - PARTS ARE IN WAITING FOR TRUCK AVAILABILITY - REPLACED SWITCH</t>
  </si>
  <si>
    <t>AVAILABLE WED SEPT 26 5:30PM AND ALL DAY THURSDAY</t>
  </si>
  <si>
    <t>RETORQUE ALL AXLES BOTH SIDE FROM SAFETY</t>
  </si>
  <si>
    <t>DRIVERS SIDE FUEL TANK STILL HAS LEAK FROM FITTINGS AT TOP OF TANK - DAVE PARSON HAS REQUESTED THAT THE FEUL CAP GET REPLACED</t>
  </si>
  <si>
    <t>AUDIBLE AIR LEAK IN SUPPLY LINE JUST BELOW RED GLAD HAND.</t>
  </si>
  <si>
    <t>DRIVERS SIDE DOOR WILL NOT UNLOCK FROM THE OUTSIDE</t>
  </si>
  <si>
    <t>COOLANT LEAK BEHIND OIL PAN - DRIVER COULD NOT LOCATE BUT VISIBLE POOLING UNDER TRUCK</t>
  </si>
  <si>
    <t>BREATHER LIGHT ON THE PASSENGER SIDE</t>
  </si>
  <si>
    <t>CHECK ENGINE LIGHT IS ON, ATC LIGHT IS ON, ABS LIGHT IS ON, TRUCKS IS RUNNING VERY ROUGH. TRUCK BROKE DOWN IN LONDON</t>
  </si>
  <si>
    <t>WAITING FOR WORK ORDER - FROM LONDON PETERBILT</t>
  </si>
  <si>
    <t>ABS SENSOR REPLACED AT LONDON PETERBILT - I DID NOT RECEIVE WORK ORDER UNITL 12/21/18 IS42043</t>
  </si>
  <si>
    <t>CARPET AT REAR OF CAB ON PASSENGER SIDE IS VERY WET - DRIVER COULD NOT LOCATE SOURCE.</t>
  </si>
  <si>
    <t>REPLACED AND RE-SEALED BACK OF CAB LIGHTS. RESEALED MANY POINTS ON TRUCK</t>
  </si>
  <si>
    <t>NEW WINDSHIELD DID NOT SEAL WELL - NO WATER COMING IN BUT HAS CREATED A LOT OF WIND NOISE.</t>
  </si>
  <si>
    <t>DRIVER WAS ABLE TO CONFIRM THAT FUEL IS STILL LEAKING ON THE DRIVERS SIDE FUEL TANK - PLEASE CHECK HISTORY FOR THIS ISSUE</t>
  </si>
  <si>
    <t xml:space="preserve">TANK ON ORDER - TO BE REPLACED MONDAY DEC 10 2018 </t>
  </si>
  <si>
    <t xml:space="preserve">COOLANT LEAK, SUSTANTIAL LEAK BEHIND ENGINE/OIL PAN. </t>
  </si>
  <si>
    <t>REPLACED AND RE-SEALED DRAIN PLUG</t>
  </si>
  <si>
    <t>LEFT STEERING AXLE LEAKING HUB OIL</t>
  </si>
  <si>
    <t>RUBBER BUSHING MISSING FROM EXHAUST MOUNT ON TOP OF CAB ON DRIVER'S SIDE</t>
  </si>
  <si>
    <t>AS58616</t>
  </si>
  <si>
    <t>2 LIGHTS OUT ON DRIVER'S SIDE BREATHER</t>
  </si>
  <si>
    <t>AS58617</t>
  </si>
  <si>
    <t>COOLANT LEAK WHEN ENGINE COLD. - DRIVER THINKS THE LEAK IS COMING FROM THE DRIVER'S SIDE.</t>
  </si>
  <si>
    <t>COLD COOLANT LEAK</t>
  </si>
  <si>
    <t>completed on 12-28-18 work order to come</t>
  </si>
  <si>
    <t>MINOR OIL LEAK</t>
  </si>
  <si>
    <t>AS58616 - NO SPECIFIC DATA ON WORK ORDER BUT SPOKE WITH DRIVER AND NO MORE OIL LEAK</t>
  </si>
  <si>
    <t>REPLACED BY R&amp;N</t>
  </si>
  <si>
    <t>AIR LEAK IN AIR LINE FOR RED GLAD HAND - JUST BELOW THE GLAD HAND.</t>
  </si>
  <si>
    <t xml:space="preserve">TRUCK STILL HAS COLD COOLANT LEAK ON DRIVER'S SIDE - THIS ISSUE HAS BEEN ADDRESSED ONCE BEFORE </t>
  </si>
  <si>
    <t>AS58819</t>
  </si>
  <si>
    <t>RIGHT SIDE EXHAUST STACK MISSING SLIDE BOLT AT TOP OF CAB</t>
  </si>
  <si>
    <t>AS59101</t>
  </si>
  <si>
    <t>NEEDS WIPER BLADES</t>
  </si>
  <si>
    <t>WARNING CODE SPN 91 COMES UP ON DASH - TRUCK EXPERIANCING LOSS OF POWER</t>
  </si>
  <si>
    <t>DRIVER REMOVED MATT FROM NEAR BRAKE PEDAL AND OIL PEDAL COMPONENTS - REMOVED FROM LOG MARCH 15 2019 AS I HAVE NOT HEARD ABOUT SINCE FEB 19TH 2019</t>
  </si>
  <si>
    <t>REPLACE CAGED BRAKE CHAMBER ON FRONT DRIVE LEFT SIDE - FROM ROAD SIDE REPAIR IN SARNIA ON MARCH 11TH 2019</t>
  </si>
  <si>
    <t>RIGHT SIDE FENDER BRAKET HAS ONE BROKEN MOUNT</t>
  </si>
  <si>
    <t>REPLACED LIC. PLATE LIGHT</t>
  </si>
  <si>
    <t>DRIVER'S SIDE HAS MULTIPLE BREATHER LIGHTS WITH BROKEN GROMETS - LIGHTS ARE WORKING BUT FALLING OUT OF STAINLESS BRACKET</t>
  </si>
  <si>
    <t>REPLACED GROMETS FOR LIGHTS</t>
  </si>
  <si>
    <t>FUEL TANK ON DRIVERS SIDE HAS CRACK IN WELD FOR THE SENDING UNIT MOUNTING PLATE AT THE BACK OF THE PLATE</t>
  </si>
  <si>
    <t>WAITING FOR PARTS 4/12/19 - REPLACED FUEL TANK</t>
  </si>
  <si>
    <t>FUEL DOES NOT DRAW EVENLY FROM BOTH TANKS</t>
  </si>
  <si>
    <t>WAITING FOR PARTS 4/12/19 - REPAIRED WHEN FUEL TANK REPLACED</t>
  </si>
  <si>
    <t>PASSENGER SIDE STEPS MISSING BOLT AND NUT</t>
  </si>
  <si>
    <t>SENSOR WIRE HANGING FROM REAR DIFF.</t>
  </si>
  <si>
    <t>SENSOR FOR DIFF. SOLONOID WHICH WE DO NOT HAVE ON OUR TRUCKS - TIED WIRE OUT OF THE WAY</t>
  </si>
  <si>
    <t>FUEL TANKS NOT DRAINING EVENLY</t>
  </si>
  <si>
    <t>REPAIRED ISSUE AT AYRSHOP 6/4/19</t>
  </si>
  <si>
    <t>CROSS MEMBER PLATE BEHIND FIFTH WHEEL IS CRACKED</t>
  </si>
  <si>
    <t>RE WELDED CROSS MEMBER AT AYRSHOP 6/4/19</t>
  </si>
  <si>
    <t>OIL LEAK NEAR DRAIN PLUG….LEAKING SINCE SERVICE</t>
  </si>
  <si>
    <t>CROSS MEMBER BEHIND 5TH WHEEL HAS BROKEN WELDS - THIS WAS RECENTLY REWLDED BUT HAS ALREADY CRACKED THROUGH THE NEW WELDS.</t>
  </si>
  <si>
    <t xml:space="preserve">RE-WELDED </t>
  </si>
  <si>
    <t>FLEX PIPE SPLIT ON EXHAUST</t>
  </si>
  <si>
    <t>AMBER CHECK ENGINE LIGHT ON - 2 FAULT CODES COME UP</t>
  </si>
  <si>
    <t xml:space="preserve">RED DEF LIGHT ON </t>
  </si>
  <si>
    <t>BREATHER LIGHT OUT ON PASS. SIDE</t>
  </si>
  <si>
    <t>OIL LEAK AT BACK OF NEW OIL PAN</t>
  </si>
  <si>
    <t>3 REAR BOLTS LOOSE, TIGHTENED AND CHECKED TORQUE ON ALL, ALL BOLTS 22LBS</t>
  </si>
  <si>
    <t>GPS IN TRUCK NOT WORKING</t>
  </si>
  <si>
    <t>HOOD HOLD BACK CABLE SNAPPED ON PASSENGER SIDE DRIVER SIDE IS FRAYED</t>
  </si>
  <si>
    <t>LIGHT OUT ON DRIVERS SIDE BREATHER</t>
  </si>
  <si>
    <t>ENGINE LIGHT ON…FAULT CODE 65517</t>
  </si>
  <si>
    <t>SAFETEY DUE IN SEPTEMBER</t>
  </si>
  <si>
    <t>REPAIRED INLET TUBE FOR DEF DOSER VALVE</t>
  </si>
  <si>
    <t>REPAIRED SATELITE ISSUE IN TRUCK</t>
  </si>
  <si>
    <t>AMBER CHECK ENGINE LIGHT ON - 1 FAULT CODE COME UP - SPN 5625 FMI 16</t>
  </si>
  <si>
    <t>REPLACED BACK PRESSURE VALVE</t>
  </si>
  <si>
    <t>PASSENGER SIDE OUTSIDE TIRE ON REAR DRIVE HAS SLOW LEAK</t>
  </si>
  <si>
    <t>REPAIERED BY AYRSHOP TIRE GUY IN YARD</t>
  </si>
  <si>
    <t>FRONT DRIVE LEFT SIDE AIR BAG BLOWN</t>
  </si>
  <si>
    <t>REPAIRED BY CROWES MOBILE SERVICE - BOOKED BY DEANNA AT PETERBILT AYRSHOP</t>
  </si>
  <si>
    <t>ONE BREATHER LIGHT OUT ON LEFT SIDE AND ONE BREATHER LIGHT OUT ON RIGHT SIDE</t>
  </si>
  <si>
    <t>REPLACED BURNT LIGHTS</t>
  </si>
  <si>
    <t>ALL AUXIALLIY LIGHTS NOW OUT ON TRUCK - VISOR LIGHTS, SKIRT LIGHTS AND BREATHER LIGHTS - LIKELY DUE TO THE BROKEN WIRE IN THE DRIVER'S SIDE BREATHER LIGHT</t>
  </si>
  <si>
    <t>COMPLETED BY ED IN YARD</t>
  </si>
  <si>
    <t>REPLACED 15 AMP FUSE</t>
  </si>
  <si>
    <t>DRIVER'S SIDE BREATHER LIGHTS ARE OUT - DRIVER DID FIND A CORRODED WIRE</t>
  </si>
  <si>
    <t>2 SKIRT LIGHTS OUT ON RIGHT SIDE</t>
  </si>
  <si>
    <t>REPAIRED WIRING AND REPLACED BOTH SKIRT LIGHTS</t>
  </si>
  <si>
    <t>WINDSHEILD WASHER RESIVIOR CRACKED</t>
  </si>
  <si>
    <t>VALVES NEED ADJUSTING</t>
  </si>
  <si>
    <t>TEMP CONTROL KNOB ON DASH NOT WORKING PROPERLY</t>
  </si>
  <si>
    <t>NO ISSUE FOUND BY DYLAN, CLEANED CABIN AIR FILTER - NO FURTHER ACTION TAKEN 7/24/20</t>
  </si>
  <si>
    <t>DRIVER'S SIDE FUELTANK LOOSE</t>
  </si>
  <si>
    <t>CENTERED FULE TANK AND TIGHTENED STRAPS</t>
  </si>
  <si>
    <t xml:space="preserve">NEEDS CRACKED EXHAUST CLAMP REPLACED </t>
  </si>
  <si>
    <t>DIAGNOSED BY DYLAN DURING PM A SERVICE - COMPLETED BY DYLAN IN YARD</t>
  </si>
  <si>
    <t>REPLACED EXHAUST CLAMPS</t>
  </si>
  <si>
    <t>NEEDS DEF DOSER CHECKED AND POSSIBLY REPLACED</t>
  </si>
  <si>
    <t>DOSER VALVE NOT NEEDED</t>
  </si>
  <si>
    <t>TRUCK NOT POWERING TRAILER CLEARANCE LIGHTS</t>
  </si>
  <si>
    <t>DRIVER TOOK TO AYRSHOP TO HAVE REPAIRED</t>
  </si>
  <si>
    <t>TRUCK RIDES VERY ROUGH - PLEASE CHECK RIDE HEIGHT AND DRIVE LINE ANGLES</t>
  </si>
  <si>
    <t>NO ISSUE FOUND, COMPARED TRUCK TO 1825 AND FOUND ALL ANGLES AND HEIGHT ARE THE SAME</t>
  </si>
  <si>
    <t>ODOMETER NOT WORKING</t>
  </si>
  <si>
    <t>NOT COMPLETED WHEN TRUCK WAS AT AYRSHOP ON FEB 28TH TO MAR 3 2020 - NO ISSUE FOUND, NO FURTHER ACTION TAKEN D.K. 3/26/20</t>
  </si>
  <si>
    <t>NOT COMPLETED WHEN TRUCK WAS AT AYRSHOP ON FEB 28TH TO MAR 3 2020 - CEL NOT ON, NO FURTHER ACTION TAKEN D.K. 3/26/20</t>
  </si>
  <si>
    <t>DRIVERS SIDE DOOR LOCKS WHEN CLOSING DOOR - DRIVER HAS BEEN LOCKED OUT OF TRUCK</t>
  </si>
  <si>
    <t>LUBED INNER COMPENTS - NO BROKEN PARTS FOUND</t>
  </si>
  <si>
    <t>TWO BREATHER LIGHTS OUT  - REPORTED BY DYLAN</t>
  </si>
  <si>
    <t>REPLACED BOTH BREATHER LIGHTS</t>
  </si>
  <si>
    <t>EXHAUST CLAMPS AT BASE OF STACK NEEDS REPALCED ON BOTH SIDES</t>
  </si>
  <si>
    <t>STEPS OVER FUEL TANK ON DRIVER'S SIDE HAS A BROKEN WELD AND NEEDS REPAIRED</t>
  </si>
  <si>
    <t>REMOVED STEPS - TOOOK TO AYRSHOP, WELDED AND RETURNED</t>
  </si>
  <si>
    <t>DRIVERS SIDE DOOR LOCKS ON IT'S OWN. THIS ISSUE WAS ADDRESSED BY DYLAN AND NO ISSUE WAS FOUND AT THAT TIME BUT THERE IS DEFINATLY SOMETHING GOING ON HERE</t>
  </si>
  <si>
    <t>DRIVER SIDE HOOD HINGE LOOSE. NOT CLOSING PROPERLY. HOOD CABLE STARTING TO FRAY</t>
  </si>
  <si>
    <t>REPLACED LEFT SIDE HINGE BOLT AND BUSHING AND REPLACED HOOD CABLE</t>
  </si>
  <si>
    <t>ESBAR IN CAB NOT WORKING</t>
  </si>
  <si>
    <t>COMPLETED BY AYRSHOP 5/13/20</t>
  </si>
  <si>
    <t>CLEANED AND CLEARED CODES</t>
  </si>
  <si>
    <t>REAR DIFF LEAKING AT YOKE</t>
  </si>
  <si>
    <t>UPPER STACK MOUNT PIN LOOSE (DRIVER'S SIDE)</t>
  </si>
  <si>
    <t>REPLACED PIN</t>
  </si>
  <si>
    <t>VIBRATION IN DRIVELINE</t>
  </si>
  <si>
    <t>TEST DRIVEN BY DYLAN, REPORTED AS NO VIBRATION DETECTED</t>
  </si>
  <si>
    <t>REPLACED COMPRESSOR - RECIEVER DRYER AND CONDENSOR</t>
  </si>
  <si>
    <t>visor light out far right side</t>
  </si>
  <si>
    <t>needs new door latch parts on order 02/21/17 - repaired pinched lock rod 2/28/17</t>
  </si>
  <si>
    <t>coolant leak at lower rad hose on right side of engine by oil pan. Leaking at hose clamp</t>
  </si>
  <si>
    <t>MON, TUES AND WED AFTER 6:30PM ALL DAY THURS AND FRI</t>
  </si>
  <si>
    <t xml:space="preserve">NO FAULT FOUND TIGHTNED CLAMP </t>
  </si>
  <si>
    <t>left side skirt has light out</t>
  </si>
  <si>
    <t>REPLACED SKIRT LIGHT</t>
  </si>
  <si>
    <t>right side skirt light out</t>
  </si>
  <si>
    <t>brake pedal sticking…doesn't come all the way up…no jake and no power at times</t>
  </si>
  <si>
    <t>CHECKED AND ADJUSTED BRAKE PEDAL</t>
  </si>
  <si>
    <t>right side 1st drive axle brake chamber leaking air on emergency side</t>
  </si>
  <si>
    <t>COMPLETED BY DRIVER</t>
  </si>
  <si>
    <t>PARTS ON ORDER</t>
  </si>
  <si>
    <t>side walls on steering tires cracked</t>
  </si>
  <si>
    <t>CONSISTANT WITH NORMAL WEAR</t>
  </si>
  <si>
    <t>clutch needs adjusting</t>
  </si>
  <si>
    <t>washer fluid resivior leaking fluid</t>
  </si>
  <si>
    <t>NEW CONTAINER ON ORDER 5/27/17- REPLACED 5/29/17</t>
  </si>
  <si>
    <t>FLAT TIRE RIGHT FRONT DRIVE</t>
  </si>
  <si>
    <t>REPAIRED BY KAL TIRE ROAD SIDE REPAIR</t>
  </si>
  <si>
    <t>RETORQUE RIGHT FRONT DRIVE AXLE</t>
  </si>
  <si>
    <t>COMPLETED BY KAL TIRE</t>
  </si>
  <si>
    <t>GREEN ELECTRICAL CORD NEEDS TO BE REPLACED</t>
  </si>
  <si>
    <t>MONDAY TO FRIDAY AFT 6:30PM</t>
  </si>
  <si>
    <t>REPLACED YEELOW AND GREEN CORDS.</t>
  </si>
  <si>
    <t xml:space="preserve">YELLOW ELECTRICAL RECEPTICAL BROKEN ON TRACTOR </t>
  </si>
  <si>
    <t>DRIVER HAS ADDED CABLE TIES BUT THIS NEEDS A PROPER REPAIR 7/25/17</t>
  </si>
  <si>
    <t>YELLOW CORD REPLACED WAITING FOR YEELOW PLUG RECEPTICAL</t>
  </si>
  <si>
    <t>RECEPTICAL FOR YELLOW TRAILER CORD ON TRACTOR IS BROKEN</t>
  </si>
  <si>
    <t>REPLACED YELLOW LIGHT CORD SOCKET</t>
  </si>
  <si>
    <t>driver's side steer tire at 5/32</t>
  </si>
  <si>
    <t xml:space="preserve">DRIVERS SIDE TIRE IS AT 4/32 PASSENGER SIDE TIRE IS AT 8/32 - REPLACED BOTH STEER TIRES TIRES </t>
  </si>
  <si>
    <t>rubber between hood and firewall falling off.</t>
  </si>
  <si>
    <t>REPLACED WEATHER STRIPPING</t>
  </si>
  <si>
    <t>C.B antenna broken on left side at mirror.</t>
  </si>
  <si>
    <t xml:space="preserve">TUES, THURS AND FRI AFTER 6:30PM  </t>
  </si>
  <si>
    <t>Please replace wiper blades</t>
  </si>
  <si>
    <t>please replace with winter wiper blades</t>
  </si>
  <si>
    <t>air system looses all air when parked overnight.</t>
  </si>
  <si>
    <t>REPLACED TRANSMISSION AIR SUPPLY FITTING, AND FITTING ON TOP OF TRANSMISSION.</t>
  </si>
  <si>
    <t>TRUCK WILL NEED TO BE TAKEN OUT OF SERVICE FOR MONDAY DEC 11TH /  SHOP REPLACED THE AFTER TREATMENT HARNESS</t>
  </si>
  <si>
    <t>RIGHT TAIL LIGHT OUT THIS SEEMS TO BE WIRING LIGHT IS NOW CAUSING LEFT SIDE TO FLICKER AND TRAILER TAIL LIGHTS AS WELL.</t>
  </si>
  <si>
    <t>available today until 5:30 am tomorrow morn</t>
  </si>
  <si>
    <t>driver went to Ayrshop to have fixed</t>
  </si>
  <si>
    <t>2 BREATHER LIGHTS OUT ONE - ON EACH SIDE</t>
  </si>
  <si>
    <t xml:space="preserve">1 visor light out  </t>
  </si>
  <si>
    <t xml:space="preserve">Skirt light out on pass. Side </t>
  </si>
  <si>
    <t>AIR LINE AT SHIFTER LEAKING WHEN SHIFTEING BETWEEN LOW AND HIGH RANGE</t>
  </si>
  <si>
    <t>RIGHT REAR BRAKE CHAMBER REPLACED</t>
  </si>
  <si>
    <t>PLEASE UPGRADE TO BRIGHTER HEADLIGHTS - PLEASE USE SAME AS UNIT 1824</t>
  </si>
  <si>
    <t>MON, TUES AFTER 6:30PM AND WED, THURS AND FRI ALL DAY</t>
  </si>
  <si>
    <t>multiple visor lights out - ALL VISOR LIGHTS OUT AS OF 2/28/18</t>
  </si>
  <si>
    <t>REPLACED 3 VISOR LIGHTS AND REPLACED THE FUSE.</t>
  </si>
  <si>
    <t>left side skirt light out</t>
  </si>
  <si>
    <t>MON, WED THURS AND FRI AFTER 6:30PM</t>
  </si>
  <si>
    <t>THE LIC PLATE LIGHT IS WORKING. NO FAULT FOUND.</t>
  </si>
  <si>
    <t>red glad hand leaking at at threads on trailer side</t>
  </si>
  <si>
    <t>RESEALED GLAD HAND AT THREADS</t>
  </si>
  <si>
    <t>lower step missing rivets and falling off</t>
  </si>
  <si>
    <t>REPLACED MISSING RIVETS</t>
  </si>
  <si>
    <t>GONG TO AYRSHOP TUES. APR. 3 2018</t>
  </si>
  <si>
    <t>AYRSHOP COMMENTS STATED NO HEAT OPTION ON SEAT BUT THERE IS SO I HAVE LEFT THIS ON FOR NOW. - PARTS ON ORDER 7/8/17 WORKING WITH CLEAR MOTION</t>
  </si>
  <si>
    <t>DIFF LOCK LEAKS AIR WHEN ENGAGED</t>
  </si>
  <si>
    <t>REPAIRED AIR LINE</t>
  </si>
  <si>
    <t>PLEASE REPLACED BOTH WIPERS</t>
  </si>
  <si>
    <t>CEL LIGHT ON - ONBOARD DIAGNOSTIC SAYS EGR VALVE LEAKAGE</t>
  </si>
  <si>
    <t>WAITING FOR COMMENTS FROM AYRSHOP 5/28/18</t>
  </si>
  <si>
    <t>Replaced egr valve and exhaust manifold</t>
  </si>
  <si>
    <t xml:space="preserve">MON, TUES AFTER 6:30PM  AND ALL DAY WED, THURS AND FRI </t>
  </si>
  <si>
    <t>2 RIGHT SIDE VISOR LIGHTS VERY DIM</t>
  </si>
  <si>
    <t>repaired wiring</t>
  </si>
  <si>
    <t>visor lights shorting out - multiple lights dim</t>
  </si>
  <si>
    <t>REPAIRED THE WIRING FOR THE VISOR LIGHTS.</t>
  </si>
  <si>
    <t>engine light on</t>
  </si>
  <si>
    <t>FAULT CODES ARE TOO OLD TO BE TROUBLE SHOT RAN THE VERIFICATION CYCLES AND HAD NO CODES RETURN.  CLEARED ALL THE CODES.  ALSO THE DRIVER SEEMS TO BE JUST STARTING THE ENGINE AND THEN GOING NOT ALLOWING THE ENGINE TO WARM A LITTLE FIRST NOTICED THIS ON THE SNAP SHOT DATA OF THE FAULT CODES.</t>
  </si>
  <si>
    <t>LEFT FRONT BRAKE CHAMBER LEAKING</t>
  </si>
  <si>
    <t>AT AYRSHOP 7/23/18</t>
  </si>
  <si>
    <t>TAKEN TO AYRSHOP AND REPAIRED</t>
  </si>
  <si>
    <t>LEFT SIDE LOW BEAM HEAD LIGHT IS OUT - THIS IS AN H11 NIGHTHAWK BULB</t>
  </si>
  <si>
    <t>REPLACED THE HEADLIGHTS</t>
  </si>
  <si>
    <t>RIGHT SIDE BACK OF CAB LIGHT</t>
  </si>
  <si>
    <t>replaced the light</t>
  </si>
  <si>
    <t xml:space="preserve">CHECK ENGINE LIGHT </t>
  </si>
  <si>
    <t>replaced the bpv</t>
  </si>
  <si>
    <t>RIGHT SIDE LOW BEAM OUT - H11 NIGHTHAWK</t>
  </si>
  <si>
    <t>ESBAR CAB HEATER NOT WORKING - HAS FAILED 4 TIMES IN THE LAST WEEK OF JANUARY - WORKS FINE IN WARMER TEMPERATURES</t>
  </si>
  <si>
    <t>breather light repaired</t>
  </si>
  <si>
    <t>DRIVER'S SIDE WINDSHIELD NEEDS REPLACED - CRACKED</t>
  </si>
  <si>
    <t>tractor looses air overnight</t>
  </si>
  <si>
    <t>door latch does not close properly</t>
  </si>
  <si>
    <t>Low beam out on left side - installed a regular low beam headlamp himself but needs it replaced with an H11 Nighthawk.</t>
  </si>
  <si>
    <t>DRIVER'S SIDE FUEL TANK EMPTIES FASTER THAN PASSENGER SIDE</t>
  </si>
  <si>
    <t>TRACTOR LOSES ALL AIR WHEN PARKED OVERNIGHT - THIS WAS LOOKED AT ON NOV 9 - 10 2018 BUT ISSUE WAS NOT RESOLVED</t>
  </si>
  <si>
    <t>IN CAB (ESBAR) HEATER DOES WORK IF YOU JUST TURN IT ON BUT WHEN PROGRAMMED TO RUN AT A CERTAIN TIME IT DOES NOT RUN AND DISPLAY READS ERROR.</t>
  </si>
  <si>
    <t xml:space="preserve">DID NOT RECEIVE WORK ORDER FOR ANY REPAIRS BUT SPOKE WITH DRIVER WHO COMMENTED THAT IT IS NOW WORKING </t>
  </si>
  <si>
    <t>UPPER STACK MOUNT IS BROKEN ON PASSENGER SIDE - MISSING PIN.</t>
  </si>
  <si>
    <t>ALL DAY FRI</t>
  </si>
  <si>
    <t>REPLACED PIN IN OUR YARD</t>
  </si>
  <si>
    <t>DRIVERS SIDE LOWER STEP TRIM IS FALLING OFF</t>
  </si>
  <si>
    <t>AS58667</t>
  </si>
  <si>
    <t xml:space="preserve">AIR TANK DRAIN CORD BROKEN ON DRIVER'S SIDE </t>
  </si>
  <si>
    <t>LEFT SIDE HOOD CABLE IS BROKEN</t>
  </si>
  <si>
    <t xml:space="preserve">TRUCK LOSES ALL AIR WHEN PARKED OVERNINGHT </t>
  </si>
  <si>
    <t>THIS ISSUE WAS ADDRESSED ON WORK ORDER AS58667 BUT IS STILL AN ISSUE</t>
  </si>
  <si>
    <t>WAITING FOR WORK ORDER 1/23/19</t>
  </si>
  <si>
    <t>AS58939</t>
  </si>
  <si>
    <t>AS59139</t>
  </si>
  <si>
    <t>EXHAUST STACK MOUNT ABOVE DRIVERS SIDE DOOR IS BROKEN</t>
  </si>
  <si>
    <t>FUEL LEAK ON RIGHT SIDE OF ENGINE</t>
  </si>
  <si>
    <t xml:space="preserve">I SPOKE WITH DRIVER, THIS ISSUE IS COMPLETE BUT NOT ON WORK ORDER AS59139 </t>
  </si>
  <si>
    <t>SKIRT LIGHT OUT …RIGHT SIDE</t>
  </si>
  <si>
    <t>TRACTOR LOSES ALL AIR WHEN PARKED OVERNIGHT</t>
  </si>
  <si>
    <t xml:space="preserve"> ONE VISOR LIGHT OUT</t>
  </si>
  <si>
    <t>BACK OF CAB LIGHT OUT ON RIGHT SIDE</t>
  </si>
  <si>
    <t>FLEX PIPE CRACKED , COMING FROM RIGHT SIDE INTO STACK</t>
  </si>
  <si>
    <t>WAITING FOR WORK ORDER 4/12/19 - COMPLETED BY DYLAN IN YARD</t>
  </si>
  <si>
    <t>CRUISE CONTROL ON CLUTCH DOES NOT WORK</t>
  </si>
  <si>
    <t>PARTS ON ORDER 4/9/19</t>
  </si>
  <si>
    <t>PLEASE REPLACE WINDSHIELD WIPERS WITH SUMMER BLADES</t>
  </si>
  <si>
    <t>MIDDLE VISOR LIGHT OUT</t>
  </si>
  <si>
    <t>CHECK ENGINE LIGHT ON - ALERT SAYS (FUEL ENABLE ACTUATOR)</t>
  </si>
  <si>
    <t>COMPLETED BY DYLAN IN YARD 5/30/19</t>
  </si>
  <si>
    <t>WIRING ISSUE ON REAR FUEL UNIT PUMP</t>
  </si>
  <si>
    <t>REPLACED BURNT LIGHT</t>
  </si>
  <si>
    <t>REPLACED CONDENSOR</t>
  </si>
  <si>
    <t>2 X BREATHER LIGHTS OUT</t>
  </si>
  <si>
    <t>STEER TIRES WEARING - PLEASE CHECK</t>
  </si>
  <si>
    <t>NO INFO GIVEN</t>
  </si>
  <si>
    <t>STEER TIRES CUPPING - DRIVERS SIDE 8/32 PASS SIDE AT 10/32</t>
  </si>
  <si>
    <t xml:space="preserve">REPLACED BY AYRSHOP TIRE GUY </t>
  </si>
  <si>
    <t>RETORQUE STEER AXLE FROM TIRE REPLACEMENT</t>
  </si>
  <si>
    <t>COMPLETED BY DRIVER (PAUL) IN NORTH BAY</t>
  </si>
  <si>
    <t>PASS SIDE REAR OUTSIDE DRIVE TIRE HAS HOLE IN IT</t>
  </si>
  <si>
    <t>HOOD RESTRAINT CABLE BROKEN</t>
  </si>
  <si>
    <t>7-WAY RECEPTICLE HOLD BACK FLAP BROKEN</t>
  </si>
  <si>
    <t>POGO STICK NEEDS REPLACED…SPRING BROKEN</t>
  </si>
  <si>
    <t>TRACTOR LOSES ALL AIR WHEN PARKED OVER NIGHT</t>
  </si>
  <si>
    <t>TRAILERS LIGHTS FLASH WHEN TURNING CORNERES - PLEASE CHECK AND REPLACED GREEN ELECTRICAL CORD</t>
  </si>
  <si>
    <t>DRIVERS SIDE STEP IS MISSING RIVETS IN THE FRONT PLATE</t>
  </si>
  <si>
    <t>BACK UP LIGHT ON DRIVER SIDE MIRROR NOT WORKING</t>
  </si>
  <si>
    <t>TRACTOR LOSES ALL AIR WHEN PARKED FOR 1.5HRS</t>
  </si>
  <si>
    <t>COMPLETED BY AYRSHOP OCT 8, 2019</t>
  </si>
  <si>
    <t>RETORQUE NEEDED ON ALL AXLES AFTER TRUCK HAS BEEN DRIVEN</t>
  </si>
  <si>
    <t>ESBAR ENGINE HEATER GIVES ERROR MESSAGE</t>
  </si>
  <si>
    <t>REPAIRED BY PETERBILT CARDINAL</t>
  </si>
  <si>
    <t>BOTH CB ANTENNA'S ARE BROKEN OFF</t>
  </si>
  <si>
    <t>COMPLETED BY AYRSHOP - DRIVER STOPPED IN</t>
  </si>
  <si>
    <t>PLEASE REPLACE WIPER BLADES WITH WINTER BLADES</t>
  </si>
  <si>
    <t>REPLACED BREATHER LIGHTS</t>
  </si>
  <si>
    <t>3 BREATHER LIGHTS OUT ON DRIVER'S SIDE</t>
  </si>
  <si>
    <t>PLEASE ADJUST CLUTCH - HAVE TO STAND ON IT AND HOLD IT TO STOP TRANSMISSION AND ENGAGE GEAR</t>
  </si>
  <si>
    <t>PERFORMED MANUAL REGEN, CHECK ENGINE LIGHT WENT OUT - SCR EFFICIENCY 99%</t>
  </si>
  <si>
    <t>CLUTCH NOT ENGAGING  - REPORTED BY DYLAN 5/29/20</t>
  </si>
  <si>
    <t>REPAIRED CLUTCH</t>
  </si>
  <si>
    <t>HALF FENDER TOUCHING FUEL TANK ON DRIVER'S SIDE</t>
  </si>
  <si>
    <t>REPAIRED FENDER</t>
  </si>
  <si>
    <t>PASSENGER SIDE EXHAUST STACK LEANING BACKWARDS - PLEASE STRAIGHTEN</t>
  </si>
  <si>
    <t>REPAIRED EXHAUST</t>
  </si>
  <si>
    <t xml:space="preserve">SPRINGS ON BACK OF CAB NEED TO BE RE-ATTACHED…SPRINGS IN OFFICE </t>
  </si>
  <si>
    <t>MIRROR BACK-UP LIGHTS NEED TO BE RE-ATTATCHED…LIGHTS IN OFFICE</t>
  </si>
  <si>
    <t>STONE CHIP IN PASSENGER SIDE WINDOW</t>
  </si>
  <si>
    <t>NO LIGHT ON - NO CODES STORED - NO FURTHER ACTION TAKEN</t>
  </si>
  <si>
    <t>FUEL SHUT OFF VALVE ON DRIVER'S SIDE IS BENT</t>
  </si>
  <si>
    <t>REPAIRED VALVE</t>
  </si>
  <si>
    <t>COMPLETED BY ARYSHOP 1/8/20</t>
  </si>
  <si>
    <t>STEER AXLE PADS LOW - DRIVE AXLE PADS CRACKED AND SEPARATING</t>
  </si>
  <si>
    <t>NO PADS REPLACED AT THIS TIME - ALL PADS ARE ENOUGH ABOVE WEAR LINE TO WARRANT NOT REPLACING ALSO NO PADS ARE CRACKED OR SEPERATING  - AS PER JUSTIN AT AYRSHOP 1/8/20</t>
  </si>
  <si>
    <t>PLEASE REPLACE PASSENGER SIDE WIER BLADE - DRIVERS SIDE DONE JAN 10 2020</t>
  </si>
  <si>
    <t>BOTH WIPERS NOW REPLACED</t>
  </si>
  <si>
    <t>UPPER EXHAUST STACK MOUNT AT TOP OF CAB IS MISSING BOLT</t>
  </si>
  <si>
    <t>REPLACED BY ALWAYS ON CALL IN YARD</t>
  </si>
  <si>
    <t>MUD FLAP BRACKET TORN OFF TRUCK - WILL NEED BRACKET REPLACED</t>
  </si>
  <si>
    <t>COMPLETED BY AYRSHOP IN OUR YARD</t>
  </si>
  <si>
    <t>REPLACED BRACKET ARM AND MUD FLAP</t>
  </si>
  <si>
    <t>air leak at leveling valve</t>
  </si>
  <si>
    <t>no leak at leveling valve</t>
  </si>
  <si>
    <t>clutch pedal not de-activating cruise control or engine brake</t>
  </si>
  <si>
    <t>replaced clutch switch</t>
  </si>
  <si>
    <t>step trim falling off of drivers side lower step</t>
  </si>
  <si>
    <t>re-installed step trim</t>
  </si>
  <si>
    <t>rear axle temp gauge fluctuating</t>
  </si>
  <si>
    <t>this was looked at on Feb 6 2017 and reported as complete but truck is still having same issue</t>
  </si>
  <si>
    <t>needs to go to AYRSHOP for further diagnosis 02/21/17 - completed 3/8/17</t>
  </si>
  <si>
    <t>instrument panel not lighting up driver can not see speed or tach at night</t>
  </si>
  <si>
    <t>step trim falling off drivers side upper step</t>
  </si>
  <si>
    <t>ESBAR heater exhausting into cab when truck turned off but heater running.</t>
  </si>
  <si>
    <t>CHECKED AND RAN FOR 20MIN, NO ISSUES FOUND</t>
  </si>
  <si>
    <t>DRIVER'S SIDE DOOR HARD TO CLOSE. DRIVERS IS HAVING TO SLAM SEVERAL TIMES TO CLOSE DOOR</t>
  </si>
  <si>
    <t>TESTED SEVERAL TIMES NO ISSU'E FOUND DOOR OPENS AND CLOSES EASILY. 7/8/17</t>
  </si>
  <si>
    <t xml:space="preserve">HAVE TO PULL DRIVERS DOOR HANDLE TO THE MAX TO GET THE DOOR TO OPEN. </t>
  </si>
  <si>
    <t>ADJUSTED LINKAGE</t>
  </si>
  <si>
    <t>grinding noise in steering wheel when turning</t>
  </si>
  <si>
    <t>GROUND SPRING ON ORDER 10/21/17+N507.  REPLACED THE GROUND SPRING.</t>
  </si>
  <si>
    <t>REPLACED AIR SUPPLY FITTING TO TRANSMISSION</t>
  </si>
  <si>
    <t>MON ALL DAY, TUES, THURS AND FRI AFTER 6:30PM</t>
  </si>
  <si>
    <t>DRIVER SIDE HEAD LIGHT LOOSE AND CUTIING ON AND OFF</t>
  </si>
  <si>
    <t>CHECK ENGINE LIGHT ON AND RED LIGHT ON DEF GAUGE</t>
  </si>
  <si>
    <t>MON, WED AN FRI AND ALL DAY TUESDAY</t>
  </si>
  <si>
    <t>UPDATED THE ENGINE AND AFTERTREATMENT SOFTWARE.</t>
  </si>
  <si>
    <t>Bose seat will not turn off</t>
  </si>
  <si>
    <t>DRIVER HAS BROKEN THE ON/OFF SWITCH 10/21/17 - RPLAECED SWITCH WITH SWITCH FROM PARTS CHAIR</t>
  </si>
  <si>
    <t>GRINDING NOISE UNDER PULL</t>
  </si>
  <si>
    <t>PASSENGER SIDE STACK BRACKET BROKEN</t>
  </si>
  <si>
    <t>BRACKET WAS NOT BROKEN BUT THE STACK SPUN AND WAS HITTING THE TOP MOUNT.  RE-ANGLED THE STACK.</t>
  </si>
  <si>
    <t>CHECK ENGINE LIGHT AND RED DEF LIGHT ON AGAIN</t>
  </si>
  <si>
    <t>ONLY CODES IN ECM WERE FOR FROZEN DEF AND LOW DEF.  CLEARED THE CODES LET US KNOW IF THIS CONT TO HAPPEN.  TESTED THE DEF HEATER ALL ARE OK.</t>
  </si>
  <si>
    <t>Air leak in supply ( RED ) air line near spring on glad hand</t>
  </si>
  <si>
    <t>REPAIRED RED AIR LINE</t>
  </si>
  <si>
    <t>Yellow CEL light on.</t>
  </si>
  <si>
    <t>ALL CODES RELATED TO LOW VOLTAGE ALL SET DURING CRANKING IN COLD WEATHER ALL ONLY HAD ONE COUNT.  NO FAULT FOUND.</t>
  </si>
  <si>
    <t>GREEN ELECTRICAL CORD MAY HAVE LOOSE OR BROKEN WIRE IF CORD IS WIGGLED LIGHTS FLICKER</t>
  </si>
  <si>
    <t>REPLACED THE LIGHT CORD</t>
  </si>
  <si>
    <t>COMPLETED BY ALWAYS ON CALL - FROZEN VALVE</t>
  </si>
  <si>
    <t>passenger side spray nozzle not working</t>
  </si>
  <si>
    <t>REPLACED AND ADJUSTED THE WASHER NOZZLE.</t>
  </si>
  <si>
    <t>Running board lights on passeger side not working</t>
  </si>
  <si>
    <t>DRIVER'S SIDE DOOR NOT LATCHING PROPERLY AGAIN</t>
  </si>
  <si>
    <t>NO FAULTS FOUND WITH DOOR CATCHING THE STRICKER PIN OR LOCKING.  NO FAULTS FOUND.</t>
  </si>
  <si>
    <t>drivers side fuel tank is full and passenger side is half full but gauge reads full</t>
  </si>
  <si>
    <t>UNIT WILL HAVE TO GO TO THE SHOP FOR FUEL TESTING.</t>
  </si>
  <si>
    <t>DRIVER'S SIDE DOOR WIL NOT OPEN OR CLOSE PROERLY DUE TO BROKEN SPRING</t>
  </si>
  <si>
    <t>VISOR LIGHTS HAVE LOOSE CONNECTION AND ARE FLICKERING</t>
  </si>
  <si>
    <t>AUDIBLE AIR LEAK FROM UNDER CAB - EXCEEDS AIR LOSS RATE</t>
  </si>
  <si>
    <t>replaced EGR valve</t>
  </si>
  <si>
    <t>Air tanks drain completely when parked overnight</t>
  </si>
  <si>
    <t>NO AIR LEAKS FOUND.   UNIT PASSED THE 2 MIN AIR PRESSURE DROP TEST AND THE UNIT HAS NO AUDIBLE AIR LEAKS AND ALSO CHECKED THE UNIT OVER WITH SOAPY WATER.</t>
  </si>
  <si>
    <t>2 visor lights out - which lights are out changes from day to day this may be wiring</t>
  </si>
  <si>
    <t>REPLACED 3 VISOR LIGHTS</t>
  </si>
  <si>
    <t>EXHAUST STACK ON DRIVER'S SIDE LOOSE</t>
  </si>
  <si>
    <t>RESECURED BOTH THE STACKS.</t>
  </si>
  <si>
    <t>tractoR loses all air when parked overnight</t>
  </si>
  <si>
    <t>NO AIR LEAKS FOUND THE UNIT PASSES THE LEAK DOWN TESTS. AND FOUND NO AUDIBLE AIR LEAKS EITHER.</t>
  </si>
  <si>
    <t>VISOR LIGHT OUT ON LEFT SIDE</t>
  </si>
  <si>
    <t>REPLACED THE LEFT MOST VISOR LIGHT.</t>
  </si>
  <si>
    <t>REPLACED THE OUTLET NOX SENSOR.</t>
  </si>
  <si>
    <t>REPLACED THE 30AMP TRAILER LIGHT FUSE FOUND NO SHORTS IN THE LIGHT CORD TO CAUSE THE FUSE TO BLOW.  REPLACED THE 30AMP MAX FUSE FOR THE TRAILER AUX.  TESTED THE YELLOW LIGHT CORD AND FOUND NO SHORTS OR ANYTHING TO CAUSE THE FUSE TO BLOW.  MAYBE A TRAILER ISSUE FOR BOTH?</t>
  </si>
  <si>
    <t>YELLOW CORD HAS BROKEN END - CORD STILL WORKING BUT HANDLE AT TRAILER END IS BROKEN</t>
  </si>
  <si>
    <t>REPLACED METAL CORD END</t>
  </si>
  <si>
    <t>1 VISOR LIGHT NOT WORKING</t>
  </si>
  <si>
    <t>RELPACED VISOR LIGHT</t>
  </si>
  <si>
    <t>BRAKE PEDAL STICKING  - PEDAL NOT RETURNING TO DISENGAGED POSITION</t>
  </si>
  <si>
    <t xml:space="preserve">CLEANED AND LUBBED </t>
  </si>
  <si>
    <t>DRIVERS SIDE DOOR LOCK HARD TO LOCK/UNLOCK WITH KEY - TRIED SEVERAL KEYS WITH SAME RESULT</t>
  </si>
  <si>
    <t xml:space="preserve">REPLACED ACCUATOR AND DOOR CATCH </t>
  </si>
  <si>
    <t>REPLACED SENSOR AND FLUSHED EGR</t>
  </si>
  <si>
    <t>DELAY BETWEEN THROTTLE AND TURBO ACTIVATION</t>
  </si>
  <si>
    <t>GREEN POWER CORD HAS BROKEN WIRE - CAUSES LEFT SIGNAL TO CUT OUT</t>
  </si>
  <si>
    <t>SHOP REPLACED THE GREEN LIGHT CORD.</t>
  </si>
  <si>
    <t>NO FAULTS FOUND WITH THE CEL  CLEARED THE CODES.  LET US KNOW IS THE CEL COMES ON AGAIN.</t>
  </si>
  <si>
    <t>Floor wet behind passenger seat</t>
  </si>
  <si>
    <t>UNIT WILL NEED TO GO TO THE SHOP TO HAVE THIS LOOKED IN TO AS IT WILL NEED TO BE SPRAYED DOWN TO LOCATE THE LEAK 5/26/18 - FOUND LEAK AT BACK OF CAB LIGHTS</t>
  </si>
  <si>
    <t>ENGINE HESITATES AND SURGES ON EXCELLERATION</t>
  </si>
  <si>
    <t>no cel, fuel pressure was within spec, no hesitation found during our test drive</t>
  </si>
  <si>
    <t>passenger low beam out</t>
  </si>
  <si>
    <t>engine light on again…particulate trap 1 pressure?</t>
  </si>
  <si>
    <t xml:space="preserve">DEF SOOT LOAD FAULTS, INLET NOX SENSOR, EGR PRESSURE, EXHAUST MANIFOLD LEAKS AND BLOWN GASKET ON #6 </t>
  </si>
  <si>
    <t>tractor loosing air overnight</t>
  </si>
  <si>
    <t>REPLACED REAR BAGS DUE TO AIR LEAK</t>
  </si>
  <si>
    <t>REPLACED DEF PRESSURE SENSOR</t>
  </si>
  <si>
    <t>SEAT BELT IS TWISTED - DRIVER THINKS THIS MAY HAVE HAPPENED WHEN THE SEAT WAS REPLACED</t>
  </si>
  <si>
    <t>FIXED SEAT BELT</t>
  </si>
  <si>
    <t>cross member behind 5th wheel is cracked…almost all the way through</t>
  </si>
  <si>
    <t>AT AYR SHOP 6/22/18 - REPLACED SLIDE AND RETURNED UNIT 7/23/18</t>
  </si>
  <si>
    <t>RETORQUE BOTH DRIVE AXLES BOTH SIDES</t>
  </si>
  <si>
    <t>CHECK ENGINE LIGHT ON - ENGINE STILL LOSING POWER - RED STOP ENGINE LIGHT HAS COME ON - REPORTED AGAIN ON AUG 3 2018</t>
  </si>
  <si>
    <t>PERFORMED THE EGR COOLER FLUSH SUPPORT LINK SAYS IT SHOULD BE OK</t>
  </si>
  <si>
    <t>REPLACED DEF LINE - TRUCK WAS SUCKING IN AIR AND NOT INJECTING ENOUGH DEF FLUID.</t>
  </si>
  <si>
    <t>DRIVER'S SIDE SIGNAL LIGHT ON MIRROR HAS FALLEN OFF. THE BRACKET HAS ROTTED OUT. THE LIGHT IS INSIDE THE CAB.</t>
  </si>
  <si>
    <t>mirror light repaired</t>
  </si>
  <si>
    <t>RESECURED LOOSE WIRING - NO OTHER ISSUE FOUND</t>
  </si>
  <si>
    <t>FRONT PASSENGER SIDE HUB SEAL IS LEAKING</t>
  </si>
  <si>
    <t>BOTH HOOD RESTRAINTS ARE BROKEN</t>
  </si>
  <si>
    <t>REPLACED ONE CABLE BUT OTHER CABLE NEEDS A MOUNTING STUD SECURED TO HOOD</t>
  </si>
  <si>
    <t>DRIVER'S SIDE WINDSHIELD CHIPED AND CRACKED</t>
  </si>
  <si>
    <t>PASSEGER SIDE DOOR LATCH NOT WORKING PROPERLY - DRIVER HAS TO SLAM DOOR SEVERAL TIMES IN OREDR FOR THE LATCH TOP CATCH.</t>
  </si>
  <si>
    <t>PLEASE REPLACE WIPER BLADES - THEY LEAVE STREAKS AND DO NOT CLEAR DRIVERS FIELD OF VISION</t>
  </si>
  <si>
    <t>CLUTCH NOT DIS-ENGAUGING CRUISE CONTROL</t>
  </si>
  <si>
    <t>CEL LIGHT ON, RED STOP ENGINE LIGHT AND RE-GEN NEEDED WARNING WERE ON BUT WENT OUT ON THEIR OWN.</t>
  </si>
  <si>
    <t xml:space="preserve">NO POWER TO REVERS - O - MATIC </t>
  </si>
  <si>
    <t>WAITING FOR WORK ORDERS</t>
  </si>
  <si>
    <t>AS58611</t>
  </si>
  <si>
    <t>EGR VALVE WARNING WAS ON ALL AFTERNOON ON DEC 11 2018. DRIVER SHUT HIS TRUCK OFF AND TURNED IT BACK ON AT THE END OF HIS DAY AND WARNING WENT OFF AND HAS NOT COME BACK ON</t>
  </si>
  <si>
    <t>CONFIRMED WITH WAYNE THAT PARTS ARE IN - EGR VALVE I BELIEVE? - AS58823 REPLACED EGR PRESSURE SENSOR AND UPDATED PCI SOFTWARE</t>
  </si>
  <si>
    <t>RED STOP ENGINE LIGHT CAME ON TODAY AND DRIVER WAS ASKED TO DRIVE TRUCK TO WINDSOR OR LONDON PETERBILT. ON THEW WAY THE LIGHTS WENT OUT SO DRIVER DROVE TRUCK HOME.</t>
  </si>
  <si>
    <t>WAITING FOR WORK ORDER 1/17/19</t>
  </si>
  <si>
    <t>AS58866</t>
  </si>
  <si>
    <t>RED STOP ENGINE LIGHT ON AGAIN - CAME ON AFTER 30MIN OF DRIVING</t>
  </si>
  <si>
    <t>ENGINE DERATE IN NAPANEE, TRUCK TOWED TO KINGSTON FOR REPAIRS</t>
  </si>
  <si>
    <t>I SPOKE WITH DRIVER (JAMIE) HE WAS PRETTY SURE THIS WAS A DOZER VALVE REPLACEMENT.</t>
  </si>
  <si>
    <t>RED STOP ENGINE LIGHT ON AGAIN - DASH DISPLAY READS EGR VALVE PLUGGED</t>
  </si>
  <si>
    <t>THIS ISSUE IS COMPLETE - I DID NOT GET A WORK ORDER NUMBER FOR THIS SPECIFIC WRITE UP BUT IT WAS AN ONGOING ISSUE FOR SOMETIME - REMOVED FROM LOG 3/15/19</t>
  </si>
  <si>
    <t>AIR LINE FOR INTER-AXLE DIFF LOCK IS BROKEN</t>
  </si>
  <si>
    <t>AS59570</t>
  </si>
  <si>
    <t>DRIVERS SIDE DOOR WILL LOCK WHEN CLOSING DOOR - DOES NOT DO THIS ALL THE TIME</t>
  </si>
  <si>
    <t>AS59570 - COULD NOT DUPLICATE, LUBBED LATCH</t>
  </si>
  <si>
    <t>DRIVER'S SIDE UPPER DOOR SPRING INSIDE OF DOOR BROKEN NEAR HINGE</t>
  </si>
  <si>
    <t xml:space="preserve">MOST OF THE DIODES HAVE BURNT OUT ON THE DRIVERS SIDE SIGNAL LIGHT THAT IS ATTACHED TO THE  WEST COAST MIRROR </t>
  </si>
  <si>
    <t>WAITING FOR WORK ORDER 3/27/19 - COMPLETED BY DYLAN IN YARD</t>
  </si>
  <si>
    <t>TRACTOR LOSING AIR OVERNIGHT</t>
  </si>
  <si>
    <t>2X FENDER BRACKETS BROKEN ON DRIVERS SIDE - AT UPPER SIDE OF BRACKET</t>
  </si>
  <si>
    <t>BOTH EXHAUST STACKS LOOSE - RIGHT SIDE UPPER BUSHING NEEDS REPLACED</t>
  </si>
  <si>
    <t>REPAIRED BY AYRSHOP 5/9/19</t>
  </si>
  <si>
    <t>BREATHER LIGHTS NEED NEW BUSHING - THEY ARE FALLING OUT OF THE STAINLESS MOUNTING PLATE</t>
  </si>
  <si>
    <t>PLEASE CHECK 5TH WHEEL MOVEMENT ON SLIDE RAIL AND JAWS FOR PROPER ADJUSTMENT</t>
  </si>
  <si>
    <t xml:space="preserve">TIGHTENED ADJUSTMENT - </t>
  </si>
  <si>
    <t>FRONT AXLE HUB CAPS SWEATING OIL - PLEASE CHECK AND REPLACE IF NEEDED</t>
  </si>
  <si>
    <t>CLEANED EXCESS OIL, THIS SWEATING IS PART OF THE NORMAL RELEASE OF PRESSURE  - NO PARTS REPLACED AT THIS TIME 7/24/19</t>
  </si>
  <si>
    <t>RESEALED LINES TO COMPRESSOR</t>
  </si>
  <si>
    <t>CLUTCH RATTLES AND VIBRATES, CLUTCH ALSO NEEDS ADJUSTED</t>
  </si>
  <si>
    <t>CLUTCH IN SPEC, NO ADJUSTMENT NEEDED - VIBRATION IS NORMAL FOR THESE TRUCKS - NO SERVICE NEEDED (DYLAN KISS)</t>
  </si>
  <si>
    <t>PASSENGER SIDE WORK LIGHT ON REAR OF CAB IS OUT</t>
  </si>
  <si>
    <t>DRIVERS SIDE CAB MOUNT SLIDER PIN IS MISSING - PLEASE CHECK BOTH SIDES</t>
  </si>
  <si>
    <t xml:space="preserve">UNIT RETURNED FROM SAFETY </t>
  </si>
  <si>
    <t>REPAIRED DURING SAFETY - SERVICED UNIT</t>
  </si>
  <si>
    <t>SUPPLY LINE LEAKING AT GLAD HAND FITTING</t>
  </si>
  <si>
    <t>REPAIRED FITTING</t>
  </si>
  <si>
    <t>TRUCK LEAKS ALL AIR WHEN PARKED OVERNIGHT</t>
  </si>
  <si>
    <t>REPAIRED MULTIPLE LEAKING FITTINGS</t>
  </si>
  <si>
    <t>SAFETY COMPLETED BUT PAPERWORK AND STICKER HAVE NOT BEEN UPDATED</t>
  </si>
  <si>
    <t>ESBAR CAB HEATER NO WORKING - DISPLAY READS ERROR</t>
  </si>
  <si>
    <t>SERVICE ESBAR</t>
  </si>
  <si>
    <t>HOOD CABLE BROKEN ON LEFT SIDE - RIGHT SIDE MOUNT DAMAGED</t>
  </si>
  <si>
    <t>REPAIRED MOUNTS AND REPLACED CABLE</t>
  </si>
  <si>
    <t>UPPER DOOR HOLD BACK ON DRIVERS SIDE IS BROKEN</t>
  </si>
  <si>
    <t>REPLACED LOWER HOLD BACK</t>
  </si>
  <si>
    <t>YELLOW POWER CORD NOT SUPPLYING POWER TO TRAILER INTERIOR LIGHTS - I BELIEVE THE WIRE AT THE 10 OCLOCK POSITION SHOULD BE AT THE 8 OCLOCK POSITION</t>
  </si>
  <si>
    <t>REPAIRED WIRING POSITIONS</t>
  </si>
  <si>
    <t>THERE ARE MULTIPLE PINS WITH CONSTANT POWER IN YELLOW CORD - THERE SHOULD BE NONE IN THIS CORD</t>
  </si>
  <si>
    <t>REPLACED YELLOW CORD</t>
  </si>
  <si>
    <t>THERE ARE MULTIPLE CORRODED WIRES THAT LEAD TO THE RECEPTICLE ENDS (ON THE TRACTOR SIDE) FOR THE TRAILER SUPPLY ELECTRICAL CORDS.</t>
  </si>
  <si>
    <t>REPAIRED ALL CORRODED WIRING LEADING UP TO RECEPTICAL</t>
  </si>
  <si>
    <t>YELLOW RECEPTICAL END ON TRACTOR SIDE IS CRACKED</t>
  </si>
  <si>
    <t xml:space="preserve">REPLACED VISOR LIGHT </t>
  </si>
  <si>
    <t>LICENSE PLATE LIGHT OUT - REPORTED BY DYLAN</t>
  </si>
  <si>
    <t>FRONT BUMPER IS BENT-NEEDS REPLACING..PLEASE FORWARD INVOICE FOR INSURANCE CLAIM</t>
  </si>
  <si>
    <t>7 WAY RECEPTICLE ON TRACTOR HAS MISSING HOLD BACK FLAP - DRIVER REPORTED THAT THIS CAME BACK FROM REPAIRS LIKE THIS</t>
  </si>
  <si>
    <t>HOOD RESTRAINT ON DRIVER SIDE IS BROKEN</t>
  </si>
  <si>
    <t>MOUNTED NEW PLATES FOR HOOD RESTRAINTS</t>
  </si>
  <si>
    <t>CATWALK NEEDS RIGHT SIDE REAR HOLD DOWN BOLT AND CLAMP REPLACED</t>
  </si>
  <si>
    <t>RESECURED DECK PLATE</t>
  </si>
  <si>
    <t>CB NOT WORKING</t>
  </si>
  <si>
    <t>REPLACED CB</t>
  </si>
  <si>
    <t>1 VISOR LIGHT OUT</t>
  </si>
  <si>
    <t>PASSENGER SIDE MIRROR CONTROL NOT WORKING</t>
  </si>
  <si>
    <t>LEFT SIGNAL LIGHT ON MIRROR NOT WORKING - LIGHT IS NOW BROKEN OFF</t>
  </si>
  <si>
    <t xml:space="preserve">FUEL GAUGE NOT WORKING </t>
  </si>
  <si>
    <t>PIPE WITH HEAT SHHIELD RUNNING FROM TURBO HAS BROKEN CLAMP</t>
  </si>
  <si>
    <t>BOTH HOOD LATCHES ARE CRACKED - PLEASE REPLACE</t>
  </si>
  <si>
    <t>REPALCED BOTH LATCHES</t>
  </si>
  <si>
    <t>DRIVERS SIDE DOOR OPEN TO SAFETY LATCH WHILE DRIVING</t>
  </si>
  <si>
    <t>CHECKED BY DYLAN IN YARD - COULD NOT DUPLICATE ISSUE - DOOR OPENS AND CLOSES, LOCKS AND UNLOACKS WITH NO ISSUE - NO FURTHER ACTION TAKEN</t>
  </si>
  <si>
    <t>DRIVER'S SIDE DOOR OPEN TO SAFETY CATCH WHILE DRIVING</t>
  </si>
  <si>
    <t>AS PER PHONE CONVERSATION WITH DRIVER AT 11:05AM JULY 28, 2020 BUT DRIVER DID NOT WRITE UP DEFECT. - ARYSHOP REPLACED DOOR LATCH 7/30/20</t>
  </si>
  <si>
    <t>LIGHT NOT ON WHILE TRUCK WAS AT AYRSHOP - NO ISSUE FOUND</t>
  </si>
  <si>
    <t>HD A SERVICE DUE IN MARCH 2020</t>
  </si>
  <si>
    <t>REPLACED BLOWER MOTOR AND SERVICED HEATER</t>
  </si>
  <si>
    <t xml:space="preserve">AIR PRESSURE NOT BUILDING IN SECONDARY AIR TANK </t>
  </si>
  <si>
    <t>COMPLETED BY AYRSHOP, WAITING FOR WORK ORDERS - 3/25/20</t>
  </si>
  <si>
    <t>REPLACED DOOR HOLD BACK - UNIT AT AYRSHOP FROM 2/28/20 TO 3/25/20</t>
  </si>
  <si>
    <t>ESBAR ENGINE HEATER FAILED TO RUN</t>
  </si>
  <si>
    <t>REPLACED COOLANT LINE AND FIXED WIRING HARNESS  - UNIT AT AYRSHOP FROM 2/28/20 TO 3/25/20</t>
  </si>
  <si>
    <t>TRUCK HAS COOLANT LEAK FROM TOP OF RAD HOSE</t>
  </si>
  <si>
    <t>REPLACED HOSE - UNIT AT AYRSHOP FROM 2/28/20 TO 3/25/20</t>
  </si>
  <si>
    <t>TRUCK LEAKING COOLANT FROM ESBAR ENGINE HEATER</t>
  </si>
  <si>
    <t>REPLACED LINE - UNIT AT AYRSHOP FROM 2/28/20 TO 3/25/20</t>
  </si>
  <si>
    <t>NEEDS DEF HARNESS REPLACED - REPORTED BY AYRSHOP DURING A TEST DRIVE</t>
  </si>
  <si>
    <t>REPLACED HARNESS - UNIT AT AYRSHOP FROM 2/28/20 TO 3/25/20</t>
  </si>
  <si>
    <t>ENGINE ESBAR HEATER FAILED TO RUN</t>
  </si>
  <si>
    <t>TRACTOR AND TRAILER TAIL LIGHTS REMAIN ON WHEN SWITCH IS OFF</t>
  </si>
  <si>
    <t>SPOKE WITH DRIVER THIS IS NO LONGER AN ISSUE, COULD NOT IDENTIFY IF A REPAIR HAD TAKEN PLACE AND COULD NOT GET FEED BACK FROM AYRSHOP. TAKEN OFF LOG, DRIVER AWARE</t>
  </si>
  <si>
    <t>SPOKE WITH DRIVER, CEL NO LONGER ON, TRUCK DRIVING FINE - REMOVED FROM LOG - NO ACTION TAKEN</t>
  </si>
  <si>
    <t>ENGINE ESBAR NOT WORKING AND LEAKING COOLANT -</t>
  </si>
  <si>
    <t>COMPLLETED BY AYRSHOP 7/10/20</t>
  </si>
  <si>
    <t>PLEASE SET CLUTCH - CURRENTLY HAS NO FREE PLAY</t>
  </si>
  <si>
    <t>TRUCK RIDES ROUGH - PLEASE CHECK CAB RIDE HIEGHT AND DRIVELINE ANGLES FOR RIDE HEIGHT- MAYBE LEVELING VAVLE ISSUE</t>
  </si>
  <si>
    <t>SENT TO AYRSHOP 7/20/20 - COMPLETED BY AYRSHOP</t>
  </si>
  <si>
    <t>WAITING FOR UPDATE FROM PETERBILT - ISSUE NOT RESOLVED AS PER DRIVER 7/16/20</t>
  </si>
  <si>
    <t>CB ANTENNA BROKEN ON DRIVER'S SIDE</t>
  </si>
  <si>
    <t>REPLACED CB ANTENNA</t>
  </si>
  <si>
    <t>CRACKS IN CROSS MEMBER BEHIND 5TH WHEEL</t>
  </si>
  <si>
    <t>REPLACED 5TH WHEEL SLIDER ASSEMBLY</t>
  </si>
  <si>
    <t>AUDIBLE AIR LEAK UNDER CAB, DRIVER COULD NOT LOCATE - SECONDARY TANK DEPLETES IN 20MIN.</t>
  </si>
  <si>
    <t>windows</t>
  </si>
  <si>
    <t>DRIVERS SIDE WINDOW NOT GOING UP OR DOWN</t>
  </si>
  <si>
    <t>AIR LINE FOR 5TH WHEEL SLIDER IS BROKEN</t>
  </si>
  <si>
    <t>REPLACED AIR LINE</t>
  </si>
  <si>
    <t>TEMPERTURE NOT ACCURATE</t>
  </si>
  <si>
    <t>DIAGNOSED BY DYLAN IN YARD - NEEDS AN OAT SENSOR REPLACED 12/9/19 - REPLACED OAT SENSOR</t>
  </si>
  <si>
    <t>REPLACED OAT SENSOR</t>
  </si>
  <si>
    <t>PASSENGER SIDE WINDOW DOES NOT GO DOWN - NEEDS REGULATOR</t>
  </si>
  <si>
    <t>REPLACED BACK UP BEEPER</t>
  </si>
  <si>
    <t>COMPLETED BY AYRSHOP 2/27/20</t>
  </si>
  <si>
    <t>REPLACED CABLE</t>
  </si>
  <si>
    <t>DEF WARNING LIGHT ON</t>
  </si>
  <si>
    <t>REPLACED DPF HARNESS</t>
  </si>
  <si>
    <t>ABS LIGHT ON DASH</t>
  </si>
  <si>
    <t>RETORQUE ALL WHEELS BOTH SIDES FROM TIRE REPAIR AND REPLACEMENT</t>
  </si>
  <si>
    <t>CALLED OK TIRE</t>
  </si>
  <si>
    <t>FIFTH WHEEL STICKING - NOT REPORTED BY DRIVER (DAVE McCAUSLAND)</t>
  </si>
  <si>
    <t>AT AYRSHOP 4/9/20</t>
  </si>
  <si>
    <t>LUBBED FIFTH WHEEL  - UNIT NEEDS SLIDERS REPLACED AND REBUILD KIT 3/26/20 - REPLACED 5TH WHEEL AND SLIDES</t>
  </si>
  <si>
    <t>DRIVER DOOR LATCH NOT STAYING LATCHED</t>
  </si>
  <si>
    <t>REPLACED LATCH</t>
  </si>
  <si>
    <t>PASSENGER SIDE LOW BEAM OUT</t>
  </si>
  <si>
    <t>REPLACED HEAD LIGHT</t>
  </si>
  <si>
    <t>PASSENGER SIDE LOW BEAM LIGHT OUT</t>
  </si>
  <si>
    <t>BUMPER BENT INTO AND FENDER DAMAGED</t>
  </si>
  <si>
    <t>MULTIPLE CODES ACTIVE - TRUCK LOOSING POWER</t>
  </si>
  <si>
    <t>EGR VALVE REPLCED</t>
  </si>
  <si>
    <t>FUEL FILTER GAUGE STOPPED WORKING</t>
  </si>
  <si>
    <t>ISSUE RESOLVED</t>
  </si>
  <si>
    <t>PASSENGER SIDE DOOR NOT CLOSING PROPERLY</t>
  </si>
  <si>
    <t>PLEASE REPLACE COUPLING LINES - LINES TOO SHORT</t>
  </si>
  <si>
    <t>RE-STRUNG GEAR - DID NOT REPLACE AS ALL LENTHS ARE GOOD</t>
  </si>
  <si>
    <t xml:space="preserve">TURBO HAS LOW BOOST </t>
  </si>
  <si>
    <t>REGENED TRUCK, CHECKED ALL AIR TO AIR PIPING, TURBO AT REGULAR BOOST - NO FURTHER ISSUE FOUND</t>
  </si>
  <si>
    <t>SKIRT LIGHTS NOT WORKING ON PASSENGER SIDE</t>
  </si>
  <si>
    <t>REPAIRED SKIRT LIGHTS</t>
  </si>
  <si>
    <t>DRIVERS SIDE TAIL LIGHT DIM</t>
  </si>
  <si>
    <t>REPAIRED TAIL LIGHT</t>
  </si>
  <si>
    <t>CB NOT WORKING - MAY NEED TO BE REPLACED</t>
  </si>
  <si>
    <t>REPLACED CB RADIO</t>
  </si>
  <si>
    <t>AIR LEAK AT SUPPLY GLAD HAND FROM JUST BELOW THE HANDLE</t>
  </si>
  <si>
    <t>1 BREATHER LIGHT OUT ON PASSENGER SIDE</t>
  </si>
  <si>
    <t>LOWER RADIATOR HOSE CLAMP BROKEN</t>
  </si>
  <si>
    <t>REPAIRED BY ACE TRUCK CENTERS - CALLED BY PACCENTRAL</t>
  </si>
  <si>
    <t>REPLACED LOWER RAD CLAMP - TOPPED UP COOLANT</t>
  </si>
  <si>
    <t>ONLY 3 DIODES LEFT ON NEW DRIVER'S SIDE MIRROR SIGNAL LIGHT</t>
  </si>
  <si>
    <t>HOOK UP LIGHTS ON BACK OF CAB NOT WORKING - THESE WERE REPAIRED RECENTLY</t>
  </si>
  <si>
    <t>REPLACED LIGHT - REPAIRED WIRE</t>
  </si>
  <si>
    <t>TAIL LIGHTS NOT WORKING</t>
  </si>
  <si>
    <t>REPAIRED LIGHTR</t>
  </si>
  <si>
    <t>LIGHT CORD PLUG LOOSE ON TRAILER END - LIGHTS FLICKER</t>
  </si>
  <si>
    <t>REPLACED 7-WAY RECEPTICAL</t>
  </si>
  <si>
    <t>REPLACED BREATHER LIGHTS ON BOTH SIDES</t>
  </si>
  <si>
    <t>SKIRT LIGHT OUT - REPORTED BY DYLAN</t>
  </si>
  <si>
    <t>SUSPENSION WON'T AIR UP</t>
  </si>
  <si>
    <t>HD B SERVICE DUE IN JANUARY 2020</t>
  </si>
  <si>
    <t>COMPLETED BY AYRSHOP, WAITING FOR WORK ORDERS - 4/4/20</t>
  </si>
  <si>
    <t>PERFORMED PMB SERVICE</t>
  </si>
  <si>
    <t>REPLACED 30AMP FUSE IN TRUCK MYSELF - SPOKE WITH DRIVER AND ISSUE IS REPAIRED</t>
  </si>
  <si>
    <t>SKIRT LIGHT OUT ON DRIVERS SIDE</t>
  </si>
  <si>
    <t>DRIVER'S OUTSIDE DOOR HANDLE LOOSE</t>
  </si>
  <si>
    <t>REPLACED INTERNAL COMPONENTS</t>
  </si>
  <si>
    <t>WIPERS NEED REPLACING</t>
  </si>
  <si>
    <t>DRIVER SIDE DOOR ONLY CLOSES TO SAFETY CATCH</t>
  </si>
  <si>
    <t>BLOWER FAN RUNS WITH IGNITION OFF</t>
  </si>
  <si>
    <t>NO ISSUE FOUND - NO SERVICE COMPLETED</t>
  </si>
  <si>
    <t>HUB OIL LEAKING/SWEATING FROM HUB SEAL ON PASSENGER SIDE</t>
  </si>
  <si>
    <t>TIGHTENED BOLTS FOR HUB CAP</t>
  </si>
  <si>
    <t>HUB CAP MISSING ON LEFT SIDE STEER TIRE - HALF MOON STYLE</t>
  </si>
  <si>
    <t>REPLACED LEFT SIDE HALF MOON, RIGHT SIDE ON ORDER</t>
  </si>
  <si>
    <t>MAIN BOLT LOOSE ON PASSENGER SIDE QUARTER FENDER</t>
  </si>
  <si>
    <t>POGO STICK HAS BROKEN SPRING</t>
  </si>
  <si>
    <t>FUEL TANKS LEAKING FROM TOP OF TANKS ON BOTH SIDES</t>
  </si>
  <si>
    <t>OVERFLOW TUBE LEAKING ON DRIVER'S SIDE AND FUEL PICKUP FITTING LEAKING ON PASSENGER SIDE</t>
  </si>
  <si>
    <t>OIL PAN HAS SLOW LEAK</t>
  </si>
  <si>
    <t>REPLACED BRASS WASHER ON DRAIN PLUG</t>
  </si>
  <si>
    <t>HD A #2 SERVICE</t>
  </si>
  <si>
    <t>COMPLETED HD A #2 SERVICE</t>
  </si>
  <si>
    <t>RIGHT SIDE MARKER LIGHT IN HEADLIGHT ASSEMBLY IS OUT - SIGNAL STILL WORKS</t>
  </si>
  <si>
    <t>REPLACED MARKER LIGHT</t>
  </si>
  <si>
    <t>LIGHT OUT ON RIGHT SIDE BREATHER</t>
  </si>
  <si>
    <t>ESBAR CAB HEATER EXHAUST PIPE BROKEN</t>
  </si>
  <si>
    <t>REPLACED EXHAUST TUBE</t>
  </si>
  <si>
    <t>DRIVER'S SIDE UPPER EXHAUST STACK MOUNT BROKEN</t>
  </si>
  <si>
    <t>TRUCK HAS BEEN BOOSTED TWICE IN THE LAST WEEK - PLEASE LOAD TEST FOR WEAK BATTERIES</t>
  </si>
  <si>
    <t xml:space="preserve">UNEVEN WEAR ON RIGHT SIDE STEER TIRE - FLAT SPOTTING AND TAPERS TO THE OUTSIDE </t>
  </si>
  <si>
    <t>TIRES REPLACED BY SHAGS</t>
  </si>
  <si>
    <t>SHAGS TO REPLACE STEER TIRES ON WEEKEEND 1/10/20</t>
  </si>
  <si>
    <t>RIGHT SIDE, FRONT DRIVE OUTSIDE TIRE HAS A SCREW IN IT</t>
  </si>
  <si>
    <t>REPAIRED BY SHAGS IN YARD</t>
  </si>
  <si>
    <t>ABS WARNING AND STABILITY CONTROL INDICATOR STAYING ON IN DASH - FAULT INDICATOR SAYS RIGHT SIDE WHEEL SPEED SENSOR.</t>
  </si>
  <si>
    <t>REPLACED FRONT DRIVE WHEEL SPEED SENSOR</t>
  </si>
  <si>
    <t>RIGHT SIDE STEER AXLE WHEEL SPEED SENSOR NEEDS REPLACED</t>
  </si>
  <si>
    <t>REPORTERD BY DYLAN 1/27/20</t>
  </si>
  <si>
    <t>ONE LIGHT OUT ON RIGHT SIDE AIR BREATHER</t>
  </si>
  <si>
    <t>RIGHT SIDE HEAD LIGHT OUT - WOULD IT BE POSSIBLE TO REPLACE BOTH BULBS WITH NIGHTHAWK H11 BULBS?</t>
  </si>
  <si>
    <t>REPLACED BOTH HEADLIGHTS WITH NIGHTHAWK H11 BULBS</t>
  </si>
  <si>
    <t>ESBAR CAB HEATER NOT WORKNG</t>
  </si>
  <si>
    <t>HEATER WORKING NOW - DID NOT WORK ON ONE COLD DAY - NO FURTHER ISSUES SINCE FEB 14 2020</t>
  </si>
  <si>
    <t>RIGHT SIDE MIRROR TURN SIGNAL HAS SEVERAL DIODES OUT ON THE AMBER SIDE</t>
  </si>
  <si>
    <t>COMPLETED BY DYLAN IN YARD - NO ACTION TAKEN</t>
  </si>
  <si>
    <t>CAN NOT REPLACE AT THIS TIME - NOT ENOUGH DIODES BURNT</t>
  </si>
  <si>
    <t>DRIVER'S SIDE FUEL TANK LEAKING FROM FITTINGS</t>
  </si>
  <si>
    <t>REMOVED TANK COVERS FROM BOTH SIDES - DID NOT FIND ANY LEAKS</t>
  </si>
  <si>
    <t>REPLACED BURNT BREATHER LIGHT</t>
  </si>
  <si>
    <t>SUSPENSION WILL NOT BUILD AIR</t>
  </si>
  <si>
    <t>REPLACED AYR DRYER</t>
  </si>
  <si>
    <t>REPLACED 2 SKIRT LIGHTS</t>
  </si>
  <si>
    <t xml:space="preserve">DRIVERS SIDE EXHAUST STACK SHIFTED VERY CLOSE TO DRIVER'S SIDE DOOR </t>
  </si>
  <si>
    <t xml:space="preserve">NO ISSUE FOUND - STACK NOT IN WAY OF DRIVERS DOOR </t>
  </si>
  <si>
    <t>WASHER PUMP DOES NOT KICK IN EVERYTIME - HAVE TO TAP IT WITH RUBBER END OF SCREWDRIVER</t>
  </si>
  <si>
    <t>REPLACED WASHER PUMP</t>
  </si>
  <si>
    <t>SERPENTINE BELT SQUEELS IN MORNINGS - COULD ALSO BE AN ISSUE WITH A PULLY OR BEARING</t>
  </si>
  <si>
    <t>REPLACED BOTH BELTS AND TENSIONER</t>
  </si>
  <si>
    <t xml:space="preserve">TEMP GUAGE MOVES UP AND DOWN BUT NEVER AT NORMAL OPERATING TEMP </t>
  </si>
  <si>
    <t>AT AYRSHOP 4/23/20</t>
  </si>
  <si>
    <t>REPLACED THERMOSTAT</t>
  </si>
  <si>
    <t>DECK PLATE OVER PASS. SIDE FUEL TANK MISSING BOLT AND HARDWARE.</t>
  </si>
  <si>
    <t>REPAIRED DECKPLATE</t>
  </si>
  <si>
    <t>5TH WHEEL CROSS MEMBER CRAKING AT WELDS AGAIN</t>
  </si>
  <si>
    <t>AT AYRSHOP 6/3/20</t>
  </si>
  <si>
    <t>RIGHT SIDE HEAD LIGHT OUT</t>
  </si>
  <si>
    <t>DRIVERS SIDE FUEL TANK HAS CRACKED WELD AT MOUNTING PLATE FOR FUEL PICKUP AND OVERFLOW TUBING</t>
  </si>
  <si>
    <t>AT AYRSHOP 8/10/20 - COMPLETED BY AYRSHOP 8/14/20</t>
  </si>
  <si>
    <t>DIAGNOSED BY ALWAYS ON CALL 7/31/20 WILL NEED TANKS REPLACED OR REPAIRED. - FUEL TANK SENT OUT TO BE RE-WELDED</t>
  </si>
  <si>
    <t>CHECK ENGINE LIGHT ON AND SERVICE ENGINE SOON LIGHT ON</t>
  </si>
  <si>
    <t>BREATHER LIGHTS ON DRIVERS SIDE NOT WORKING</t>
  </si>
  <si>
    <t>REPAIRED LIGHTS AND WIRING</t>
  </si>
  <si>
    <t>PASSENGER SIDE DOOR DIFFICULT TO CLOSE AND POPS OPEN TO SAFETY CATCH WHILE DRIVING</t>
  </si>
  <si>
    <t>CLEANED, SERVICED AND TESTED</t>
  </si>
  <si>
    <t>ABS LIGHT ON IN DASH</t>
  </si>
  <si>
    <t>NO WARNING INDICTOR PRESENT, NO ISSUE FOUND</t>
  </si>
  <si>
    <t>MIDDLE VISOR LIGHT OUT - WILL COME ON BUT GOES BACK OUT AGAIN</t>
  </si>
  <si>
    <t>DRIVERS SIDE DOOR HANDLE STICKING</t>
  </si>
  <si>
    <t>HD A #2 SERVICE DUE IN NOVEMBER 2019</t>
  </si>
  <si>
    <t>VISOR LIGHT OUT - 2ND FROM RIGHT</t>
  </si>
  <si>
    <t>ONE RIGHT SIDE SKIRT LIGHT OUT</t>
  </si>
  <si>
    <t>REPLACED BEEPER</t>
  </si>
  <si>
    <t xml:space="preserve">AIRLINE BROKEN AT BACK OF CAB - BROKEN ACCIDENTLY BY DYLAN WHILE DIAGNOSING ISSUE WITH BACK UP BEEPER </t>
  </si>
  <si>
    <t>REPAIRED AIRLEAK</t>
  </si>
  <si>
    <t>TWO VISOR LIGHTS FLICKERING ON AND OFF</t>
  </si>
  <si>
    <t>REPLACED BOTH VISOR LIGHTS</t>
  </si>
  <si>
    <t>LEVELING VALVE LEAKING - REPORTED BY DYLAN</t>
  </si>
  <si>
    <t>RIGHT SIDE HALF FENDER HAS BROKEN SUPPORT BRACKET</t>
  </si>
  <si>
    <t>REPLACED SUPPORT BRACKET</t>
  </si>
  <si>
    <t>ELECRTICAL CORD END LOOSE, LIGHTS FLICKER WHEN TAKING CORNERS</t>
  </si>
  <si>
    <t>AMBER CHECK ENGINE LIGHT ON - CODE SPN 5319</t>
  </si>
  <si>
    <t>AT AYRSHOP 5/13/20</t>
  </si>
  <si>
    <t>RED STOP LIGHT ON</t>
  </si>
  <si>
    <t>AT AYRSHOP LONDON</t>
  </si>
  <si>
    <t>SPOKE WITH ADAM ON FRIDAY MAY 15TH  - ADAM CONFIRMED TRUCK WAS REPAIRED - DRIVER PICKED UP TUES MORN, DROVE 35KM AND AMBER CEL LIGHT CAME BACK ON, SHORTLY AFTER RED STOP ENGINE LIGHT CAME ON - DRIVER CALLED FOR SERVICE. TRUCK THEN WENT BACK TO PETERBILT LONDON AND HAD EXTENSIVE DEF SYSTEM REPAIRS. DRIVER PICKED UP NEXT DAY AND TRUCK CODED AGAIN SO HE TOOK IT BACK TO PETERBILT LONDON. LONDON THEN  REPAIRED/REPLACED A DEF HARNESS AND ATTEMPTED TO RETURN TRUCK BUT CEL LIGHT CAME BACK ON AGAIN</t>
  </si>
  <si>
    <t>5 TH WHEEL MOUNTING BOLT LOOSE…LEFT SIDE REAR</t>
  </si>
  <si>
    <t>ATC LIGHT ON AND STAYING ON -</t>
  </si>
  <si>
    <t>WAITING FOR WIRING HARNESS</t>
  </si>
  <si>
    <t>HOOD MOUNTS BROKEN AND CRACKED ON BOTH SIDES - PLEASE REPLACE</t>
  </si>
  <si>
    <t>COMPLETED BY ALWAYS ON CALL 7/17/20</t>
  </si>
  <si>
    <t>ALWAYS ON CALL COMING 7/17/20 AS PER AYRSHOP - REPLACED HOOD LATCHES ON BOTH SIDES</t>
  </si>
  <si>
    <t>WIPERS WORKING INTERMITTENTLY - WORK FOR A COUPLE OF MINUTES THEN QUIT THEN START AGAIN</t>
  </si>
  <si>
    <t>ALWAYS ON CALL COMING 7/17/20 AS PER AYRSHOP - COULD NOT DUPLICATE ISSUE</t>
  </si>
  <si>
    <t>CHECK ENGINE LIGHT ON - FAULT CODE READOUT IN TRUCK STATES (PARTICULATE TRAP OUTLET TEMP).</t>
  </si>
  <si>
    <t>SENT TO AYRSHOP 7/20/20 - TEMPERTURE SENSOR PACK REPLACEMENT</t>
  </si>
  <si>
    <t>LICENCE PLATE LIGHT ONLY WORKS INTERMITTENTLY</t>
  </si>
  <si>
    <t>ONE BACK OF CAB LIGHT IS OUT</t>
  </si>
  <si>
    <t>GPS IN TRUCK READS UPDATES AVAILABLE - PLEASE UPDATE</t>
  </si>
  <si>
    <t>SYSTEM UPDATE</t>
  </si>
  <si>
    <t>REAR AXLE TEMPERATURE SENSOR NOT WORKING</t>
  </si>
  <si>
    <t>REPLACED REAR AXLE TEMP SENSOR AND REPAIRED WIRING</t>
  </si>
  <si>
    <t>PLEASE CHECK REAR BRAKES - DRIVER REPORTED BRAKE SMELL ON REGULAR APPLICATION</t>
  </si>
  <si>
    <t>REPLACED LEFT SIDE REAR AXLE BRAKE CHAMBER, PADS AND ROTOR</t>
  </si>
  <si>
    <t>ELECTRONIC LOG NOT WORKING, NO POWER TO SCREEN AND NOT KEEPING ACTIVE DISPATCH</t>
  </si>
  <si>
    <t>NO ISSUE FOUND, WORKED RIGHT FROM TIME OF PICKUP</t>
  </si>
  <si>
    <t>HD A #2 SERVICE DUE IN OCTOBER 2019</t>
  </si>
  <si>
    <t>NEEDS REAR AXLE TEMP SENSOR</t>
  </si>
  <si>
    <t>EXHAUST CLAMPS HOLDING STACKS IN PLACE ARE LOOSE ON BOTH SIDES AND NEED REPLACED</t>
  </si>
  <si>
    <t>THIS WAS REPAIRED WITH SELF TAPPPING SCREWS BUT NEEDS NEW CLAMPS 11/11/19 - NOT TOUCHED DURING SAFETY</t>
  </si>
  <si>
    <t xml:space="preserve">LEFT REAR DRIVE AXLE BRAKES STUCK ON - CREATING FIRE IN ROTOR </t>
  </si>
  <si>
    <t>REPAIRED BY ALWAYS ON CALL - ON ROADSIDE - HANLON EXPRESSWAY</t>
  </si>
  <si>
    <t>ROADSIDE MECHANIC COMMENTED THAT TRUCK IS NOW FINE TO DRIVE AFTER COMPLETING HIS REPAIRS</t>
  </si>
  <si>
    <t>FIRE EXTINGUISHER NEEDS REPLACED</t>
  </si>
  <si>
    <t>REPLACED FIRE EXTINGUISHER</t>
  </si>
  <si>
    <t>DRIVER'S SIDE HALF FENDER BRACKET NEEDS REPLACED</t>
  </si>
  <si>
    <t>AT AYRSHOP 1/30/20</t>
  </si>
  <si>
    <t>REPLACED FENDER MOUNT</t>
  </si>
  <si>
    <t>RED GLAD HAND HAS AIR LEAK</t>
  </si>
  <si>
    <t>ESBAR ENGINE HEATER AND CAB HEATER NOT WORKING</t>
  </si>
  <si>
    <t>CLEANED AND SERVICED BOTH HEATERS</t>
  </si>
  <si>
    <t xml:space="preserve">DRIVER SIDE LOW BEAM LIGHT OUT </t>
  </si>
  <si>
    <t>DRIVER REPLACED BULB</t>
  </si>
  <si>
    <t>DRIVER SIDE HEAD LIGHT OUT</t>
  </si>
  <si>
    <t>DRIVER'S SIDE DOOR LATCH DOES NOT CLOSE COMPLETELY</t>
  </si>
  <si>
    <t>FIRE EXTINGUISHER DOES NOT LATCH PROPERLY IN HOLDER</t>
  </si>
  <si>
    <t>REPAIRED EXTINGUISHER HOLD DOWN STRAP</t>
  </si>
  <si>
    <t>PLEASE REPLACE LOWER STACK CLAMPS ON BOTH SIDES</t>
  </si>
  <si>
    <t>REPLACED BOTH LOWER CLAMPS</t>
  </si>
  <si>
    <t>AIR DRYER NOT WORKING - NO AIR BUILD UP IN SECONDARY AIR TANK</t>
  </si>
  <si>
    <t>BATTERIES GETTING VERY WEAK</t>
  </si>
  <si>
    <t>AT AYRSHOP 8/17/20</t>
  </si>
  <si>
    <t>A/C NOT COLD ENOUGH</t>
  </si>
  <si>
    <t>CAB CONTROL FOR A/C NOT WORKING PROPERLY - GOES STRAIGHT FROM COLD TO HOT BUT DOES NOT HAVE A RANGE OF COLD AND HOT</t>
  </si>
  <si>
    <t>AIR LEAK UNDRE HOOD…LEFT SIDE OF ENGINE</t>
  </si>
  <si>
    <t>REPLACED FITTING ON AIR SHUT OFF LINE</t>
  </si>
  <si>
    <t>CLUTCH SWITCH NOT WORKING</t>
  </si>
  <si>
    <t xml:space="preserve">REPLACED CLUTCH SWITCH </t>
  </si>
  <si>
    <t>CLEARED CODES - ORDERED CCV MODULE - TO BE REPLACED 5/25/20 - CCV MODULE REPLACED 5/25/20</t>
  </si>
  <si>
    <t>DRIVER SIDE HEADLIGHT OUT</t>
  </si>
  <si>
    <t>TRUCK WILL BE AT 505 SOUTHGATE AT 3PM 6/10/20</t>
  </si>
  <si>
    <t>POWER STEERING RESERVIOR IS LEAKING</t>
  </si>
  <si>
    <t>CHECK ENGINE LIGHT ON - SAME CODE AS LAST WEEK (SPN3556)</t>
  </si>
  <si>
    <t>HOOD LATCHES BROKEN ON BOTH SIDES</t>
  </si>
  <si>
    <t>DRIVER SIDE REAR DRIVE WHEEL BRAKES ARE NOT RELEASING ALL THE WAY - HUBS VERY HOT</t>
  </si>
  <si>
    <t>DRIVER'S SIDE SEAT NEEDS HEATING ELEMENT REPLACED</t>
  </si>
  <si>
    <t>HOOD SPRING BROKEN ON DRIVERS SIDE</t>
  </si>
  <si>
    <t>PM B service due and annual safety due by end of January</t>
  </si>
  <si>
    <t>in your yard</t>
  </si>
  <si>
    <t>driver has been put into 4143</t>
  </si>
  <si>
    <t>sometimes truck does not want to start , you need to try key a few times, it was bad last week when it turned mild</t>
  </si>
  <si>
    <t>when at highway speeds and you are using washer fluid, the spray covers the glass on passenger side mirror.</t>
  </si>
  <si>
    <t>interior lights do not come on when you open door</t>
  </si>
  <si>
    <t xml:space="preserve">air leak in emergency line at glad hand </t>
  </si>
  <si>
    <t>Fixed in sleeman yard</t>
  </si>
  <si>
    <t>right steer hub leaking oil visible on rim</t>
  </si>
  <si>
    <t>after 7:00pm</t>
  </si>
  <si>
    <t>WAITING FOR REPLY ABOUT REPAIR</t>
  </si>
  <si>
    <t>continually generating low battery alarm</t>
  </si>
  <si>
    <t>available mar 4th at 2:00pm</t>
  </si>
  <si>
    <t>please check batteries</t>
  </si>
  <si>
    <t>Fuel Tanks</t>
  </si>
  <si>
    <t>low fuel warning in truck but tanks are full</t>
  </si>
  <si>
    <t>4:00am</t>
  </si>
  <si>
    <t>sending unit diconected</t>
  </si>
  <si>
    <t>blown maxi right front</t>
  </si>
  <si>
    <t>loose clamp</t>
  </si>
  <si>
    <t>no brake lights on trailer with this truck no problem when hooked to different truck.</t>
  </si>
  <si>
    <t>replaced fuse</t>
  </si>
  <si>
    <t xml:space="preserve">low battery warning </t>
  </si>
  <si>
    <t>front drivers side windshield cracked</t>
  </si>
  <si>
    <t>PM A service due</t>
  </si>
  <si>
    <t>emergency glad hand has air leak</t>
  </si>
  <si>
    <t>starter overheat indicator on dash truck will not turn over</t>
  </si>
  <si>
    <t>truck has loud squeek between 20-40km/hr driver thinks it may be brake related</t>
  </si>
  <si>
    <t>this is harmonic balancing between the hard brake lining and the drum</t>
  </si>
  <si>
    <t>air lines dragging on deck plate</t>
  </si>
  <si>
    <t>needs coolant return line</t>
  </si>
  <si>
    <t>ordered part may take 7-10 days to get</t>
  </si>
  <si>
    <t>hood extensions seized hood very,very hard to open</t>
  </si>
  <si>
    <t>both air lines leaking at coupling in line</t>
  </si>
  <si>
    <t>fixed by Alltruk</t>
  </si>
  <si>
    <t>wipers do not clear full path, please replace with new winter wipers.</t>
  </si>
  <si>
    <t>need back by end of week. Using early Monday morning</t>
  </si>
  <si>
    <t>needs new wiper blades</t>
  </si>
  <si>
    <t>shunting in yard</t>
  </si>
  <si>
    <t>Sending to Montreal Thursday morning.</t>
  </si>
  <si>
    <t>power outlet not working</t>
  </si>
  <si>
    <t>retorque all wheels</t>
  </si>
  <si>
    <t>drivers  door lock tumblers will not turn with key</t>
  </si>
  <si>
    <t>needs to go to kenworth for repair when parts are in</t>
  </si>
  <si>
    <t>lock ordered will be 10-12days from 02/08/16</t>
  </si>
  <si>
    <t xml:space="preserve">PM B service due   </t>
  </si>
  <si>
    <t>fuse for lift axle blown</t>
  </si>
  <si>
    <t>yellow cord has a split in it.</t>
  </si>
  <si>
    <t>repaired cord</t>
  </si>
  <si>
    <t>no iiues found cleared light.</t>
  </si>
  <si>
    <t>right front drive maxi blown</t>
  </si>
  <si>
    <t>due for service</t>
  </si>
  <si>
    <t>due for service 257906</t>
  </si>
  <si>
    <t>please adjust clutch up it is not stopping 1st gear on take off</t>
  </si>
  <si>
    <t>left front signal not working</t>
  </si>
  <si>
    <t>Driver will be stoping by around 1:30pm tomorrow to fix</t>
  </si>
  <si>
    <t>two amber check engine lights came on, one with wrench and an abs light. Try to do a manual regen, but no luck, because truck has been shunting back and forth 2 km</t>
  </si>
  <si>
    <t>in my yard</t>
  </si>
  <si>
    <t>10pm</t>
  </si>
  <si>
    <t xml:space="preserve"> I called Reinhart and set up service Saturday.</t>
  </si>
  <si>
    <t>Ken picking up  today for service and return by end of day to shunt.</t>
  </si>
  <si>
    <t>please mount licence plate on l/s front of bumper instead of l/s below.</t>
  </si>
  <si>
    <t xml:space="preserve"> both ac 12 volt receptacles  don't work </t>
  </si>
  <si>
    <t>right side rear brake chamber leaking on service side</t>
  </si>
  <si>
    <t>supply air line leaking at glad hand fitting, please put handle extenders on both lines?</t>
  </si>
  <si>
    <t>licence plate light out</t>
  </si>
  <si>
    <t>completed</t>
  </si>
  <si>
    <t>12Volt receptical facing passenger side not working</t>
  </si>
  <si>
    <t>available now</t>
  </si>
  <si>
    <t>check engine light on and staying on.</t>
  </si>
  <si>
    <t>have now added 6 litres of coolant in the since feb 25th this truck has probably only driven a few hundred km in that time.</t>
  </si>
  <si>
    <t>Monday mar 7th</t>
  </si>
  <si>
    <t>truck was driven and checked for leaks but none where found</t>
  </si>
  <si>
    <t>annual inspection due in april</t>
  </si>
  <si>
    <t>arm rest loose</t>
  </si>
  <si>
    <t>5pm</t>
  </si>
  <si>
    <t>door lock not working on driver side</t>
  </si>
  <si>
    <t>yellow cord needs replaced</t>
  </si>
  <si>
    <t>left side mud flap needs replaced</t>
  </si>
  <si>
    <t>repaired by r&amp;n</t>
  </si>
  <si>
    <t>right passenger fender light out</t>
  </si>
  <si>
    <t>right fender mirror burnt</t>
  </si>
  <si>
    <t>hood extremly hard to open</t>
  </si>
  <si>
    <t>clutch brake needs to be adjusted</t>
  </si>
  <si>
    <t>brakes need adjustment</t>
  </si>
  <si>
    <t>drivers door stopper binding</t>
  </si>
  <si>
    <t>repaired in your yard</t>
  </si>
  <si>
    <t>this truck needs a set of triangles</t>
  </si>
  <si>
    <t>PM B service due</t>
  </si>
  <si>
    <t>front right indicator light out</t>
  </si>
  <si>
    <t>due for service 179995</t>
  </si>
  <si>
    <t xml:space="preserve">right side hub cover missing </t>
  </si>
  <si>
    <t>check engine light staying on</t>
  </si>
  <si>
    <t>sent to KW kitchener</t>
  </si>
  <si>
    <t>front left signal light not working</t>
  </si>
  <si>
    <t>502-183</t>
  </si>
  <si>
    <t>lowbeam malfunction light came on and then it went out. Lights were working all that time.</t>
  </si>
  <si>
    <t>green light cord wires exposed at trailer end.</t>
  </si>
  <si>
    <t>driver has been put into 502-184</t>
  </si>
  <si>
    <t>no power, code 91</t>
  </si>
  <si>
    <t>can't connect to bluetooth--serious error , must shut down message comes up [application error]</t>
  </si>
  <si>
    <t>driver tethered to media station and problem self corrected.</t>
  </si>
  <si>
    <t>light out on visor right side</t>
  </si>
  <si>
    <t>after 5:00pm</t>
  </si>
  <si>
    <t>bose seat not operating at all</t>
  </si>
  <si>
    <t>wabasto heater inside cab staynig on.</t>
  </si>
  <si>
    <t>drivers side hood mirror falling down constantly</t>
  </si>
  <si>
    <t>502-184</t>
  </si>
  <si>
    <t>retorque all drives</t>
  </si>
  <si>
    <t xml:space="preserve">please check separator is working between regular batteries and agm batteries. red light should come on. Affecting webasto heaters running together </t>
  </si>
  <si>
    <t>spoke to Kenworth this is complete</t>
  </si>
  <si>
    <t>PM B service due and annual safety in MAY</t>
  </si>
  <si>
    <t>please set steering wheel back to straight position</t>
  </si>
  <si>
    <t>loud rattling noise from dash and overhead console when under load</t>
  </si>
  <si>
    <t>excessive play in 5th wheel</t>
  </si>
  <si>
    <t>light on right side of sun visor very dim</t>
  </si>
  <si>
    <t>shifter knob loose</t>
  </si>
  <si>
    <t>clutch pedel rattles</t>
  </si>
  <si>
    <t>retorque steer axle both sides</t>
  </si>
  <si>
    <t>completed by R&amp;N trailer</t>
  </si>
  <si>
    <t>retorque all wheels both side from safty</t>
  </si>
  <si>
    <t>completed after use</t>
  </si>
  <si>
    <t>PETERBILT</t>
  </si>
  <si>
    <t>KENWORTH</t>
  </si>
  <si>
    <t>ELITE</t>
  </si>
  <si>
    <t>Defect Types</t>
  </si>
  <si>
    <t>Accessibility Devices</t>
  </si>
  <si>
    <t>Air Conditioner</t>
  </si>
  <si>
    <t>Air Tanks</t>
  </si>
  <si>
    <t>D.E.F Components</t>
  </si>
  <si>
    <t>Doors</t>
  </si>
  <si>
    <t>Driver Controls</t>
  </si>
  <si>
    <t>Kingpin and Plate</t>
  </si>
  <si>
    <t>License Plate</t>
  </si>
  <si>
    <t>Lift Axle</t>
  </si>
  <si>
    <t>Mudflaps and Brackets</t>
  </si>
  <si>
    <t>Seats</t>
  </si>
  <si>
    <t>Maintenance Service</t>
  </si>
  <si>
    <t>E.L.D</t>
  </si>
  <si>
    <t>ELITE MAIL</t>
  </si>
  <si>
    <t>PETERBILT MAIL</t>
  </si>
  <si>
    <t>KENWORTH MAIL</t>
  </si>
  <si>
    <t>camservice@kwtoronto.com</t>
  </si>
  <si>
    <t>eliterepair@live.com</t>
  </si>
  <si>
    <t>MAIL?</t>
  </si>
  <si>
    <t>ADD TO EMAIL</t>
  </si>
  <si>
    <t>WAITING FOR RESPONSE</t>
  </si>
  <si>
    <t>Mike Thibodeau  &lt;mThibodeau@cervusequipment.com&gt;</t>
  </si>
  <si>
    <t>Kyle Chabot &lt;kchabot@cervusequipment.com&gt;</t>
  </si>
  <si>
    <t>Adam Bulmer &lt;Abulmer@cervusequipment.com&gt;</t>
  </si>
  <si>
    <t>Josh Dasilva &lt;JDasilva@cervusequipment.com&gt;</t>
  </si>
  <si>
    <t>Deanna Lavin &lt;dlavin@cervusequipment.com&gt;</t>
  </si>
  <si>
    <t>Dylan Kiss &lt;dkiss@cervusequipment.com&gt;</t>
  </si>
  <si>
    <t>Matt Elliott &lt;melliott@cervusequipment.com&gt;</t>
  </si>
  <si>
    <t>Clifford Little &lt;CLittle@cervusequipment.com&gt;</t>
  </si>
  <si>
    <t>AT AYRSHOP 8/17/20 - COMPLETED BY AYRSHOP</t>
  </si>
  <si>
    <t>REPLACED ACTUATOR - NO OTHER ISSUE FOUND</t>
  </si>
  <si>
    <t>REPAIRED ENGINE FAULT</t>
  </si>
  <si>
    <t>DUE FOR PMA SERVICE IN AUGUST</t>
  </si>
  <si>
    <t>32376 TRAILER</t>
  </si>
  <si>
    <t xml:space="preserve">PASSENGERSIDE FIRST AXLE OUTSIDE EDGE OF  TIRE DAMAGED SMALL CHUNK OUT OF TREAD </t>
  </si>
  <si>
    <t>Brakes</t>
  </si>
  <si>
    <t>BRAKE ON FIRST AXLE OF DRIVER SIDE STICKING. LOT OF SMOKE</t>
  </si>
  <si>
    <t>REVERSE LIGHT IS MISSING A BOLT HANGING DOEN</t>
  </si>
  <si>
    <t>OUTSIDE TIRES ON FIRST AXLE ON PASSENGER SIDE AND THIRD AXLE ON DRIVER SIDE HAVING SEPARATION SIGNS OF RECAP TO TIRE</t>
  </si>
  <si>
    <t>Wheels Rims</t>
  </si>
  <si>
    <t>PLEASE RETORQUE AXLES 2,3,4</t>
  </si>
  <si>
    <t>TECH LEFT ALL NEW HARDWARE FOR REMOUNTING NEW PLATES</t>
  </si>
  <si>
    <t>REPLACED MISSING BOLTS</t>
  </si>
  <si>
    <t>REPLACED BRAKE CHAMBER ROAD SIDE</t>
  </si>
  <si>
    <t>COULD NOT DUPLICATE, WILL NEED TO MONITOR 8/10/20 - NO FURTHER ISSUE REPORTED, TRAILER HAS BEEN USED FOR SHUNTING AND WHSES, NO FURTHER ACTION TAKEN 8/25/20</t>
  </si>
  <si>
    <t>NO FURTHER ACTION TAKEN</t>
  </si>
  <si>
    <t>AT AYRSHOP 8/25/20</t>
  </si>
  <si>
    <t>AT AYRSHOP 8/25/20 - COMPLETED BY AYRSHOP 8/25/20</t>
  </si>
  <si>
    <t>DUE FOR ANNUAL INSPECTION IN SEPTEMBER</t>
  </si>
  <si>
    <t>DUE FOR PMA SERVICE</t>
  </si>
  <si>
    <t xml:space="preserve">DUE FOR PMA SERVICE </t>
  </si>
  <si>
    <t xml:space="preserve">VALVE  MOUNTED NEAR DOLLY LEGS HAS CONSTANT AIR LEAK </t>
  </si>
  <si>
    <t>Suspension</t>
  </si>
  <si>
    <t>LEFT SIDE 4TH AXLE SUSPENSION BOLT LOOSE.</t>
  </si>
  <si>
    <t>RIGHT WIPER BROKEN AND MISSING</t>
  </si>
  <si>
    <t>LEFT SIDE TAIL LIGHT OUT.</t>
  </si>
  <si>
    <t>1820 TRUCK</t>
  </si>
  <si>
    <t>ONE LEFT BREATHER LIGHT OUT</t>
  </si>
  <si>
    <t>AT AYRSHOP 8/27/20</t>
  </si>
  <si>
    <t xml:space="preserve">AT AYRSHOP 8/27/20 </t>
  </si>
  <si>
    <t>ROOF STILL LEAKING AT PREVIOUS ROOF PATCH</t>
  </si>
  <si>
    <t>BACK PASS SIDE OUTER TIRE CHUNK MISSING</t>
  </si>
  <si>
    <t>STONE CHIP SOUTHBOUND 427 AT 9:30ISH AM</t>
  </si>
  <si>
    <t>DS SECOND AXLE FROM REAR INSIDE TIRE FLAT</t>
  </si>
  <si>
    <t>ROADSIDE REPAIR IN COBOURG - REPLACED HUB AND TIRE</t>
  </si>
  <si>
    <t>DRIVERS SIDE WINDSHIELD STILL LEAKS, WHEN RAINS, IN FRONT OF PEDALS AND IN FUSE COMPARTMENT IS SOAKED</t>
  </si>
  <si>
    <t>BROKEN HOOD LATCH [PLASTIC PART ON HOOD] BUSTED. PLEASE REPLACE ASAP</t>
  </si>
  <si>
    <t>CAB AIR BAGS LEAK DOWN OVERNGHT</t>
  </si>
  <si>
    <t>REPAIRED BY GO-GLASS</t>
  </si>
  <si>
    <t>NO RECORD OF PREVIOUS REPAIRS - SPEAK WITH MANNY</t>
  </si>
  <si>
    <t>THIS IS TREAD ONLY - NOT CONSIDERED A DEFECT</t>
  </si>
  <si>
    <t>BACK UP BEEPER DOES NOT FULLY ENGAGE WHEN REVERSING....ONLY WORKS 50% OF THE TIME...</t>
  </si>
  <si>
    <t>AUDIBLE AIR LEAK BEHIND CAB- SECONDARY AIR TANK DRAINS WITHIN 20MIN.</t>
  </si>
  <si>
    <t>REPAIRED WINDSHIELD</t>
  </si>
  <si>
    <t>PASSENGER DOOR LATCH JAMMED</t>
  </si>
  <si>
    <t>WRONG TAIL LIGHT WAS INSTALLED LEFT SIDE REAR. MISSING CENTRE REVERSE LIGHT PORTION. SHOULD BE MATCHED UP TO RIGHT SIDE TAIL IGHT AND BRAKE LIGHTS.</t>
  </si>
  <si>
    <t>CALLED UTILITY</t>
  </si>
  <si>
    <t>184295
TRAILER</t>
  </si>
  <si>
    <t>NEEDS RETOURQUE..ALL WHEELS</t>
  </si>
  <si>
    <t>Landing Gear</t>
  </si>
  <si>
    <t>LEGS..HARD TO WIND UP OR DOWN</t>
  </si>
  <si>
    <t>184295  VALVE ON LEFT SIDE BEHIND LIFT AXLE IS LETTING OFF AIR</t>
  </si>
  <si>
    <t>REPLACING VALVE TONIGHT (9/01/20)</t>
  </si>
  <si>
    <t>WAITING FOR PROPER LIGHT</t>
  </si>
  <si>
    <t>AT AYR SHOP 8/31/20</t>
  </si>
  <si>
    <t>RIGHT FRONT HUB SEAL LEAKING</t>
  </si>
  <si>
    <t>RE-SEALED ENTIRE PATCH WITH SILICONE</t>
  </si>
  <si>
    <t>MATCHING LIGHT INSTALLED</t>
  </si>
  <si>
    <t>REPAIRED 9/01/20</t>
  </si>
  <si>
    <t>TIRES REPLACED 9/01/20</t>
  </si>
  <si>
    <t>OUTSIDE TIRE ON PASSENGER SIDE AND THIRD AXLE ON DRIVERS SIDE NEED RETORQUE</t>
  </si>
  <si>
    <t xml:space="preserve">LIC PLATE LIGHT GLASS BULB IS MISSING </t>
  </si>
  <si>
    <t>RETOURQUE DRIVER STEERING AXLE</t>
  </si>
  <si>
    <t>DONE 9/02/20</t>
  </si>
  <si>
    <t>LEFT SIDE BACK OF CAB LIGHT IS OUT</t>
  </si>
  <si>
    <t>UNIT RETRNED FROM PETE SHOP WITH NUT COVERS REMOVED DRIVER SIDE STEER   RETORQUE NEEDED ??</t>
  </si>
  <si>
    <t>RETOURQUED BY ELETE 9/02/20</t>
  </si>
  <si>
    <t>NEEDS FENDER MOUNT REPLACED</t>
  </si>
  <si>
    <t>NEEDS RETOURQUE-ALL WHEELS</t>
  </si>
  <si>
    <t>STONE CHIP RIGHT SIDE WINDSHEILD NOT BLOCKING VIEEW</t>
  </si>
  <si>
    <t>SERIOUS AIR LEAK HIGH PITCHED SQUEELING NOISE COMING FROM DISC BRAKE HUB ASSEMBLY ON 3RD AXLE FROM REAR ON PASSENGER SIDE</t>
  </si>
  <si>
    <t>IGOR AND I COULD FIND ANY  AIR LEAKS…TR WAS EMPTY HOWEVER</t>
  </si>
  <si>
    <t>RETOURQUED WHEN IT WAS RETURNED</t>
  </si>
  <si>
    <t>UPHOLSTRY COMING OFF DRIVERS DOOR</t>
  </si>
  <si>
    <t>DRIVER SIDE INTERIOR LIGHT NOT WORKING</t>
  </si>
  <si>
    <t>LEAK FROM FLEX PIPE BY TURBO</t>
  </si>
  <si>
    <t>U- BOLTS LOOSE</t>
  </si>
  <si>
    <t>CLUTCH BRAKE NEEDS ADJUSTMENT..</t>
  </si>
  <si>
    <t>TREADS EVEN ALL THE WAY ACROSS BOTH TIRES ON LEFDRIVER SIDE 1ST AXLE 20/32, 2ND AXLE 16/32, 3RD AXLE 20/32, 4TH AXLE 16/32</t>
  </si>
  <si>
    <t>RETORQUE BOTH AXLES ON BOTH SIDES FROM TIRE REPLACEMENT</t>
  </si>
  <si>
    <t>ROLL UP DOOR VERY HARD TO OPEN</t>
  </si>
  <si>
    <t>ADJUSTED LEVELING VALVE - REPLACED PASS. SIDE 2ND AXLE AIR BAG</t>
  </si>
  <si>
    <t>GOING TO AYR SHOP 9/04/20 - COMPLETED BY AYRSHOP 9/8/20</t>
  </si>
  <si>
    <t>SENT TO AYRSHOP 9/3/20 - COMPLETED BY AYRSHOP 9/4/20</t>
  </si>
  <si>
    <t>DRIVERS SIDE WINDOW GOES UP VERY SLOWLY OR NOT AT ALL</t>
  </si>
  <si>
    <t>BRAKES ARE GRABBING  ON LEFT SIDE</t>
  </si>
  <si>
    <t>1828 TRUCK</t>
  </si>
  <si>
    <t>THIS MAY NOT BE A DEFECT - THIS STONE CHIP WAS REPAIRED BY GO GLASS ON 8/28/20 - SEALED CHIP INSTEAD F REPLACING GLASS</t>
  </si>
  <si>
    <t>DRIVER SIDE 1ST AXLE LEAKING AIR FROM BRAKE CHAMBER</t>
  </si>
  <si>
    <t xml:space="preserve">DRIVERS SIDE HEAD LIGHT OUT , </t>
  </si>
  <si>
    <t xml:space="preserve">TOP CLEARANCE LIGHT BESIDE HEAD LIGHT NOT WORKING </t>
  </si>
  <si>
    <t>REPLACED BRAKE CHAMBER - COMPLETED FULL BRAKE INSPECTION</t>
  </si>
  <si>
    <t>REPAIRED AND PLATED A CROSS MEMBER - COMPLETED A FULL BRAKE INSPECTION</t>
  </si>
  <si>
    <t>COMPLETED</t>
  </si>
  <si>
    <t>AC NOT WORKING</t>
  </si>
  <si>
    <t>184295 RIGHT SIDE LOWER REAR MARKER LIGHT HAS CRACK IN LENS, STILL WORKS</t>
  </si>
  <si>
    <t>NO AIR COMING OUT OF WINDSHIELD DEFROSTER.STUCK ON DASH VENTS ONLY, ACTUATOR?</t>
  </si>
  <si>
    <t>SHOCK ON BACK OF CAB IS LEAKING OIL</t>
  </si>
  <si>
    <t>PASSENGER SIDE MIRROR SIGNAL LIGHT  HAS 50 POERCENT OF DIODES BURNT OUT</t>
  </si>
  <si>
    <t>ANNUAL INSPECTION DUE IN SEPTEMBER 2020</t>
  </si>
  <si>
    <r>
      <t xml:space="preserve">REVERSE LIGHT BROKEN OFF, LEFT SIDE TOP OF DOOR FRAME - </t>
    </r>
    <r>
      <rPr>
        <b/>
        <sz val="10"/>
        <rFont val="Calibri"/>
        <family val="2"/>
        <scheme val="minor"/>
      </rPr>
      <t>PARTS ON ORDER AS OF 9/8/20 (IGOR ORDER A DIFFERENT MORE FLUSH MOUNTING STYLE LIGHT FOR THIS TRAILER</t>
    </r>
  </si>
  <si>
    <t>CHECK ENGINE LIGHTS ON AGAIN - DID NOT GIVE DPF WARNING FOR MANUAL RE-GEN</t>
  </si>
  <si>
    <t>CLUTCH STILL NEEDS ADJUSTED - STILL HAS NO FREEPLAY AT TOP OF CLUTCH PEDAL</t>
  </si>
  <si>
    <t>FIFTH WHEEL GRABBING AND NOT RELEASING AL THE WAY</t>
  </si>
  <si>
    <t>SMALL AIR LEAK,  AT BACK OF CAB. NEAR MIDDLE</t>
  </si>
  <si>
    <t>NEED A NEW BOLT INSTALLED IN MOUNT ON THE AIR RIDE LEVELATOR BOX</t>
  </si>
  <si>
    <t xml:space="preserve">PASSENGER SIDE HUB SEAL IS LEAKING OIL FROM CAP </t>
  </si>
  <si>
    <t>PARTS ON ORDER - REPLACING WITH A THINNER FLUSH MOUNT LIGHT 9/8/20 - REPLACED BOTH LIGHTS 9/12/20</t>
  </si>
  <si>
    <t>BOTH HOOD HOLD BACK CABLES BROKEN</t>
  </si>
  <si>
    <t>BOX FOR SUSPENSION DUMP VALVE IS MISSING A BOLT</t>
  </si>
  <si>
    <t>LEFT SIDE 4TH AXLE SUSPENSION BOLT LOOSE AGAIN. FLAT WASHER IS MOVING.</t>
  </si>
  <si>
    <t>EMAILED 9/14/20</t>
  </si>
  <si>
    <t>AT AYRSHOP 9/10/20 - COMPLETED BY AYRSHOP 9/11/20</t>
  </si>
  <si>
    <t>SENT TO KW CAMBRIDGE 9/14/20</t>
  </si>
  <si>
    <t>LEFT SIDE APRON DAMAGED</t>
  </si>
  <si>
    <t>NO STRUCTURAL DAMAGE - APRON HAS VERY MINOR DENT - PASSED ANNUAL INSPECTION AS IS 9/15/20</t>
  </si>
  <si>
    <t>REPAIRED BY DRIVER (CHRIS H.)</t>
  </si>
  <si>
    <t>REPLACED BOLT</t>
  </si>
  <si>
    <t>WHEN LIFT AXLE GOES UP WHILE REVERSING THE TIRES DO NOT STRAIGHTEN</t>
  </si>
  <si>
    <t>EMAILED 9/15/20</t>
  </si>
  <si>
    <t>PULLED PIECE OF GLASS OUT OF VENTING SYSTEM</t>
  </si>
  <si>
    <t>AT AYRSHOP 9/11/20</t>
  </si>
  <si>
    <t>RPELACED NOX SENSOR</t>
  </si>
  <si>
    <t>EMAILED 9/14/20 - COMPLETED BY ELITE 9/15/20</t>
  </si>
  <si>
    <t>LEFT SIDE INSIDE TAIL LIGHT HAS HALF DIODES BURNT OUT. REPLACE TAIL LIGHT</t>
  </si>
  <si>
    <t>WHEN LIFT AXLE GOES UP AND IS NOT IN STRAIGHT POSITION IT WILL SIT CROOKED. PLEASE CHECK LOCKING PINS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</si>
</sst>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quot;#,##0.00"/>
    <numFmt numFmtId="165" formatCode="[$-409]d\-mmm\-yy;@"/>
    <numFmt numFmtId="166" formatCode="[$-409]h:mm\ AM/PM;@"/>
    <numFmt numFmtId="167" formatCode="[$-F800]dddd\,\ mmmm\ dd\,\ yyyy"/>
  </numFmts>
  <fonts count="27" x14ac:knownFonts="1">
    <font>
      <sz val="10"/>
      <name val="Arial"/>
    </font>
    <font>
      <sz val="10"/>
      <name val="Arial"/>
      <family val="2"/>
    </font>
    <font>
      <sz val="8"/>
      <name val="Arial"/>
      <family val="2"/>
    </font>
    <font>
      <sz val="10"/>
      <name val="Tahoma"/>
      <family val="2"/>
    </font>
    <font>
      <sz val="10"/>
      <name val="Arial"/>
      <family val="2"/>
    </font>
    <font>
      <sz val="10"/>
      <name val="Arial"/>
      <family val="2"/>
    </font>
    <font>
      <sz val="28"/>
      <name val="Arial"/>
      <family val="2"/>
    </font>
    <font>
      <sz val="8"/>
      <color rgb="FF808080"/>
      <name val="Arial"/>
      <family val="2"/>
    </font>
    <font>
      <b/>
      <sz val="9"/>
      <color theme="0"/>
      <name val="Arial"/>
      <family val="2"/>
    </font>
    <font>
      <b/>
      <sz val="10"/>
      <color theme="0"/>
      <name val="Arial"/>
      <family val="2"/>
    </font>
    <font>
      <sz val="12"/>
      <color indexed="63"/>
      <name val="Calibri"/>
      <family val="2"/>
      <scheme val="minor"/>
    </font>
    <font>
      <sz val="12"/>
      <name val="Calibri"/>
      <family val="2"/>
      <scheme val="minor"/>
    </font>
    <font>
      <b/>
      <sz val="12"/>
      <name val="Calibri"/>
      <family val="2"/>
      <scheme val="minor"/>
    </font>
    <font>
      <sz val="10"/>
      <name val="Calibri"/>
      <family val="2"/>
      <scheme val="minor"/>
    </font>
    <font>
      <sz val="12"/>
      <color rgb="FF808080"/>
      <name val="Arial"/>
      <family val="2"/>
    </font>
    <font>
      <sz val="11"/>
      <color rgb="FF9C5700"/>
      <name val="Calibri"/>
      <family val="2"/>
      <scheme val="minor"/>
    </font>
    <font>
      <b/>
      <sz val="10"/>
      <name val="Calibri"/>
      <family val="2"/>
      <scheme val="minor"/>
    </font>
    <font>
      <sz val="10"/>
      <color theme="1"/>
      <name val="Calibri"/>
      <family val="2"/>
      <scheme val="minor"/>
    </font>
    <font>
      <b/>
      <sz val="48"/>
      <name val="Calibri"/>
      <family val="2"/>
      <scheme val="minor"/>
    </font>
    <font>
      <b/>
      <u/>
      <sz val="10"/>
      <name val="Calibri"/>
      <family val="2"/>
      <scheme val="minor"/>
    </font>
    <font>
      <b/>
      <sz val="10"/>
      <name val="Arial"/>
      <family val="2"/>
    </font>
    <font>
      <sz val="16"/>
      <name val="Arial"/>
      <family val="2"/>
    </font>
    <font>
      <b/>
      <sz val="16"/>
      <name val="Arial"/>
      <family val="2"/>
    </font>
    <font>
      <sz val="12"/>
      <color rgb="FF000000"/>
      <name val="Arial"/>
      <family val="2"/>
    </font>
    <font>
      <b/>
      <u/>
      <sz val="10"/>
      <name val="Arial"/>
      <family val="2"/>
    </font>
    <font>
      <sz val="20"/>
      <color rgb="FF000000"/>
      <name val="Arial"/>
      <family val="2"/>
    </font>
    <font>
      <b/>
      <sz val="10"/>
      <color theme="1"/>
      <name val="Calibri"/>
      <family val="2"/>
      <scheme val="minor"/>
    </font>
  </fonts>
  <fills count="16">
    <fill>
      <patternFill patternType="none"/>
    </fill>
    <fill>
      <patternFill patternType="gray125"/>
    </fill>
    <fill>
      <patternFill patternType="solid">
        <fgColor theme="1"/>
        <bgColor indexed="64"/>
      </patternFill>
    </fill>
    <fill>
      <patternFill patternType="solid">
        <fgColor theme="0"/>
        <bgColor indexed="64"/>
      </patternFill>
    </fill>
    <fill>
      <patternFill patternType="solid">
        <fgColor theme="2"/>
        <bgColor indexed="64"/>
      </patternFill>
    </fill>
    <fill>
      <patternFill patternType="solid">
        <fgColor rgb="FFFFFF00"/>
        <bgColor indexed="64"/>
      </patternFill>
    </fill>
    <fill>
      <patternFill patternType="solid">
        <fgColor rgb="FFFF0000"/>
        <bgColor indexed="64"/>
      </patternFill>
    </fill>
    <fill>
      <patternFill patternType="solid">
        <fgColor rgb="FF0070C0"/>
        <bgColor indexed="64"/>
      </patternFill>
    </fill>
    <fill>
      <patternFill patternType="solid">
        <fgColor rgb="FF00B050"/>
        <bgColor indexed="64"/>
      </patternFill>
    </fill>
    <fill>
      <patternFill patternType="solid">
        <fgColor rgb="FFFFEB9C"/>
      </patternFill>
    </fill>
    <fill>
      <patternFill patternType="solid">
        <fgColor rgb="FF00B0F0"/>
        <bgColor indexed="64"/>
      </patternFill>
    </fill>
    <fill>
      <patternFill patternType="solid">
        <fgColor rgb="FF92D050"/>
        <bgColor indexed="64"/>
      </patternFill>
    </fill>
    <fill>
      <patternFill patternType="solid">
        <fgColor indexed="30"/>
        <bgColor indexed="64"/>
      </patternFill>
    </fill>
    <fill>
      <patternFill patternType="solid">
        <fgColor indexed="14"/>
        <bgColor indexed="64"/>
      </patternFill>
    </fill>
    <fill>
      <patternFill patternType="solid">
        <fgColor rgb="FFFFC000"/>
        <bgColor indexed="64"/>
      </patternFill>
    </fill>
    <fill>
      <patternFill patternType="solid">
        <fgColor indexed="1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right/>
      <top/>
      <bottom style="medium">
        <color indexed="64"/>
      </bottom>
      <diagonal/>
    </border>
    <border>
      <left style="medium">
        <color indexed="64"/>
      </left>
      <right style="thin">
        <color theme="2" tint="-0.24994659260841701"/>
      </right>
      <top style="medium">
        <color indexed="64"/>
      </top>
      <bottom style="thin">
        <color theme="2" tint="-0.24994659260841701"/>
      </bottom>
      <diagonal/>
    </border>
    <border>
      <left style="thin">
        <color theme="2" tint="-0.24994659260841701"/>
      </left>
      <right style="thin">
        <color theme="2" tint="-0.24994659260841701"/>
      </right>
      <top style="medium">
        <color indexed="64"/>
      </top>
      <bottom style="thin">
        <color theme="2" tint="-0.24994659260841701"/>
      </bottom>
      <diagonal/>
    </border>
    <border>
      <left style="thin">
        <color theme="2" tint="-0.24994659260841701"/>
      </left>
      <right/>
      <top style="medium">
        <color indexed="64"/>
      </top>
      <bottom style="thin">
        <color theme="2" tint="-0.24994659260841701"/>
      </bottom>
      <diagonal/>
    </border>
    <border>
      <left/>
      <right style="thin">
        <color theme="2"/>
      </right>
      <top/>
      <bottom/>
      <diagonal/>
    </border>
    <border>
      <left style="hair">
        <color indexed="64"/>
      </left>
      <right style="hair">
        <color indexed="64"/>
      </right>
      <top/>
      <bottom style="hair">
        <color indexed="64"/>
      </bottom>
      <diagonal/>
    </border>
    <border>
      <left style="thin">
        <color auto="1"/>
      </left>
      <right style="thin">
        <color auto="1"/>
      </right>
      <top/>
      <bottom/>
      <diagonal/>
    </border>
    <border>
      <left style="thin">
        <color auto="1"/>
      </left>
      <right style="thin">
        <color auto="1"/>
      </right>
      <top/>
      <bottom style="thin">
        <color indexed="64"/>
      </bottom>
      <diagonal/>
    </border>
  </borders>
  <cellStyleXfs count="3">
    <xf numFmtId="0" fontId="0" fillId="0" borderId="0"/>
    <xf numFmtId="0" fontId="1" fillId="0" borderId="0"/>
    <xf numFmtId="0" fontId="15" fillId="9" borderId="0" applyNumberFormat="0" applyBorder="0" applyAlignment="0" applyProtection="0"/>
  </cellStyleXfs>
  <cellXfs count="136">
    <xf numFmtId="0" fontId="0" fillId="0" borderId="0" xfId="0"/>
    <xf numFmtId="0" fontId="5" fillId="0" borderId="0" xfId="0" applyFont="1" applyBorder="1" applyAlignment="1">
      <alignment horizontal="left" vertical="center"/>
    </xf>
    <xf numFmtId="0" fontId="5" fillId="0" borderId="0" xfId="0" applyFont="1"/>
    <xf numFmtId="0" fontId="5" fillId="0" borderId="0" xfId="0" applyFont="1" applyAlignment="1">
      <alignment horizontal="center" vertical="center"/>
    </xf>
    <xf numFmtId="0" fontId="8" fillId="2" borderId="4" xfId="0" applyFont="1" applyFill="1" applyBorder="1" applyAlignment="1">
      <alignment horizontal="center" vertical="center" wrapText="1"/>
    </xf>
    <xf numFmtId="0" fontId="9" fillId="2" borderId="5" xfId="0" applyFont="1" applyFill="1" applyBorder="1" applyAlignment="1">
      <alignment horizontal="center" vertical="center" wrapText="1"/>
    </xf>
    <xf numFmtId="0" fontId="9" fillId="2" borderId="6" xfId="0" applyFont="1" applyFill="1" applyBorder="1" applyAlignment="1">
      <alignment horizontal="center" vertical="center" wrapText="1"/>
    </xf>
    <xf numFmtId="0" fontId="1" fillId="3" borderId="0" xfId="0" applyFont="1" applyFill="1" applyBorder="1" applyAlignment="1">
      <alignment horizontal="left" vertical="center"/>
    </xf>
    <xf numFmtId="0" fontId="5" fillId="3" borderId="0" xfId="0" applyFont="1" applyFill="1" applyBorder="1" applyAlignment="1">
      <alignment horizontal="left" vertical="center"/>
    </xf>
    <xf numFmtId="0" fontId="3" fillId="3" borderId="0" xfId="0" applyFont="1" applyFill="1" applyBorder="1" applyAlignment="1">
      <alignment horizontal="center" vertical="center"/>
    </xf>
    <xf numFmtId="0" fontId="0" fillId="3" borderId="0" xfId="0" applyFill="1"/>
    <xf numFmtId="0" fontId="6" fillId="3" borderId="0" xfId="0" applyFont="1" applyFill="1" applyAlignment="1"/>
    <xf numFmtId="0" fontId="4" fillId="0" borderId="0" xfId="0" applyFont="1" applyAlignment="1">
      <alignment horizontal="center"/>
    </xf>
    <xf numFmtId="0" fontId="7" fillId="0" borderId="0" xfId="0" applyFont="1" applyAlignment="1">
      <alignment horizontal="center"/>
    </xf>
    <xf numFmtId="165" fontId="12" fillId="6" borderId="1" xfId="0" applyNumberFormat="1" applyFont="1" applyFill="1" applyBorder="1" applyAlignment="1">
      <alignment horizontal="center" vertical="center" wrapText="1"/>
    </xf>
    <xf numFmtId="165" fontId="12" fillId="7" borderId="1" xfId="0" applyNumberFormat="1" applyFont="1" applyFill="1" applyBorder="1" applyAlignment="1">
      <alignment horizontal="center" vertical="center" wrapText="1"/>
    </xf>
    <xf numFmtId="165" fontId="12" fillId="8" borderId="1" xfId="0" applyNumberFormat="1" applyFont="1" applyFill="1" applyBorder="1" applyAlignment="1">
      <alignment horizontal="center" vertical="center" wrapText="1"/>
    </xf>
    <xf numFmtId="0" fontId="5" fillId="3" borderId="0" xfId="0" applyFont="1" applyFill="1"/>
    <xf numFmtId="165" fontId="11" fillId="4" borderId="2" xfId="0" applyNumberFormat="1" applyFont="1" applyFill="1" applyBorder="1" applyAlignment="1">
      <alignment horizontal="center" vertical="center" wrapText="1"/>
    </xf>
    <xf numFmtId="164" fontId="13" fillId="4" borderId="2" xfId="0" applyNumberFormat="1" applyFont="1" applyFill="1" applyBorder="1" applyAlignment="1">
      <alignment horizontal="center" vertical="center" wrapText="1"/>
    </xf>
    <xf numFmtId="0" fontId="7" fillId="3" borderId="0" xfId="0" applyFont="1" applyFill="1"/>
    <xf numFmtId="164" fontId="11" fillId="4" borderId="2" xfId="0" applyNumberFormat="1" applyFont="1" applyFill="1" applyBorder="1" applyAlignment="1">
      <alignment horizontal="center" vertical="center" wrapText="1"/>
    </xf>
    <xf numFmtId="166" fontId="10" fillId="3" borderId="2" xfId="0" applyNumberFormat="1" applyFont="1" applyFill="1" applyBorder="1" applyAlignment="1">
      <alignment horizontal="center" vertical="center" wrapText="1"/>
    </xf>
    <xf numFmtId="165" fontId="10" fillId="4" borderId="2" xfId="0" applyNumberFormat="1" applyFont="1" applyFill="1" applyBorder="1" applyAlignment="1">
      <alignment horizontal="center" vertical="center" wrapText="1"/>
    </xf>
    <xf numFmtId="164" fontId="10" fillId="4" borderId="2" xfId="0" applyNumberFormat="1" applyFont="1" applyFill="1" applyBorder="1" applyAlignment="1">
      <alignment horizontal="center" vertical="center" wrapText="1"/>
    </xf>
    <xf numFmtId="166" fontId="11" fillId="4" borderId="2" xfId="0" applyNumberFormat="1" applyFont="1" applyFill="1" applyBorder="1" applyAlignment="1">
      <alignment horizontal="center" vertical="center" wrapText="1"/>
    </xf>
    <xf numFmtId="165" fontId="13" fillId="4" borderId="2" xfId="0" applyNumberFormat="1" applyFont="1" applyFill="1" applyBorder="1" applyAlignment="1">
      <alignment horizontal="center" vertical="center" wrapText="1"/>
    </xf>
    <xf numFmtId="1" fontId="10" fillId="4" borderId="2" xfId="0" applyNumberFormat="1" applyFont="1" applyFill="1" applyBorder="1" applyAlignment="1">
      <alignment horizontal="center" vertical="center" wrapText="1"/>
    </xf>
    <xf numFmtId="0" fontId="11" fillId="4" borderId="2" xfId="0" applyFont="1" applyFill="1" applyBorder="1" applyAlignment="1">
      <alignment horizontal="center" vertical="center" wrapText="1"/>
    </xf>
    <xf numFmtId="0" fontId="0" fillId="3" borderId="0" xfId="0" applyFill="1" applyAlignment="1">
      <alignment horizontal="center"/>
    </xf>
    <xf numFmtId="0" fontId="0" fillId="3" borderId="0" xfId="0" applyNumberFormat="1" applyFill="1" applyAlignment="1">
      <alignment horizontal="center"/>
    </xf>
    <xf numFmtId="0" fontId="0" fillId="3" borderId="2" xfId="0" applyFill="1" applyBorder="1" applyAlignment="1">
      <alignment horizontal="center"/>
    </xf>
    <xf numFmtId="1" fontId="0" fillId="3" borderId="2" xfId="0" applyNumberFormat="1" applyFill="1" applyBorder="1" applyAlignment="1">
      <alignment horizontal="center"/>
    </xf>
    <xf numFmtId="165" fontId="16" fillId="4" borderId="2" xfId="0" applyNumberFormat="1" applyFont="1" applyFill="1" applyBorder="1" applyAlignment="1">
      <alignment horizontal="center" vertical="center" wrapText="1"/>
    </xf>
    <xf numFmtId="165" fontId="17" fillId="0" borderId="2" xfId="0" applyNumberFormat="1" applyFont="1" applyFill="1" applyBorder="1" applyAlignment="1">
      <alignment horizontal="center" vertical="center" wrapText="1"/>
    </xf>
    <xf numFmtId="0" fontId="1" fillId="3" borderId="0" xfId="0" applyFont="1" applyFill="1"/>
    <xf numFmtId="0" fontId="11" fillId="5" borderId="2" xfId="0" applyFont="1" applyFill="1" applyBorder="1" applyAlignment="1">
      <alignment horizontal="center" vertical="center" wrapText="1"/>
    </xf>
    <xf numFmtId="164" fontId="10" fillId="5" borderId="2" xfId="0" applyNumberFormat="1" applyFont="1" applyFill="1" applyBorder="1" applyAlignment="1">
      <alignment horizontal="center" vertical="center" wrapText="1"/>
    </xf>
    <xf numFmtId="164" fontId="13" fillId="5" borderId="2" xfId="0" applyNumberFormat="1" applyFont="1" applyFill="1" applyBorder="1" applyAlignment="1">
      <alignment horizontal="center" vertical="center" wrapText="1"/>
    </xf>
    <xf numFmtId="164" fontId="11" fillId="5" borderId="2" xfId="0" applyNumberFormat="1" applyFont="1" applyFill="1" applyBorder="1" applyAlignment="1">
      <alignment horizontal="center" vertical="center" wrapText="1"/>
    </xf>
    <xf numFmtId="165" fontId="11" fillId="5" borderId="2" xfId="0" applyNumberFormat="1" applyFont="1" applyFill="1" applyBorder="1" applyAlignment="1">
      <alignment horizontal="center" vertical="center" wrapText="1"/>
    </xf>
    <xf numFmtId="165" fontId="17" fillId="5" borderId="2" xfId="0" applyNumberFormat="1" applyFont="1" applyFill="1" applyBorder="1" applyAlignment="1">
      <alignment horizontal="center" vertical="center" wrapText="1"/>
    </xf>
    <xf numFmtId="166" fontId="11" fillId="5" borderId="2" xfId="0" applyNumberFormat="1" applyFont="1" applyFill="1" applyBorder="1" applyAlignment="1">
      <alignment horizontal="center" vertical="center" wrapText="1"/>
    </xf>
    <xf numFmtId="166" fontId="10" fillId="5" borderId="2" xfId="0" applyNumberFormat="1" applyFont="1" applyFill="1" applyBorder="1" applyAlignment="1">
      <alignment horizontal="center" vertical="center" wrapText="1"/>
    </xf>
    <xf numFmtId="165" fontId="10" fillId="5" borderId="2" xfId="0" applyNumberFormat="1" applyFont="1" applyFill="1" applyBorder="1" applyAlignment="1">
      <alignment horizontal="center" vertical="center" wrapText="1"/>
    </xf>
    <xf numFmtId="165" fontId="16" fillId="5" borderId="2" xfId="0" applyNumberFormat="1" applyFont="1" applyFill="1" applyBorder="1" applyAlignment="1">
      <alignment horizontal="center" vertical="center" wrapText="1"/>
    </xf>
    <xf numFmtId="165" fontId="13" fillId="5" borderId="2" xfId="0" applyNumberFormat="1" applyFont="1" applyFill="1" applyBorder="1" applyAlignment="1">
      <alignment horizontal="center" vertical="center" wrapText="1"/>
    </xf>
    <xf numFmtId="0" fontId="11" fillId="4" borderId="8" xfId="0" applyFont="1" applyFill="1" applyBorder="1" applyAlignment="1">
      <alignment horizontal="center" vertical="center" wrapText="1"/>
    </xf>
    <xf numFmtId="165" fontId="11" fillId="4" borderId="8" xfId="0" applyNumberFormat="1" applyFont="1" applyFill="1" applyBorder="1" applyAlignment="1">
      <alignment horizontal="center" vertical="center" wrapText="1"/>
    </xf>
    <xf numFmtId="164" fontId="13" fillId="4" borderId="8" xfId="0" applyNumberFormat="1" applyFont="1" applyFill="1" applyBorder="1" applyAlignment="1">
      <alignment horizontal="center" vertical="center" wrapText="1"/>
    </xf>
    <xf numFmtId="165" fontId="10" fillId="4" borderId="8" xfId="0" applyNumberFormat="1" applyFont="1" applyFill="1" applyBorder="1" applyAlignment="1">
      <alignment horizontal="center" vertical="center" wrapText="1"/>
    </xf>
    <xf numFmtId="165" fontId="16" fillId="10" borderId="2" xfId="0" applyNumberFormat="1" applyFont="1" applyFill="1" applyBorder="1" applyAlignment="1">
      <alignment horizontal="center" vertical="center" wrapText="1"/>
    </xf>
    <xf numFmtId="0" fontId="11" fillId="11" borderId="2" xfId="0" applyFont="1" applyFill="1" applyBorder="1" applyAlignment="1">
      <alignment horizontal="center" vertical="center" wrapText="1"/>
    </xf>
    <xf numFmtId="164" fontId="11" fillId="11" borderId="2" xfId="0" applyNumberFormat="1" applyFont="1" applyFill="1" applyBorder="1" applyAlignment="1">
      <alignment horizontal="center" vertical="center" wrapText="1"/>
    </xf>
    <xf numFmtId="164" fontId="13" fillId="11" borderId="2" xfId="0" applyNumberFormat="1" applyFont="1" applyFill="1" applyBorder="1" applyAlignment="1">
      <alignment horizontal="center" vertical="center" wrapText="1"/>
    </xf>
    <xf numFmtId="164" fontId="10" fillId="11" borderId="2" xfId="0" applyNumberFormat="1" applyFont="1" applyFill="1" applyBorder="1" applyAlignment="1">
      <alignment horizontal="center" vertical="center" wrapText="1"/>
    </xf>
    <xf numFmtId="165" fontId="17" fillId="3" borderId="2" xfId="0" applyNumberFormat="1" applyFont="1" applyFill="1" applyBorder="1" applyAlignment="1">
      <alignment horizontal="center" vertical="center" wrapText="1"/>
    </xf>
    <xf numFmtId="164" fontId="13" fillId="0" borderId="2" xfId="0" applyNumberFormat="1" applyFont="1" applyFill="1" applyBorder="1" applyAlignment="1">
      <alignment horizontal="center" vertical="center" wrapText="1"/>
    </xf>
    <xf numFmtId="0" fontId="5" fillId="0" borderId="2" xfId="0" applyFont="1" applyBorder="1" applyAlignment="1">
      <alignment horizontal="center" vertical="center"/>
    </xf>
    <xf numFmtId="164" fontId="11" fillId="4" borderId="8" xfId="0" applyNumberFormat="1" applyFont="1" applyFill="1" applyBorder="1" applyAlignment="1">
      <alignment horizontal="center" vertical="center" wrapText="1"/>
    </xf>
    <xf numFmtId="0" fontId="20" fillId="3" borderId="0" xfId="0" applyFont="1" applyFill="1" applyBorder="1" applyAlignment="1">
      <alignment horizontal="left" vertical="center"/>
    </xf>
    <xf numFmtId="0" fontId="6" fillId="3" borderId="0" xfId="0" applyFont="1" applyFill="1" applyAlignment="1">
      <alignment horizontal="right"/>
    </xf>
    <xf numFmtId="166" fontId="11" fillId="12" borderId="2" xfId="0" applyNumberFormat="1" applyFont="1" applyFill="1" applyBorder="1" applyAlignment="1">
      <alignment horizontal="center" vertical="center" wrapText="1"/>
    </xf>
    <xf numFmtId="0" fontId="18" fillId="3" borderId="0" xfId="0" applyFont="1" applyFill="1" applyBorder="1" applyAlignment="1">
      <alignment horizontal="left" vertical="center" wrapText="1"/>
    </xf>
    <xf numFmtId="0" fontId="21" fillId="3" borderId="0" xfId="0" applyFont="1" applyFill="1" applyBorder="1" applyAlignment="1">
      <alignment horizontal="left" vertical="center"/>
    </xf>
    <xf numFmtId="0" fontId="22" fillId="3" borderId="0" xfId="0" applyFont="1" applyFill="1" applyBorder="1" applyAlignment="1">
      <alignment horizontal="left" vertical="center"/>
    </xf>
    <xf numFmtId="0" fontId="18" fillId="3" borderId="0" xfId="0" applyFont="1" applyFill="1" applyBorder="1" applyAlignment="1">
      <alignment horizontal="left" vertical="center" wrapText="1"/>
    </xf>
    <xf numFmtId="0" fontId="1" fillId="0" borderId="0" xfId="0" applyFont="1"/>
    <xf numFmtId="165" fontId="17" fillId="0" borderId="2" xfId="0" applyNumberFormat="1" applyFont="1" applyBorder="1" applyAlignment="1">
      <alignment horizontal="center" vertical="center" wrapText="1"/>
    </xf>
    <xf numFmtId="14" fontId="10" fillId="4" borderId="2" xfId="0" applyNumberFormat="1" applyFont="1" applyFill="1" applyBorder="1" applyAlignment="1">
      <alignment horizontal="center" vertical="center" wrapText="1"/>
    </xf>
    <xf numFmtId="0" fontId="0" fillId="0" borderId="0" xfId="0" applyAlignment="1">
      <alignment horizontal="left"/>
    </xf>
    <xf numFmtId="0" fontId="1" fillId="0" borderId="0" xfId="1"/>
    <xf numFmtId="0" fontId="1" fillId="3" borderId="0" xfId="1" applyFill="1"/>
    <xf numFmtId="0" fontId="1" fillId="0" borderId="0" xfId="1" applyAlignment="1">
      <alignment horizontal="center" vertical="center"/>
    </xf>
    <xf numFmtId="0" fontId="7" fillId="3" borderId="0" xfId="1" applyFont="1" applyFill="1"/>
    <xf numFmtId="165" fontId="13" fillId="4" borderId="2" xfId="1" applyNumberFormat="1" applyFont="1" applyFill="1" applyBorder="1" applyAlignment="1">
      <alignment horizontal="center" vertical="center" wrapText="1"/>
    </xf>
    <xf numFmtId="165" fontId="16" fillId="4" borderId="2" xfId="1" applyNumberFormat="1" applyFont="1" applyFill="1" applyBorder="1" applyAlignment="1">
      <alignment horizontal="center" vertical="center" wrapText="1"/>
    </xf>
    <xf numFmtId="165" fontId="10" fillId="4" borderId="2" xfId="1" applyNumberFormat="1" applyFont="1" applyFill="1" applyBorder="1" applyAlignment="1">
      <alignment horizontal="center" vertical="center" wrapText="1"/>
    </xf>
    <xf numFmtId="166" fontId="10" fillId="3" borderId="2" xfId="1" applyNumberFormat="1" applyFont="1" applyFill="1" applyBorder="1" applyAlignment="1">
      <alignment horizontal="center" vertical="center" wrapText="1"/>
    </xf>
    <xf numFmtId="165" fontId="17" fillId="0" borderId="2" xfId="1" applyNumberFormat="1" applyFont="1" applyBorder="1" applyAlignment="1">
      <alignment horizontal="center" vertical="center" wrapText="1"/>
    </xf>
    <xf numFmtId="166" fontId="11" fillId="4" borderId="2" xfId="1" applyNumberFormat="1" applyFont="1" applyFill="1" applyBorder="1" applyAlignment="1">
      <alignment horizontal="center" vertical="center" wrapText="1"/>
    </xf>
    <xf numFmtId="165" fontId="11" fillId="4" borderId="2" xfId="1" applyNumberFormat="1" applyFont="1" applyFill="1" applyBorder="1" applyAlignment="1">
      <alignment horizontal="center" vertical="center" wrapText="1"/>
    </xf>
    <xf numFmtId="164" fontId="13" fillId="4" borderId="2" xfId="1" applyNumberFormat="1" applyFont="1" applyFill="1" applyBorder="1" applyAlignment="1">
      <alignment horizontal="center" vertical="center" wrapText="1"/>
    </xf>
    <xf numFmtId="164" fontId="10" fillId="4" borderId="2" xfId="1" applyNumberFormat="1" applyFont="1" applyFill="1" applyBorder="1" applyAlignment="1">
      <alignment horizontal="center" vertical="center" wrapText="1"/>
    </xf>
    <xf numFmtId="0" fontId="11" fillId="4" borderId="2" xfId="1" applyFont="1" applyFill="1" applyBorder="1" applyAlignment="1">
      <alignment horizontal="center" vertical="center" wrapText="1"/>
    </xf>
    <xf numFmtId="0" fontId="9" fillId="2" borderId="6" xfId="1" applyFont="1" applyFill="1" applyBorder="1" applyAlignment="1">
      <alignment horizontal="center" vertical="center" wrapText="1"/>
    </xf>
    <xf numFmtId="0" fontId="9" fillId="2" borderId="5" xfId="1" applyFont="1" applyFill="1" applyBorder="1" applyAlignment="1">
      <alignment horizontal="center" vertical="center" wrapText="1"/>
    </xf>
    <xf numFmtId="0" fontId="8" fillId="2" borderId="4" xfId="1" applyFont="1" applyFill="1" applyBorder="1" applyAlignment="1">
      <alignment horizontal="center" vertical="center" wrapText="1"/>
    </xf>
    <xf numFmtId="0" fontId="1" fillId="0" borderId="0" xfId="1" applyAlignment="1">
      <alignment horizontal="left" vertical="center"/>
    </xf>
    <xf numFmtId="0" fontId="1" fillId="3" borderId="0" xfId="1" applyFill="1" applyAlignment="1">
      <alignment horizontal="left" vertical="center"/>
    </xf>
    <xf numFmtId="0" fontId="6" fillId="3" borderId="0" xfId="1" applyFont="1" applyFill="1"/>
    <xf numFmtId="0" fontId="7" fillId="0" borderId="0" xfId="1" applyFont="1" applyAlignment="1">
      <alignment horizontal="center"/>
    </xf>
    <xf numFmtId="165" fontId="12" fillId="7" borderId="1" xfId="1" applyNumberFormat="1" applyFont="1" applyFill="1" applyBorder="1" applyAlignment="1">
      <alignment horizontal="center" vertical="center" wrapText="1"/>
    </xf>
    <xf numFmtId="0" fontId="1" fillId="0" borderId="0" xfId="1" applyAlignment="1">
      <alignment horizontal="center"/>
    </xf>
    <xf numFmtId="165" fontId="12" fillId="6" borderId="1" xfId="1" applyNumberFormat="1" applyFont="1" applyFill="1" applyBorder="1" applyAlignment="1">
      <alignment horizontal="center" vertical="center" wrapText="1"/>
    </xf>
    <xf numFmtId="0" fontId="22" fillId="3" borderId="0" xfId="1" applyFont="1" applyFill="1" applyAlignment="1">
      <alignment horizontal="left" vertical="center"/>
    </xf>
    <xf numFmtId="0" fontId="6" fillId="3" borderId="0" xfId="1" applyFont="1" applyFill="1" applyAlignment="1">
      <alignment horizontal="right"/>
    </xf>
    <xf numFmtId="0" fontId="21" fillId="3" borderId="0" xfId="1" applyFont="1" applyFill="1" applyAlignment="1">
      <alignment horizontal="left" vertical="center"/>
    </xf>
    <xf numFmtId="0" fontId="18" fillId="3" borderId="0" xfId="1" applyFont="1" applyFill="1" applyAlignment="1">
      <alignment horizontal="left" vertical="center" wrapText="1"/>
    </xf>
    <xf numFmtId="0" fontId="20" fillId="3" borderId="0" xfId="1" applyFont="1" applyFill="1" applyAlignment="1">
      <alignment horizontal="left" vertical="center"/>
    </xf>
    <xf numFmtId="0" fontId="3" fillId="3" borderId="0" xfId="1" applyFont="1" applyFill="1" applyAlignment="1">
      <alignment horizontal="center" vertical="center"/>
    </xf>
    <xf numFmtId="0" fontId="20" fillId="0" borderId="10" xfId="0" applyFont="1" applyBorder="1" applyAlignment="1">
      <alignment horizontal="left"/>
    </xf>
    <xf numFmtId="0" fontId="0" fillId="0" borderId="9" xfId="0" applyBorder="1" applyAlignment="1">
      <alignment horizontal="left"/>
    </xf>
    <xf numFmtId="0" fontId="1" fillId="0" borderId="9" xfId="0" applyFont="1" applyBorder="1" applyAlignment="1">
      <alignment horizontal="left"/>
    </xf>
    <xf numFmtId="0" fontId="0" fillId="0" borderId="9" xfId="0" applyBorder="1"/>
    <xf numFmtId="0" fontId="24" fillId="0" borderId="9" xfId="0" applyFont="1" applyFill="1" applyBorder="1" applyAlignment="1">
      <alignment horizontal="left"/>
    </xf>
    <xf numFmtId="0" fontId="7" fillId="0" borderId="9" xfId="0" applyFont="1" applyFill="1" applyBorder="1" applyAlignment="1">
      <alignment horizontal="center" vertical="center"/>
    </xf>
    <xf numFmtId="0" fontId="0" fillId="0" borderId="0" xfId="0" applyBorder="1"/>
    <xf numFmtId="49" fontId="1" fillId="0" borderId="9" xfId="0" applyNumberFormat="1" applyFont="1" applyBorder="1"/>
    <xf numFmtId="165" fontId="12" fillId="14" borderId="1" xfId="0" applyNumberFormat="1" applyFont="1" applyFill="1" applyBorder="1" applyAlignment="1">
      <alignment horizontal="center" vertical="center" wrapText="1"/>
    </xf>
    <xf numFmtId="0" fontId="1" fillId="13" borderId="0" xfId="0" applyFont="1" applyFill="1"/>
    <xf numFmtId="165" fontId="26" fillId="0" borderId="2" xfId="0" applyNumberFormat="1" applyFont="1" applyBorder="1" applyAlignment="1">
      <alignment horizontal="center" vertical="center" wrapText="1"/>
    </xf>
    <xf numFmtId="166" fontId="11" fillId="15" borderId="2" xfId="0" applyNumberFormat="1" applyFont="1" applyFill="1" applyBorder="1" applyAlignment="1">
      <alignment horizontal="center" vertical="center" wrapText="1"/>
    </xf>
    <xf numFmtId="0" fontId="1" fillId="0" borderId="0" xfId="0" applyFont="1" applyFill="1"/>
    <xf numFmtId="0" fontId="11" fillId="5" borderId="8" xfId="0" applyFont="1" applyFill="1" applyBorder="1" applyAlignment="1">
      <alignment horizontal="center" vertical="center" wrapText="1"/>
    </xf>
    <xf numFmtId="164" fontId="13" fillId="5" borderId="8" xfId="0" applyNumberFormat="1" applyFont="1" applyFill="1" applyBorder="1" applyAlignment="1">
      <alignment horizontal="center" vertical="center" wrapText="1"/>
    </xf>
    <xf numFmtId="0" fontId="1" fillId="13" borderId="0" xfId="1" applyFill="1"/>
    <xf numFmtId="0" fontId="1" fillId="0" borderId="0" xfId="1" applyFill="1"/>
    <xf numFmtId="165" fontId="17" fillId="4" borderId="2" xfId="0" applyNumberFormat="1" applyFont="1" applyFill="1" applyBorder="1" applyAlignment="1">
      <alignment horizontal="center" vertical="center" wrapText="1"/>
    </xf>
    <xf numFmtId="165" fontId="26" fillId="4" borderId="2" xfId="0" applyNumberFormat="1" applyFont="1" applyFill="1" applyBorder="1" applyAlignment="1">
      <alignment horizontal="center" vertical="center" wrapText="1"/>
    </xf>
    <xf numFmtId="166" fontId="11" fillId="12" borderId="2" xfId="1" applyNumberFormat="1" applyFont="1" applyFill="1" applyBorder="1" applyAlignment="1">
      <alignment horizontal="center" vertical="center" wrapText="1"/>
    </xf>
    <xf numFmtId="165" fontId="16" fillId="6" borderId="2" xfId="0" applyNumberFormat="1" applyFont="1" applyFill="1" applyBorder="1" applyAlignment="1">
      <alignment horizontal="center" vertical="center" wrapText="1"/>
    </xf>
    <xf numFmtId="166" fontId="11" fillId="0" borderId="2" xfId="1" applyNumberFormat="1" applyFont="1" applyFill="1" applyBorder="1" applyAlignment="1">
      <alignment horizontal="center" vertical="center" wrapText="1"/>
    </xf>
    <xf numFmtId="164" fontId="10" fillId="5" borderId="8" xfId="0" applyNumberFormat="1" applyFont="1" applyFill="1" applyBorder="1" applyAlignment="1">
      <alignment horizontal="center" vertical="center" wrapText="1"/>
    </xf>
    <xf numFmtId="165" fontId="10" fillId="5" borderId="8" xfId="0" applyNumberFormat="1" applyFont="1" applyFill="1" applyBorder="1" applyAlignment="1">
      <alignment horizontal="center" vertical="center" wrapText="1"/>
    </xf>
    <xf numFmtId="164" fontId="11" fillId="5" borderId="8" xfId="0" applyNumberFormat="1" applyFont="1" applyFill="1" applyBorder="1" applyAlignment="1">
      <alignment horizontal="center" vertical="center" wrapText="1"/>
    </xf>
    <xf numFmtId="165" fontId="13" fillId="4" borderId="8" xfId="0" applyNumberFormat="1" applyFont="1" applyFill="1" applyBorder="1" applyAlignment="1">
      <alignment horizontal="center" vertical="center" wrapText="1"/>
    </xf>
    <xf numFmtId="0" fontId="18" fillId="3" borderId="0" xfId="0" applyFont="1" applyFill="1" applyBorder="1" applyAlignment="1">
      <alignment horizontal="left" vertical="center" wrapText="1"/>
    </xf>
    <xf numFmtId="0" fontId="18" fillId="3" borderId="7" xfId="0" applyFont="1" applyFill="1" applyBorder="1" applyAlignment="1">
      <alignment horizontal="left" vertical="center" wrapText="1"/>
    </xf>
    <xf numFmtId="0" fontId="6" fillId="3" borderId="0" xfId="0" applyFont="1" applyFill="1" applyAlignment="1">
      <alignment horizontal="left" vertical="center"/>
    </xf>
    <xf numFmtId="0" fontId="6" fillId="3" borderId="3" xfId="0" applyFont="1" applyFill="1" applyBorder="1" applyAlignment="1">
      <alignment horizontal="left" vertical="center"/>
    </xf>
    <xf numFmtId="167" fontId="14" fillId="0" borderId="0" xfId="0" applyNumberFormat="1" applyFont="1" applyAlignment="1">
      <alignment horizontal="center"/>
    </xf>
    <xf numFmtId="0" fontId="18" fillId="3" borderId="0" xfId="1" applyFont="1" applyFill="1" applyAlignment="1">
      <alignment horizontal="left" vertical="center" wrapText="1"/>
    </xf>
    <xf numFmtId="0" fontId="18" fillId="3" borderId="7" xfId="1" applyFont="1" applyFill="1" applyBorder="1" applyAlignment="1">
      <alignment horizontal="left" vertical="center" wrapText="1"/>
    </xf>
    <xf numFmtId="0" fontId="6" fillId="3" borderId="0" xfId="1" applyFont="1" applyFill="1" applyAlignment="1">
      <alignment horizontal="left" vertical="center"/>
    </xf>
    <xf numFmtId="0" fontId="6" fillId="3" borderId="3" xfId="1" applyFont="1" applyFill="1" applyBorder="1" applyAlignment="1">
      <alignment horizontal="left" vertical="center"/>
    </xf>
  </cellXfs>
  <cellStyles count="3">
    <cellStyle name="Neutral 2" xfId="2" xr:uid="{00000000-0005-0000-0000-000000000000}"/>
    <cellStyle name="Normal" xfId="0" builtinId="0"/>
    <cellStyle name="Normal 2" xfId="1" xr:uid="{00000000-0005-0000-0000-000002000000}"/>
  </cellStyles>
  <dxfs count="163">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fill>
        <patternFill patternType="solid">
          <bgColor theme="0"/>
        </patternFill>
      </fill>
    </dxf>
    <dxf>
      <alignment horizontal="center" readingOrder="0"/>
    </dxf>
    <dxf>
      <numFmt numFmtId="1" formatCode="0"/>
    </dxf>
    <dxf>
      <fill>
        <patternFill>
          <bgColor rgb="FFFF0000"/>
        </patternFill>
      </fill>
    </dxf>
    <dxf>
      <fill>
        <patternFill>
          <bgColor rgb="FF0070C0"/>
        </patternFill>
      </fill>
    </dxf>
    <dxf>
      <fill>
        <patternFill>
          <bgColor rgb="FFFF0000"/>
        </patternFill>
      </fill>
    </dxf>
    <dxf>
      <fill>
        <patternFill>
          <bgColor rgb="FF0070C0"/>
        </patternFill>
      </fill>
    </dxf>
    <dxf>
      <fill>
        <patternFill>
          <bgColor rgb="FFFF0000"/>
        </patternFill>
      </fill>
    </dxf>
    <dxf>
      <fill>
        <patternFill>
          <bgColor rgb="FF0070C0"/>
        </patternFill>
      </fill>
    </dxf>
    <dxf>
      <fill>
        <patternFill>
          <bgColor rgb="FFFF0000"/>
        </patternFill>
      </fill>
    </dxf>
    <dxf>
      <fill>
        <patternFill>
          <bgColor rgb="FF0070C0"/>
        </patternFill>
      </fill>
    </dxf>
    <dxf>
      <fill>
        <patternFill>
          <bgColor rgb="FFFF0000"/>
        </patternFill>
      </fill>
    </dxf>
    <dxf>
      <fill>
        <patternFill>
          <bgColor rgb="FF0070C0"/>
        </patternFill>
      </fill>
    </dxf>
    <dxf>
      <fill>
        <patternFill>
          <bgColor rgb="FFFFC000"/>
        </patternFill>
      </fill>
    </dxf>
    <dxf>
      <fill>
        <patternFill>
          <bgColor rgb="FF00B050"/>
        </patternFill>
      </fill>
    </dxf>
    <dxf>
      <fill>
        <patternFill patternType="none">
          <bgColor auto="1"/>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ill>
        <patternFill patternType="none">
          <bgColor auto="1"/>
        </patternFill>
      </fill>
    </dxf>
    <dxf>
      <fill>
        <patternFill patternType="none">
          <bgColor auto="1"/>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ill>
        <patternFill patternType="none">
          <bgColor auto="1"/>
        </patternFill>
      </fill>
    </dxf>
    <dxf>
      <fill>
        <patternFill patternType="none">
          <bgColor auto="1"/>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ill>
        <patternFill patternType="none">
          <bgColor auto="1"/>
        </patternFill>
      </fill>
    </dxf>
    <dxf>
      <fill>
        <patternFill>
          <bgColor rgb="FFFF0000"/>
        </patternFill>
      </fill>
    </dxf>
    <dxf>
      <fill>
        <patternFill>
          <bgColor rgb="FF0070C0"/>
        </patternFill>
      </fill>
    </dxf>
    <dxf>
      <fill>
        <patternFill>
          <bgColor rgb="FFFF0000"/>
        </patternFill>
      </fill>
    </dxf>
    <dxf>
      <fill>
        <patternFill>
          <bgColor rgb="FF0070C0"/>
        </patternFill>
      </fill>
    </dxf>
    <dxf>
      <fill>
        <patternFill>
          <bgColor rgb="FFFF0000"/>
        </patternFill>
      </fill>
    </dxf>
    <dxf>
      <fill>
        <patternFill>
          <bgColor rgb="FF0070C0"/>
        </patternFill>
      </fill>
    </dxf>
    <dxf>
      <fill>
        <patternFill>
          <bgColor rgb="FFFF0000"/>
        </patternFill>
      </fill>
    </dxf>
    <dxf>
      <fill>
        <patternFill>
          <bgColor rgb="FF0070C0"/>
        </patternFill>
      </fill>
    </dxf>
    <dxf>
      <fill>
        <patternFill>
          <bgColor rgb="FFFF0000"/>
        </patternFill>
      </fill>
    </dxf>
    <dxf>
      <fill>
        <patternFill>
          <bgColor rgb="FF0070C0"/>
        </patternFill>
      </fill>
    </dxf>
    <dxf>
      <fill>
        <patternFill>
          <bgColor rgb="FFFF0000"/>
        </patternFill>
      </fill>
    </dxf>
    <dxf>
      <fill>
        <patternFill>
          <bgColor rgb="FF0070C0"/>
        </patternFill>
      </fill>
    </dxf>
    <dxf>
      <fill>
        <patternFill patternType="none">
          <bgColor auto="1"/>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ill>
        <patternFill patternType="none">
          <bgColor auto="1"/>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00B050"/>
        </patternFill>
      </fill>
    </dxf>
    <dxf>
      <fill>
        <patternFill>
          <bgColor rgb="FFFFC000"/>
        </patternFill>
      </fill>
    </dxf>
    <dxf>
      <fill>
        <patternFill>
          <bgColor rgb="FFFF0000"/>
        </patternFill>
      </fill>
    </dxf>
    <dxf>
      <fill>
        <patternFill>
          <bgColor rgb="FF0070C0"/>
        </patternFill>
      </fill>
    </dxf>
    <dxf>
      <fill>
        <patternFill>
          <bgColor rgb="FFFF0000"/>
        </patternFill>
      </fill>
    </dxf>
    <dxf>
      <fill>
        <patternFill>
          <bgColor rgb="FF0070C0"/>
        </patternFill>
      </fill>
    </dxf>
    <dxf>
      <fill>
        <patternFill>
          <bgColor rgb="FF00B050"/>
        </patternFill>
      </fill>
    </dxf>
    <dxf>
      <fill>
        <patternFill>
          <bgColor rgb="FFFFC000"/>
        </patternFill>
      </fill>
    </dxf>
    <dxf>
      <fill>
        <patternFill>
          <bgColor rgb="FF00B050"/>
        </patternFill>
      </fill>
    </dxf>
    <dxf>
      <fill>
        <patternFill>
          <bgColor rgb="FFFFC000"/>
        </patternFill>
      </fill>
    </dxf>
    <dxf>
      <fill>
        <patternFill>
          <bgColor rgb="FFFF0000"/>
        </patternFill>
      </fill>
    </dxf>
    <dxf>
      <fill>
        <patternFill>
          <bgColor rgb="FF0070C0"/>
        </patternFill>
      </fill>
    </dxf>
    <dxf>
      <fill>
        <patternFill>
          <bgColor rgb="FFFF0000"/>
        </patternFill>
      </fill>
    </dxf>
    <dxf>
      <fill>
        <patternFill>
          <bgColor rgb="FF0070C0"/>
        </patternFill>
      </fill>
    </dxf>
    <dxf>
      <fill>
        <patternFill>
          <bgColor rgb="FF0070C0"/>
        </patternFill>
      </fill>
    </dxf>
    <dxf>
      <fill>
        <patternFill>
          <bgColor rgb="FFFF0000"/>
        </patternFill>
      </fill>
    </dxf>
    <dxf>
      <fill>
        <patternFill>
          <bgColor rgb="FF0070C0"/>
        </patternFill>
      </fill>
    </dxf>
    <dxf>
      <fill>
        <patternFill>
          <bgColor rgb="FFFF0000"/>
        </patternFill>
      </fill>
    </dxf>
    <dxf>
      <fill>
        <patternFill>
          <bgColor rgb="FFFF0000"/>
        </patternFill>
      </fill>
    </dxf>
    <dxf>
      <fill>
        <patternFill>
          <bgColor rgb="FF0070C0"/>
        </patternFill>
      </fill>
    </dxf>
    <dxf>
      <fill>
        <patternFill>
          <bgColor rgb="FF0070C0"/>
        </patternFill>
      </fill>
    </dxf>
    <dxf>
      <fill>
        <patternFill>
          <bgColor rgb="FFFF0000"/>
        </patternFill>
      </fill>
    </dxf>
    <dxf>
      <fill>
        <patternFill>
          <bgColor rgb="FFFF0000"/>
        </patternFill>
      </fill>
    </dxf>
    <dxf>
      <fill>
        <patternFill>
          <bgColor rgb="FF0070C0"/>
        </patternFill>
      </fill>
    </dxf>
    <dxf>
      <fill>
        <patternFill>
          <bgColor rgb="FF0070C0"/>
        </patternFill>
      </fill>
    </dxf>
    <dxf>
      <fill>
        <patternFill>
          <bgColor rgb="FFFF0000"/>
        </patternFill>
      </fill>
    </dxf>
    <dxf>
      <fill>
        <patternFill patternType="none">
          <bgColor auto="1"/>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ill>
        <patternFill patternType="none">
          <bgColor auto="1"/>
        </patternFill>
      </fill>
    </dxf>
    <dxf>
      <fill>
        <patternFill patternType="none">
          <bgColor auto="1"/>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ill>
        <patternFill patternType="none">
          <bgColor auto="1"/>
        </patternFill>
      </fill>
    </dxf>
    <dxf>
      <fill>
        <patternFill patternType="none">
          <bgColor auto="1"/>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ill>
        <patternFill patternType="none">
          <bgColor auto="1"/>
        </patternFill>
      </fill>
    </dxf>
    <dxf>
      <fill>
        <patternFill>
          <bgColor rgb="FFFFC0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FFE1E2"/>
      <rgbColor rgb="00FEFAF4"/>
      <rgbColor rgb="00FFCCFF"/>
      <rgbColor rgb="0000CCFF"/>
      <rgbColor rgb="00A8B18D"/>
      <rgbColor rgb="00EAF0F6"/>
      <rgbColor rgb="00E9E9E9"/>
      <rgbColor rgb="0099CCFF"/>
      <rgbColor rgb="00FF99CC"/>
      <rgbColor rgb="00D7D7D7"/>
      <rgbColor rgb="00F7F9FB"/>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D3D3D"/>
    </indexedColors>
    <mruColors>
      <color rgb="FFBCFACF"/>
      <color rgb="FFC5FBD6"/>
      <color rgb="FFD4FCE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5"/>
    </mc:Choice>
    <mc:Fallback>
      <c:style val="25"/>
    </mc:Fallback>
  </mc:AlternateContent>
  <c:pivotSource>
    <c:name>[ServiceRecords_Auto_UTD.xlsm]Average Days Graph!PivotTable1</c:name>
    <c:fmtId val="0"/>
  </c:pivotSource>
  <c:chart>
    <c:title>
      <c:tx>
        <c:rich>
          <a:bodyPr/>
          <a:lstStyle/>
          <a:p>
            <a:pPr>
              <a:defRPr/>
            </a:pPr>
            <a:r>
              <a:rPr lang="en-US"/>
              <a:t>Average Days on Peterbilt Log</a:t>
            </a:r>
          </a:p>
        </c:rich>
      </c:tx>
      <c:overlay val="0"/>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'Average Days Graph'!$B$3</c:f>
              <c:strCache>
                <c:ptCount val="1"/>
                <c:pt idx="0">
                  <c:v>Total</c:v>
                </c:pt>
              </c:strCache>
            </c:strRef>
          </c:tx>
          <c:invertIfNegative val="0"/>
          <c:dLbls>
            <c:spPr/>
            <c:txPr>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'Average Days Graph'!$A$4:$A$13</c:f>
              <c:strCache>
                <c:ptCount val="9"/>
                <c:pt idx="0">
                  <c:v>Exhaust</c:v>
                </c:pt>
                <c:pt idx="1">
                  <c:v>Suspension System</c:v>
                </c:pt>
                <c:pt idx="2">
                  <c:v>Clutch</c:v>
                </c:pt>
                <c:pt idx="3">
                  <c:v>Other</c:v>
                </c:pt>
                <c:pt idx="4">
                  <c:v>Lights</c:v>
                </c:pt>
                <c:pt idx="5">
                  <c:v>Windows</c:v>
                </c:pt>
                <c:pt idx="6">
                  <c:v>Drive Line</c:v>
                </c:pt>
                <c:pt idx="7">
                  <c:v>Mirrors</c:v>
                </c:pt>
                <c:pt idx="8">
                  <c:v>Brake Accessories</c:v>
                </c:pt>
              </c:strCache>
            </c:strRef>
          </c:cat>
          <c:val>
            <c:numRef>
              <c:f>'Average Days Graph'!$B$4:$B$13</c:f>
              <c:numCache>
                <c:formatCode>0</c:formatCode>
                <c:ptCount val="9"/>
                <c:pt idx="0">
                  <c:v>395.97872340425533</c:v>
                </c:pt>
                <c:pt idx="1">
                  <c:v>398.75</c:v>
                </c:pt>
                <c:pt idx="2">
                  <c:v>480.84615384615387</c:v>
                </c:pt>
                <c:pt idx="3">
                  <c:v>502.41534988713317</c:v>
                </c:pt>
                <c:pt idx="4">
                  <c:v>520.93095768374167</c:v>
                </c:pt>
                <c:pt idx="5">
                  <c:v>556.93548387096769</c:v>
                </c:pt>
                <c:pt idx="6">
                  <c:v>593.74193548387098</c:v>
                </c:pt>
                <c:pt idx="7">
                  <c:v>612.79999999999995</c:v>
                </c:pt>
                <c:pt idx="8">
                  <c:v>806.26506024096386</c:v>
                </c:pt>
              </c:numCache>
            </c:numRef>
          </c:val>
          <c:extLst>
            <c:ext xmlns:c16="http://schemas.microsoft.com/office/drawing/2014/chart" uri="{C3380CC4-5D6E-409C-BE32-E72D297353CC}">
              <c16:uniqueId val="{00000000-D81C-47AC-9DA9-DD123CF73F72}"/>
            </c:ext>
          </c:extLst>
        </c:ser>
        <c:dLbls>
          <c:dLblPos val="outEnd"/>
          <c:showLegendKey val="0"/>
          <c:showVal val="1"/>
          <c:showCatName val="0"/>
          <c:showSerName val="0"/>
          <c:showPercent val="0"/>
          <c:showBubbleSize val="0"/>
        </c:dLbls>
        <c:gapWidth val="150"/>
        <c:axId val="130628608"/>
        <c:axId val="135942528"/>
      </c:barChart>
      <c:catAx>
        <c:axId val="130628608"/>
        <c:scaling>
          <c:orientation val="minMax"/>
        </c:scaling>
        <c:delete val="0"/>
        <c:axPos val="b"/>
        <c:numFmt formatCode="General" sourceLinked="0"/>
        <c:majorTickMark val="out"/>
        <c:minorTickMark val="none"/>
        <c:tickLblPos val="nextTo"/>
        <c:crossAx val="135942528"/>
        <c:crosses val="autoZero"/>
        <c:auto val="1"/>
        <c:lblAlgn val="ctr"/>
        <c:lblOffset val="100"/>
        <c:noMultiLvlLbl val="0"/>
      </c:catAx>
      <c:valAx>
        <c:axId val="135942528"/>
        <c:scaling>
          <c:orientation val="minMax"/>
        </c:scaling>
        <c:delete val="0"/>
        <c:axPos val="l"/>
        <c:majorGridlines/>
        <c:title>
          <c:tx>
            <c:rich>
              <a:bodyPr rot="-5400000" vert="horz"/>
              <a:lstStyle/>
              <a:p>
                <a:pPr>
                  <a:defRPr/>
                </a:pPr>
                <a:r>
                  <a:rPr lang="en-US"/>
                  <a:t>Days</a:t>
                </a:r>
              </a:p>
            </c:rich>
          </c:tx>
          <c:overlay val="0"/>
        </c:title>
        <c:numFmt formatCode="0" sourceLinked="1"/>
        <c:majorTickMark val="out"/>
        <c:minorTickMark val="none"/>
        <c:tickLblPos val="nextTo"/>
        <c:crossAx val="130628608"/>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9</xdr:col>
      <xdr:colOff>186170</xdr:colOff>
      <xdr:row>3</xdr:row>
      <xdr:rowOff>108239</xdr:rowOff>
    </xdr:from>
    <xdr:to>
      <xdr:col>14</xdr:col>
      <xdr:colOff>1060646</xdr:colOff>
      <xdr:row>5</xdr:row>
      <xdr:rowOff>317790</xdr:rowOff>
    </xdr:to>
    <xdr:pic>
      <xdr:nvPicPr>
        <xdr:cNvPr id="2249" name="Picture 6" descr="http://cooler/Corporate/Image%20Template/logos_sleeman-en.gif">
          <a:extLst>
            <a:ext uri="{FF2B5EF4-FFF2-40B4-BE49-F238E27FC236}">
              <a16:creationId xmlns:a16="http://schemas.microsoft.com/office/drawing/2014/main" id="{00000000-0008-0000-0000-0000C9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95443" y="1026103"/>
          <a:ext cx="7992248" cy="112741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2042309</xdr:colOff>
      <xdr:row>1</xdr:row>
      <xdr:rowOff>81642</xdr:rowOff>
    </xdr:from>
    <xdr:to>
      <xdr:col>3</xdr:col>
      <xdr:colOff>2956709</xdr:colOff>
      <xdr:row>3</xdr:row>
      <xdr:rowOff>295892</xdr:rowOff>
    </xdr:to>
    <xdr:pic macro="[0]!runAutoPop">
      <xdr:nvPicPr>
        <xdr:cNvPr id="3" name="Graphic 2" descr="Clipboard">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691991" y="306778"/>
          <a:ext cx="914400" cy="906978"/>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4260850</xdr:colOff>
          <xdr:row>2</xdr:row>
          <xdr:rowOff>171450</xdr:rowOff>
        </xdr:from>
        <xdr:to>
          <xdr:col>3</xdr:col>
          <xdr:colOff>6184900</xdr:colOff>
          <xdr:row>3</xdr:row>
          <xdr:rowOff>209550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200" b="0" i="0" u="none" strike="noStrike" baseline="0">
                  <a:solidFill>
                    <a:srgbClr val="000000"/>
                  </a:solidFill>
                  <a:latin typeface="Arial"/>
                  <a:cs typeface="Arial"/>
                </a:rPr>
                <a:t>CLEAR SCAN FOLDER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190500</xdr:colOff>
          <xdr:row>0</xdr:row>
          <xdr:rowOff>203200</xdr:rowOff>
        </xdr:from>
        <xdr:to>
          <xdr:col>7</xdr:col>
          <xdr:colOff>171450</xdr:colOff>
          <xdr:row>3</xdr:row>
          <xdr:rowOff>69850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US" sz="2000" b="0" i="0" u="none" strike="noStrike" baseline="0">
                  <a:solidFill>
                    <a:srgbClr val="000000"/>
                  </a:solidFill>
                  <a:latin typeface="Arial"/>
                  <a:cs typeface="Arial"/>
                </a:rPr>
                <a:t>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755650</xdr:colOff>
          <xdr:row>0</xdr:row>
          <xdr:rowOff>222250</xdr:rowOff>
        </xdr:from>
        <xdr:to>
          <xdr:col>8</xdr:col>
          <xdr:colOff>1123950</xdr:colOff>
          <xdr:row>3</xdr:row>
          <xdr:rowOff>88900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US" sz="2000" b="0" i="0" u="none" strike="noStrike" baseline="0">
                  <a:solidFill>
                    <a:srgbClr val="000000"/>
                  </a:solidFill>
                  <a:latin typeface="Arial"/>
                  <a:cs typeface="Arial"/>
                </a:rPr>
                <a:t>Mail Pending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9</xdr:col>
      <xdr:colOff>186170</xdr:colOff>
      <xdr:row>3</xdr:row>
      <xdr:rowOff>108239</xdr:rowOff>
    </xdr:from>
    <xdr:ext cx="7992248" cy="1127414"/>
    <xdr:pic>
      <xdr:nvPicPr>
        <xdr:cNvPr id="2" name="Picture 6" descr="http://cooler/Corporate/Image%20Template/logos_sleeman-en.gif">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72570" y="594014"/>
          <a:ext cx="7992248" cy="112741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1470808</xdr:colOff>
      <xdr:row>1</xdr:row>
      <xdr:rowOff>29687</xdr:rowOff>
    </xdr:from>
    <xdr:ext cx="914400" cy="906978"/>
    <xdr:pic macro="[0]!runAutoPop">
      <xdr:nvPicPr>
        <xdr:cNvPr id="3" name="Graphic 2" descr="Clipboard">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120490" y="254823"/>
          <a:ext cx="914400" cy="906978"/>
        </a:xfrm>
        <a:prstGeom prst="rect">
          <a:avLst/>
        </a:prstGeom>
      </xdr:spPr>
    </xdr:pic>
    <xdr:clientData/>
  </xdr:oneCellAnchor>
  <xdr:oneCellAnchor>
    <xdr:from>
      <xdr:col>1</xdr:col>
      <xdr:colOff>2</xdr:colOff>
      <xdr:row>0</xdr:row>
      <xdr:rowOff>0</xdr:rowOff>
    </xdr:from>
    <xdr:ext cx="2395250" cy="1039091"/>
    <xdr:pic>
      <xdr:nvPicPr>
        <xdr:cNvPr id="4" name="Picture 3" descr="Peterbilt - Wikipedia">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609602" y="0"/>
          <a:ext cx="2395250" cy="103909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3</xdr:col>
          <xdr:colOff>4222750</xdr:colOff>
          <xdr:row>2</xdr:row>
          <xdr:rowOff>247650</xdr:rowOff>
        </xdr:from>
        <xdr:to>
          <xdr:col>3</xdr:col>
          <xdr:colOff>6165850</xdr:colOff>
          <xdr:row>3</xdr:row>
          <xdr:rowOff>279400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100-0000021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200" b="0" i="0" u="none" strike="noStrike" baseline="0">
                  <a:solidFill>
                    <a:srgbClr val="000000"/>
                  </a:solidFill>
                  <a:latin typeface="Arial"/>
                  <a:cs typeface="Arial"/>
                </a:rPr>
                <a:t>CLEAR SCAN FOLDER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190500</xdr:colOff>
          <xdr:row>0</xdr:row>
          <xdr:rowOff>203200</xdr:rowOff>
        </xdr:from>
        <xdr:to>
          <xdr:col>7</xdr:col>
          <xdr:colOff>171450</xdr:colOff>
          <xdr:row>3</xdr:row>
          <xdr:rowOff>69850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100-00000618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US" sz="2000" b="0" i="0" u="none" strike="noStrike" baseline="0">
                  <a:solidFill>
                    <a:srgbClr val="000000"/>
                  </a:solidFill>
                  <a:latin typeface="Arial"/>
                  <a:cs typeface="Arial"/>
                </a:rPr>
                <a:t>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800100</xdr:colOff>
          <xdr:row>0</xdr:row>
          <xdr:rowOff>203200</xdr:rowOff>
        </xdr:from>
        <xdr:to>
          <xdr:col>8</xdr:col>
          <xdr:colOff>1181100</xdr:colOff>
          <xdr:row>3</xdr:row>
          <xdr:rowOff>69850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US" sz="2000" b="0" i="0" u="none" strike="noStrike" baseline="0">
                  <a:solidFill>
                    <a:srgbClr val="000000"/>
                  </a:solidFill>
                  <a:latin typeface="Arial"/>
                  <a:cs typeface="Arial"/>
                </a:rPr>
                <a:t>Mail Pending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9</xdr:col>
      <xdr:colOff>186170</xdr:colOff>
      <xdr:row>3</xdr:row>
      <xdr:rowOff>108239</xdr:rowOff>
    </xdr:from>
    <xdr:to>
      <xdr:col>14</xdr:col>
      <xdr:colOff>1060646</xdr:colOff>
      <xdr:row>5</xdr:row>
      <xdr:rowOff>317790</xdr:rowOff>
    </xdr:to>
    <xdr:pic>
      <xdr:nvPicPr>
        <xdr:cNvPr id="2" name="Picture 6" descr="http://cooler/Corporate/Image%20Template/logos_sleeman-en.gif">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73795" y="1032164"/>
          <a:ext cx="8001773" cy="113347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3150673</xdr:colOff>
      <xdr:row>0</xdr:row>
      <xdr:rowOff>220187</xdr:rowOff>
    </xdr:from>
    <xdr:to>
      <xdr:col>3</xdr:col>
      <xdr:colOff>4065073</xdr:colOff>
      <xdr:row>3</xdr:row>
      <xdr:rowOff>209301</xdr:rowOff>
    </xdr:to>
    <xdr:pic macro="[0]!runAutoPop">
      <xdr:nvPicPr>
        <xdr:cNvPr id="3" name="Graphic 2" descr="Clipboard">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800355" y="220187"/>
          <a:ext cx="914400" cy="906978"/>
        </a:xfrm>
        <a:prstGeom prst="rect">
          <a:avLst/>
        </a:prstGeom>
      </xdr:spPr>
    </xdr:pic>
    <xdr:clientData/>
  </xdr:twoCellAnchor>
  <xdr:twoCellAnchor editAs="oneCell">
    <xdr:from>
      <xdr:col>1</xdr:col>
      <xdr:colOff>62923</xdr:colOff>
      <xdr:row>0</xdr:row>
      <xdr:rowOff>0</xdr:rowOff>
    </xdr:from>
    <xdr:to>
      <xdr:col>3</xdr:col>
      <xdr:colOff>2996044</xdr:colOff>
      <xdr:row>3</xdr:row>
      <xdr:rowOff>363682</xdr:rowOff>
    </xdr:to>
    <xdr:pic>
      <xdr:nvPicPr>
        <xdr:cNvPr id="4" name="Picture 12" descr="Kenworth black vector logo free">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l="5000" t="40500" r="5499" b="38251"/>
        <a:stretch>
          <a:fillRect/>
        </a:stretch>
      </xdr:blipFill>
      <xdr:spPr bwMode="auto">
        <a:xfrm>
          <a:off x="288059" y="0"/>
          <a:ext cx="5357667" cy="12815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xdr:col>
          <xdr:colOff>4781550</xdr:colOff>
          <xdr:row>2</xdr:row>
          <xdr:rowOff>107950</xdr:rowOff>
        </xdr:from>
        <xdr:to>
          <xdr:col>4</xdr:col>
          <xdr:colOff>508000</xdr:colOff>
          <xdr:row>3</xdr:row>
          <xdr:rowOff>146050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200" b="0" i="0" u="none" strike="noStrike" baseline="0">
                  <a:solidFill>
                    <a:srgbClr val="000000"/>
                  </a:solidFill>
                  <a:latin typeface="Arial"/>
                  <a:cs typeface="Arial"/>
                </a:rPr>
                <a:t>CLEAR SCAN FOLDER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190500</xdr:colOff>
          <xdr:row>0</xdr:row>
          <xdr:rowOff>203200</xdr:rowOff>
        </xdr:from>
        <xdr:to>
          <xdr:col>7</xdr:col>
          <xdr:colOff>171450</xdr:colOff>
          <xdr:row>3</xdr:row>
          <xdr:rowOff>69850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US" sz="2000" b="0" i="0" u="none" strike="noStrike" baseline="0">
                  <a:solidFill>
                    <a:srgbClr val="000000"/>
                  </a:solidFill>
                  <a:latin typeface="Arial"/>
                  <a:cs typeface="Arial"/>
                </a:rPr>
                <a:t>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781050</xdr:colOff>
          <xdr:row>0</xdr:row>
          <xdr:rowOff>184150</xdr:rowOff>
        </xdr:from>
        <xdr:to>
          <xdr:col>8</xdr:col>
          <xdr:colOff>1162050</xdr:colOff>
          <xdr:row>3</xdr:row>
          <xdr:rowOff>57150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US" sz="2000" b="0" i="0" u="none" strike="noStrike" baseline="0">
                  <a:solidFill>
                    <a:srgbClr val="000000"/>
                  </a:solidFill>
                  <a:latin typeface="Arial"/>
                  <a:cs typeface="Arial"/>
                </a:rPr>
                <a:t>Mail Pending</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9</xdr:col>
      <xdr:colOff>342900</xdr:colOff>
      <xdr:row>1</xdr:row>
      <xdr:rowOff>38100</xdr:rowOff>
    </xdr:from>
    <xdr:to>
      <xdr:col>12</xdr:col>
      <xdr:colOff>552450</xdr:colOff>
      <xdr:row>13</xdr:row>
      <xdr:rowOff>19050</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10420350" y="200025"/>
          <a:ext cx="2038350" cy="1924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u="sng"/>
            <a:t>Update</a:t>
          </a:r>
          <a:r>
            <a:rPr lang="en-US" sz="1100" u="sng" baseline="0"/>
            <a:t> these lists with:</a:t>
          </a:r>
        </a:p>
        <a:p>
          <a:r>
            <a:rPr lang="en-US" sz="1100" baseline="0"/>
            <a:t>- New trucks (referenced by the Auto-populate macro)</a:t>
          </a:r>
        </a:p>
        <a:p>
          <a:endParaRPr lang="en-US" sz="1100" baseline="0"/>
        </a:p>
        <a:p>
          <a:r>
            <a:rPr lang="en-US" sz="1100" baseline="0"/>
            <a:t>- New types of defect (for "DEFECT" dropdowns)</a:t>
          </a:r>
        </a:p>
        <a:p>
          <a:endParaRPr lang="en-US" sz="1100" baseline="0"/>
        </a:p>
        <a:p>
          <a:r>
            <a:rPr lang="en-US" sz="1100" baseline="0"/>
            <a:t>- New email addresses for each repair company contact (referenced by the Mail macro)</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57151</xdr:colOff>
      <xdr:row>1</xdr:row>
      <xdr:rowOff>0</xdr:rowOff>
    </xdr:from>
    <xdr:to>
      <xdr:col>22</xdr:col>
      <xdr:colOff>285750</xdr:colOff>
      <xdr:row>37</xdr:row>
      <xdr:rowOff>38100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I:\Desktop\Maint_Ref\Peterbilt%20eDVIR%20reports%2020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hicle service record"/>
      <sheetName val="ref"/>
      <sheetName val="Average Days Graph"/>
    </sheetNames>
    <sheetDataSet>
      <sheetData sheetId="0"/>
      <sheetData sheetId="1"/>
      <sheetData sheetId="2"/>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dwin Chestnut" refreshedDate="43889.697811226855" createdVersion="4" refreshedVersion="6" minRefreshableVersion="3" recordCount="2205" xr:uid="{00000000-000A-0000-FFFF-FFFF00000000}">
  <cacheSource type="worksheet">
    <worksheetSource ref="B639:F640" sheet="ELITE Service Record"/>
  </cacheSource>
  <cacheFields count="5">
    <cacheField name="UNIT #" numFmtId="0">
      <sharedItems containsString="0" containsBlank="1" containsNumber="1" containsInteger="1" minValue="1641" maxValue="1830"/>
    </cacheField>
    <cacheField name="DEFECT" numFmtId="0">
      <sharedItems containsBlank="1" count="32">
        <s v="Brake Accessories"/>
        <s v="Other"/>
        <s v="Windows"/>
        <s v="Lights"/>
        <s v="Body"/>
        <s v="Defroster or Heater"/>
        <s v="Exhaust"/>
        <s v="Battery"/>
        <m/>
        <s v="Parking Brakes"/>
        <s v="Tires"/>
        <s v="Mirrors"/>
        <s v="Air Compressor"/>
        <s v="Steering"/>
        <s v="Engine"/>
        <s v="Air Lines"/>
        <s v="Windshield Wipers"/>
        <s v="Transmission"/>
        <s v="Wheels and Rims"/>
        <s v="Suspension System"/>
        <s v="Coupling Devices"/>
        <s v="Drive Line"/>
        <s v="Fifth Wheel"/>
        <s v="Radiator"/>
        <s v="Horn"/>
        <s v="Clutch"/>
        <s v="Reflectors"/>
        <s v="Starter"/>
        <s v="Safety Equipment"/>
        <s v="Tachograph"/>
        <s v="Muffler"/>
        <s v="Service Brakes" u="1"/>
      </sharedItems>
    </cacheField>
    <cacheField name="PROBLEM" numFmtId="0">
      <sharedItems containsBlank="1"/>
    </cacheField>
    <cacheField name="INITATED DATE" numFmtId="0">
      <sharedItems containsDate="1" containsBlank="1" containsMixedTypes="1" minDate="1949-09-04T00:00:00" maxDate="2020-02-28T00:00:00"/>
    </cacheField>
    <cacheField name="LENGTH OF TIME IT'S BEEN REPORTED" numFmtId="0">
      <sharedItems containsDate="1" containsBlank="1" containsMixedTypes="1" minDate="1899-12-31T01:06:12" maxDate="1900-01-01T07:38:0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05">
  <r>
    <n v="1641"/>
    <x v="0"/>
    <s v="ABS LIGHT ON AND STAYS ON "/>
    <d v="2017-02-21T00:00:00"/>
    <n v="1070"/>
  </r>
  <r>
    <n v="1641"/>
    <x v="1"/>
    <s v="WATER LEAK IN BOX  FROM UNDER THE ROLL UP DOOR"/>
    <d v="2016-12-12T00:00:00"/>
    <n v="1141"/>
  </r>
  <r>
    <n v="1641"/>
    <x v="1"/>
    <s v="truck ramp not working the handle on the driver side was hit by car "/>
    <d v="2017-02-21T00:00:00"/>
    <n v="1070"/>
  </r>
  <r>
    <n v="1641"/>
    <x v="2"/>
    <s v="water leaking though winshield pass side pooling on dash runing into heat vent on to dash"/>
    <d v="2017-01-10T00:00:00"/>
    <n v="1112"/>
  </r>
  <r>
    <n v="1641"/>
    <x v="3"/>
    <s v="right side tail light out"/>
    <d v="2017-03-23T00:00:00"/>
    <n v="1040"/>
  </r>
  <r>
    <n v="1641"/>
    <x v="1"/>
    <s v="Water pump and belt"/>
    <d v="2017-03-28T00:00:00"/>
    <n v="1035"/>
  </r>
  <r>
    <n v="1641"/>
    <x v="4"/>
    <s v="Foam rest under hood pass side front wheel well comes off screw is stripped  "/>
    <d v="2017-03-24T00:00:00"/>
    <n v="1039"/>
  </r>
  <r>
    <n v="1641"/>
    <x v="5"/>
    <s v="CAB HEATER NOT WORKING WHEN SET A 3"/>
    <d v="2017-04-12T00:00:00"/>
    <n v="1020"/>
  </r>
  <r>
    <n v="1641"/>
    <x v="6"/>
    <s v="exhaust gas / fumes entering driver cab  bad smell"/>
    <d v="2017-06-09T00:00:00"/>
    <n v="962"/>
  </r>
  <r>
    <n v="1641"/>
    <x v="3"/>
    <s v="Box light out"/>
    <d v="2017-06-09T00:00:00"/>
    <n v="962"/>
  </r>
  <r>
    <n v="1641"/>
    <x v="0"/>
    <s v="PARKING BRAKE -  metal is chiping and not gliding well"/>
    <d v="2017-06-08T00:00:00"/>
    <n v="963"/>
  </r>
  <r>
    <n v="1641"/>
    <x v="1"/>
    <s v="passenger side red upper light hanging off "/>
    <d v="2017-07-21T00:00:00"/>
    <n v="920"/>
  </r>
  <r>
    <n v="1641"/>
    <x v="7"/>
    <s v="Battery very low will not boost"/>
    <d v="2017-08-02T00:00:00"/>
    <n v="908"/>
  </r>
  <r>
    <n v="1641"/>
    <x v="1"/>
    <s v="Check engine light is on "/>
    <d v="2017-08-15T00:00:00"/>
    <n v="895"/>
  </r>
  <r>
    <n v="1641"/>
    <x v="8"/>
    <s v="Check engine light is on "/>
    <d v="2017-08-23T00:00:00"/>
    <n v="887"/>
  </r>
  <r>
    <n v="1641"/>
    <x v="1"/>
    <s v="three dash engine lights are on poor scr qua"/>
    <d v="2017-09-14T00:00:00"/>
    <m/>
  </r>
  <r>
    <n v="1641"/>
    <x v="9"/>
    <s v="Parking brake is not working "/>
    <d v="2017-10-24T00:00:00"/>
    <n v="825"/>
  </r>
  <r>
    <n v="1641"/>
    <x v="1"/>
    <s v="clamp rusted out and broken that holds the black tubes coming down from coolant        "/>
    <d v="2017-12-27T00:00:00"/>
    <n v="761"/>
  </r>
  <r>
    <n v="1641"/>
    <x v="1"/>
    <s v="driverside pannel wheel hanging off revits broke"/>
    <d v="2017-12-27T00:00:00"/>
    <m/>
  </r>
  <r>
    <n v="1642"/>
    <x v="0"/>
    <s v="ABS Issues"/>
    <d v="2017-02-16T00:00:00"/>
    <n v="1075"/>
  </r>
  <r>
    <n v="1642"/>
    <x v="1"/>
    <s v="Check Engine Light"/>
    <d v="2017-02-16T00:00:00"/>
    <n v="1075"/>
  </r>
  <r>
    <n v="1641"/>
    <x v="1"/>
    <s v="clip holding black tube from coolant tank broken all the way off now"/>
    <d v="2017-12-27T00:00:00"/>
    <n v="761"/>
  </r>
  <r>
    <n v="1641"/>
    <x v="1"/>
    <s v="abs light "/>
    <d v="2018-02-27T00:00:00"/>
    <n v="699"/>
  </r>
  <r>
    <n v="1641"/>
    <x v="1"/>
    <s v="ROLL UP DOOR IS OFF THE TRACK ON THE PASSENGER SIDE "/>
    <d v="2018-01-05T00:00:00"/>
    <n v="752"/>
  </r>
  <r>
    <n v="1641"/>
    <x v="1"/>
    <s v="Rail which ramp glids on is split and ramp falls down"/>
    <d v="2018-03-29T00:00:00"/>
    <n v="669"/>
  </r>
  <r>
    <n v="1641"/>
    <x v="1"/>
    <s v="leak in the roof of cab - it comes out of the mobile vision rear view screen hole in roof"/>
    <d v="2018-04-04T00:00:00"/>
    <n v="663"/>
  </r>
  <r>
    <n v="1641"/>
    <x v="1"/>
    <s v="engine light and sudden stop alarm keeps going off even when i dont stop"/>
    <d v="2018-05-04T00:00:00"/>
    <n v="633"/>
  </r>
  <r>
    <n v="1641"/>
    <x v="10"/>
    <s v="under lnflated rear inside tire drivers side "/>
    <m/>
    <m/>
  </r>
  <r>
    <n v="1641"/>
    <x v="1"/>
    <s v="two dash cheek engine lights "/>
    <d v="2018-06-12T00:00:00"/>
    <m/>
  </r>
  <r>
    <n v="1641"/>
    <x v="5"/>
    <s v="defrost vents at windshield  do not work"/>
    <d v="2018-07-19T00:00:00"/>
    <n v="557"/>
  </r>
  <r>
    <n v="1641"/>
    <x v="1"/>
    <s v="passenger side step is loose "/>
    <d v="2018-08-14T00:00:00"/>
    <n v="531"/>
  </r>
  <r>
    <n v="1641"/>
    <x v="5"/>
    <s v="top air vents on the dash not clearing windshield"/>
    <d v="2018-09-12T00:00:00"/>
    <n v="502"/>
  </r>
  <r>
    <n v="1641"/>
    <x v="3"/>
    <s v="DRIVER'S SIDE HEADLIGHT OUT - DRIVER TRIED BUT COULD NOT REMOVE HEADLIGHT"/>
    <d v="2018-12-04T00:00:00"/>
    <n v="419"/>
  </r>
  <r>
    <n v="1641"/>
    <x v="1"/>
    <s v="12V/120V POWER OUTLET NOT WORKING"/>
    <d v="2018-12-04T00:00:00"/>
    <n v="419"/>
  </r>
  <r>
    <n v="1641"/>
    <x v="1"/>
    <s v="EXTERNAL TEMP GAUGE IS NOT WORKING AND INTERNAL TEMP GAUGE IS INCORRECT"/>
    <d v="2018-12-04T00:00:00"/>
    <n v="419"/>
  </r>
  <r>
    <n v="1641"/>
    <x v="11"/>
    <s v="MIRROR ABOVE DOOR BROKEN ON PASSENGER SIDE"/>
    <d v="2018-12-06T00:00:00"/>
    <n v="417"/>
  </r>
  <r>
    <n v="1641"/>
    <x v="1"/>
    <s v="ROLL UP DOOR ROLLER COMING OFF TRACK"/>
    <d v="2019-05-10T00:00:00"/>
    <n v="262"/>
  </r>
  <r>
    <n v="1641"/>
    <x v="1"/>
    <s v="PMB SERVICE DUE IN JUNE"/>
    <d v="2019-05-31T00:00:00"/>
    <n v="241"/>
  </r>
  <r>
    <n v="1642"/>
    <x v="12"/>
    <s v="air bags not inflating "/>
    <d v="2018-01-16T00:00:00"/>
    <n v="741"/>
  </r>
  <r>
    <n v="1642"/>
    <x v="1"/>
    <s v="purge valve leaking "/>
    <d v="2018-01-10T00:00:00"/>
    <n v="747"/>
  </r>
  <r>
    <n v="1642"/>
    <x v="1"/>
    <s v="wrench WARNING  light on "/>
    <d v="2018-01-10T00:00:00"/>
    <m/>
  </r>
  <r>
    <n v="1642"/>
    <x v="1"/>
    <s v="POWER STEERING RESIVOR CAPS MISSING "/>
    <d v="2018-03-21T00:00:00"/>
    <n v="677"/>
  </r>
  <r>
    <n v="1642"/>
    <x v="12"/>
    <s v="MANUAL PURGE  valve leaking "/>
    <d v="2018-03-21T00:00:00"/>
    <n v="677"/>
  </r>
  <r>
    <n v="1642"/>
    <x v="5"/>
    <s v="Heater/Defrost is either cold or hot no in between"/>
    <d v="2018-04-18T00:00:00"/>
    <n v="649"/>
  </r>
  <r>
    <n v="1642"/>
    <x v="1"/>
    <s v="LEAKING FROM ROOF AROUND BACK UP CAM MONITER"/>
    <d v="2018-04-18T00:00:00"/>
    <n v="649"/>
  </r>
  <r>
    <n v="1642"/>
    <x v="1"/>
    <s v="DOOR CHIMES GO OFF WITH NO KEYS "/>
    <d v="2018-04-18T00:00:00"/>
    <n v="649"/>
  </r>
  <r>
    <n v="1642"/>
    <x v="4"/>
    <s v="ROLL UP DOOR HAS BROKEN ROLLER"/>
    <d v="2018-05-11T00:00:00"/>
    <n v="626"/>
  </r>
  <r>
    <n v="1642"/>
    <x v="4"/>
    <s v=" TRIM ON BOTTOM OF DOOR FALLING OFF"/>
    <d v="2018-05-11T00:00:00"/>
    <n v="626"/>
  </r>
  <r>
    <n v="1642"/>
    <x v="1"/>
    <s v="DOOR CHYME GOES OFFWHEN DOOR IS OPEN WITHOUT KEYS "/>
    <d v="2018-07-26T00:00:00"/>
    <n v="550"/>
  </r>
  <r>
    <n v="1642"/>
    <x v="1"/>
    <s v="safety and regular service"/>
    <d v="2017-03-01T00:00:00"/>
    <n v="1062"/>
  </r>
  <r>
    <n v="1642"/>
    <x v="1"/>
    <s v="top passenger side vent is not blowing air properly it is either cold or hot with no inbetwen."/>
    <d v="2017-03-03T00:00:00"/>
    <n v="1060"/>
  </r>
  <r>
    <n v="1642"/>
    <x v="4"/>
    <s v="grab handle missing from rear of box."/>
    <d v="2017-03-02T00:00:00"/>
    <n v="1061"/>
  </r>
  <r>
    <n v="1642"/>
    <x v="13"/>
    <s v="steering is stiff - power steering may be overheating"/>
    <d v="2017-04-11T00:00:00"/>
    <n v="1021"/>
  </r>
  <r>
    <n v="1642"/>
    <x v="5"/>
    <s v="vents not allowing air to flow out properly either very hot or cold, no in between "/>
    <d v="2017-05-12T00:00:00"/>
    <n v="990"/>
  </r>
  <r>
    <n v="1642"/>
    <x v="0"/>
    <s v="warped brake drum"/>
    <d v="2017-05-12T00:00:00"/>
    <n v="990"/>
  </r>
  <r>
    <n v="1642"/>
    <x v="1"/>
    <s v="rollers on roll up door are rusted and one is broken off "/>
    <d v="2017-05-12T00:00:00"/>
    <n v="990"/>
  </r>
  <r>
    <n v="1642"/>
    <x v="3"/>
    <s v="rear box light out"/>
    <d v="2017-05-17T00:00:00"/>
    <n v="985"/>
  </r>
  <r>
    <n v="1642"/>
    <x v="5"/>
    <s v="A/C NOT WORKING "/>
    <d v="2017-05-12T00:00:00"/>
    <n v="990"/>
  </r>
  <r>
    <n v="1642"/>
    <x v="1"/>
    <s v="belt is frayed on one side"/>
    <d v="2017-06-29T00:00:00"/>
    <n v="942"/>
  </r>
  <r>
    <n v="1642"/>
    <x v="14"/>
    <s v="CEL light on"/>
    <d v="2017-08-18T00:00:00"/>
    <n v="892"/>
  </r>
  <r>
    <n v="1642"/>
    <x v="1"/>
    <s v="HUB OIL LOW ON "/>
    <d v="2017-10-17T00:00:00"/>
    <m/>
  </r>
  <r>
    <n v="1642"/>
    <x v="1"/>
    <s v="BOX HAS SHIFTED "/>
    <d v="2017-10-17T00:00:00"/>
    <m/>
  </r>
  <r>
    <n v="1642"/>
    <x v="11"/>
    <s v="BROKEN HOOD MIRROR"/>
    <d v="2017-10-17T00:00:00"/>
    <n v="832"/>
  </r>
  <r>
    <n v="1642"/>
    <x v="3"/>
    <s v="drivers side headlight out"/>
    <d v="2017-10-26T00:00:00"/>
    <n v="823"/>
  </r>
  <r>
    <n v="1642"/>
    <x v="0"/>
    <s v="abs light on "/>
    <d v="2017-11-02T00:00:00"/>
    <n v="816"/>
  </r>
  <r>
    <n v="1642"/>
    <x v="1"/>
    <s v="Drivers door opens too far - door stop strap broken?"/>
    <d v="2017-11-02T00:00:00"/>
    <n v="816"/>
  </r>
  <r>
    <n v="1642"/>
    <x v="1"/>
    <s v="Retorque  front Right and Left"/>
    <d v="2017-11-15T00:00:00"/>
    <n v="803"/>
  </r>
  <r>
    <n v="1642"/>
    <x v="15"/>
    <s v="air leak"/>
    <d v="2017-12-08T00:00:00"/>
    <n v="780"/>
  </r>
  <r>
    <n v="1642"/>
    <x v="16"/>
    <s v="please replace windshieild wipers"/>
    <d v="2017-12-13T00:00:00"/>
    <m/>
  </r>
  <r>
    <n v="1642"/>
    <x v="7"/>
    <s v="DEAD BATTERY"/>
    <d v="2017-12-20T00:00:00"/>
    <n v="768"/>
  </r>
  <r>
    <n v="1643"/>
    <x v="12"/>
    <s v="Air leak from tank "/>
    <d v="2017-03-14T00:00:00"/>
    <n v="1049"/>
  </r>
  <r>
    <n v="1643"/>
    <x v="3"/>
    <s v="FRONT PASSENGER SIDE  LIGHT IS OUT "/>
    <d v="2017-03-21T00:00:00"/>
    <n v="1042"/>
  </r>
  <r>
    <n v="1643"/>
    <x v="17"/>
    <s v="not engaging overdrive"/>
    <d v="2017-04-11T00:00:00"/>
    <n v="1021"/>
  </r>
  <r>
    <n v="1643"/>
    <x v="1"/>
    <s v="roll uo door missing two rollers"/>
    <d v="2017-04-06T00:00:00"/>
    <n v="1026"/>
  </r>
  <r>
    <n v="1643"/>
    <x v="2"/>
    <s v="passenger side windshield cracked"/>
    <d v="2017-04-11T00:00:00"/>
    <n v="1021"/>
  </r>
  <r>
    <n v="1643"/>
    <x v="0"/>
    <s v="electronic brake does not operate and does not work"/>
    <d v="2017-06-21T00:00:00"/>
    <n v="950"/>
  </r>
  <r>
    <n v="1642"/>
    <x v="1"/>
    <s v="DOOR CHIME SOUNDS WHEN IGNITION IS OFF,  DOOR IS CLOSED AND KEY IS OUT."/>
    <d v="2018-10-02T00:00:00"/>
    <n v="482"/>
  </r>
  <r>
    <n v="1642"/>
    <x v="7"/>
    <s v="BATTERY SEEMS TO DRAIN OVERNIGHT  - TRUCK IS SLOW TO TURN OVER IN MORNING."/>
    <d v="2018-10-02T00:00:00"/>
    <n v="482"/>
  </r>
  <r>
    <n v="1642"/>
    <x v="1"/>
    <s v="ROLL UP DOOR PASSENGER SIDE NOT WORKINH PROPPERLY "/>
    <d v="2018-01-26T00:00:00"/>
    <n v="731"/>
  </r>
  <r>
    <n v="1642"/>
    <x v="1"/>
    <s v="WARNING CHIME ACTING UP AGAIN. - PLEASE REFER TO PREVIOUS WORK ORDER FROM OCT 20TH 2018"/>
    <d v="2018-10-25T00:00:00"/>
    <n v="459"/>
  </r>
  <r>
    <n v="1642"/>
    <x v="2"/>
    <s v="No air coming out of defrost"/>
    <d v="2018-11-01T00:00:00"/>
    <n v="452"/>
  </r>
  <r>
    <n v="1641"/>
    <x v="10"/>
    <s v="CHIP OUT OF PASSENGER SIDE BACK TIRE OF TRAILER (TREAD)"/>
    <d v="2019-05-15T00:00:00"/>
    <n v="257"/>
  </r>
  <r>
    <n v="1643"/>
    <x v="2"/>
    <s v="severe pitting drivers side wind shield"/>
    <d v="2018-03-06T00:00:00"/>
    <n v="692"/>
  </r>
  <r>
    <n v="1643"/>
    <x v="1"/>
    <s v="Retorque  right and Left "/>
    <d v="2018-01-08T00:00:00"/>
    <m/>
  </r>
  <r>
    <n v="1643"/>
    <x v="1"/>
    <s v="low hub oil"/>
    <d v="2018-03-06T00:00:00"/>
    <m/>
  </r>
  <r>
    <n v="1643"/>
    <x v="16"/>
    <s v="Windshield Wipers - fails to clear adequately"/>
    <d v="2018-03-06T00:00:00"/>
    <m/>
  </r>
  <r>
    <n v="1643"/>
    <x v="5"/>
    <s v="3rd setting on fan speed does not work"/>
    <d v="2018-03-16T00:00:00"/>
    <n v="682"/>
  </r>
  <r>
    <n v="1643"/>
    <x v="1"/>
    <s v="door spring on drivers side is broken"/>
    <d v="2018-03-16T00:00:00"/>
    <n v="682"/>
  </r>
  <r>
    <n v="1643"/>
    <x v="1"/>
    <s v="door chime goes off when everything is shut down"/>
    <d v="2018-03-16T00:00:00"/>
    <n v="682"/>
  </r>
  <r>
    <n v="1643"/>
    <x v="1"/>
    <s v="step lock broken"/>
    <d v="2018-03-06T00:00:00"/>
    <n v="692"/>
  </r>
  <r>
    <n v="1643"/>
    <x v="10"/>
    <s v="abnoprmal tire ware "/>
    <m/>
    <m/>
  </r>
  <r>
    <n v="1643"/>
    <x v="1"/>
    <s v="ROLL UP DOOR STRAP HAS TORN OFF"/>
    <d v="2018-06-19T00:00:00"/>
    <n v="587"/>
  </r>
  <r>
    <n v="1643"/>
    <x v="1"/>
    <s v="broken welds on box Gussets"/>
    <d v="2017-06-27T00:00:00"/>
    <n v="944"/>
  </r>
  <r>
    <n v="1643"/>
    <x v="18"/>
    <s v="HUB SIGHT GLASS IS CLOUDED - HARD TO READ "/>
    <d v="2017-06-29T00:00:00"/>
    <n v="942"/>
  </r>
  <r>
    <n v="1643"/>
    <x v="1"/>
    <s v="Roll up door is very stiff - parts are falling off the rollers"/>
    <d v="2017-08-15T00:00:00"/>
    <n v="895"/>
  </r>
  <r>
    <n v="1643"/>
    <x v="1"/>
    <s v="DEF CAP NOT SEALING "/>
    <d v="2017-09-14T00:00:00"/>
    <n v="865"/>
  </r>
  <r>
    <n v="1643"/>
    <x v="8"/>
    <s v="STARTER Will not  start "/>
    <d v="2017-10-31T00:00:00"/>
    <n v="818"/>
  </r>
  <r>
    <n v="1643"/>
    <x v="7"/>
    <s v="Truck will not start  again  IN DOCK DOOR "/>
    <d v="2017-11-07T00:00:00"/>
    <n v="811"/>
  </r>
  <r>
    <n v="1643"/>
    <x v="3"/>
    <s v="Right rear signal light is out (short in wire?)"/>
    <d v="2017-12-20T00:00:00"/>
    <n v="768"/>
  </r>
  <r>
    <n v="1644"/>
    <x v="1"/>
    <s v="back up camera cutting in and out "/>
    <d v="2017-02-10T00:00:00"/>
    <n v="1081"/>
  </r>
  <r>
    <n v="1644"/>
    <x v="0"/>
    <s v="parking brake will not engage - wheels are chaulked"/>
    <d v="2017-06-15T00:00:00"/>
    <m/>
  </r>
  <r>
    <n v="1644"/>
    <x v="1"/>
    <s v="broken welds on box Gussets on driver's side middle. Please check all gusset for broken welds"/>
    <d v="2017-06-28T00:00:00"/>
    <n v="943"/>
  </r>
  <r>
    <n v="1644"/>
    <x v="1"/>
    <s v="Belt worn ,needs replacing"/>
    <d v="2017-08-03T00:00:00"/>
    <n v="907"/>
  </r>
  <r>
    <n v="1645"/>
    <x v="0"/>
    <s v="ABS light on fault code #1"/>
    <d v="2017-02-07T00:00:00"/>
    <n v="1084"/>
  </r>
  <r>
    <n v="1645"/>
    <x v="0"/>
    <s v="truck shakes when braking and driver noticed brakes smoking."/>
    <d v="2017-03-01T00:00:00"/>
    <m/>
  </r>
  <r>
    <n v="1645"/>
    <x v="1"/>
    <s v="check engine fault #1"/>
    <d v="2017-03-28T00:00:00"/>
    <n v="1035"/>
  </r>
  <r>
    <n v="1645"/>
    <x v="3"/>
    <s v="licence plate light is out "/>
    <d v="2017-04-18T00:00:00"/>
    <m/>
  </r>
  <r>
    <n v="1645"/>
    <x v="3"/>
    <s v="box light out"/>
    <d v="2017-07-18T00:00:00"/>
    <n v="923"/>
  </r>
  <r>
    <n v="1645"/>
    <x v="1"/>
    <s v="GUSSET PLATES CRACKING"/>
    <d v="2017-07-25T00:00:00"/>
    <n v="916"/>
  </r>
  <r>
    <n v="1645"/>
    <x v="1"/>
    <s v="CHECK ENGINE LIGHT  ON"/>
    <d v="2017-07-11T00:00:00"/>
    <n v="930"/>
  </r>
  <r>
    <n v="1645"/>
    <x v="1"/>
    <s v="ABS light is on "/>
    <d v="2017-07-18T00:00:00"/>
    <n v="923"/>
  </r>
  <r>
    <n v="1645"/>
    <x v="1"/>
    <s v="belt fraying anf craked "/>
    <d v="2017-08-01T00:00:00"/>
    <n v="909"/>
  </r>
  <r>
    <n v="1645"/>
    <x v="13"/>
    <s v=" Alternator is in very bad condition (bearings are shot )"/>
    <d v="2017-08-11T00:00:00"/>
    <n v="899"/>
  </r>
  <r>
    <n v="1645"/>
    <x v="3"/>
    <s v="Lic. Plate light out"/>
    <d v="2017-08-18T00:00:00"/>
    <n v="892"/>
  </r>
  <r>
    <n v="1645"/>
    <x v="1"/>
    <s v="SIDE DOOR IS STICKING"/>
    <d v="2017-09-28T00:00:00"/>
    <n v="851"/>
  </r>
  <r>
    <n v="1645"/>
    <x v="1"/>
    <s v="WEATHER STRIPPING ON ROLL UP DOOR IS WEARINF AND SEPARATING FROM DOOR"/>
    <d v="2017-09-28T00:00:00"/>
    <n v="851"/>
  </r>
  <r>
    <n v="1645"/>
    <x v="1"/>
    <s v="driver side door lock sticking and or not unlocking"/>
    <d v="2017-10-12T00:00:00"/>
    <n v="837"/>
  </r>
  <r>
    <n v="1645"/>
    <x v="1"/>
    <s v="truck is shaking at higher speeds"/>
    <d v="2017-10-13T00:00:00"/>
    <n v="836"/>
  </r>
  <r>
    <n v="1645"/>
    <x v="1"/>
    <s v="black cable loom loose and banging around on outside of cab."/>
    <d v="2017-10-27T00:00:00"/>
    <n v="822"/>
  </r>
  <r>
    <n v="1645"/>
    <x v="14"/>
    <s v="CEL light on"/>
    <d v="2017-11-27T00:00:00"/>
    <n v="791"/>
  </r>
  <r>
    <n v="1645"/>
    <x v="16"/>
    <s v="please replace windshieild wipers"/>
    <d v="2017-12-13T00:00:00"/>
    <m/>
  </r>
  <r>
    <n v="1645"/>
    <x v="1"/>
    <s v="WELDS ON GUSETS CRACKED "/>
    <d v="2017-06-28T00:00:00"/>
    <n v="943"/>
  </r>
  <r>
    <n v="1645"/>
    <x v="1"/>
    <s v="rear door hard to push up"/>
    <m/>
    <m/>
  </r>
  <r>
    <n v="1646"/>
    <x v="1"/>
    <s v="bottom left hand roller on roll up door has its bearings "/>
    <d v="2017-03-20T00:00:00"/>
    <n v="1043"/>
  </r>
  <r>
    <n v="1646"/>
    <x v="5"/>
    <s v="no air coming out of top vents ( left, right or center ) driver could not get windows to defrost "/>
    <d v="2017-05-05T00:00:00"/>
    <n v="997"/>
  </r>
  <r>
    <n v="1646"/>
    <x v="1"/>
    <s v="broken welds on box Gussets"/>
    <d v="2017-06-28T00:00:00"/>
    <n v="943"/>
  </r>
  <r>
    <n v="1643"/>
    <x v="1"/>
    <s v="PAINT ON LIC PLATE HAS PEALED AND NOT ALL OF THE LETTERS AND NUMBERS ARE VISIBLE"/>
    <d v="2018-06-28T00:00:00"/>
    <n v="578"/>
  </r>
  <r>
    <n v="1643"/>
    <x v="17"/>
    <s v="OVERDRIVE NOT WORKING ON TRUCK"/>
    <d v="2018-09-11T00:00:00"/>
    <m/>
  </r>
  <r>
    <n v="1643"/>
    <x v="17"/>
    <s v="transmition will not shift from lower gear to high"/>
    <d v="2008-09-13T00:00:00"/>
    <n v="4153"/>
  </r>
  <r>
    <n v="1643"/>
    <x v="2"/>
    <s v="crack passengr side windshield"/>
    <d v="2018-10-09T00:00:00"/>
    <n v="475"/>
  </r>
  <r>
    <n v="1643"/>
    <x v="4"/>
    <s v="interior hood cables broken"/>
    <d v="2018-11-22T00:00:00"/>
    <n v="431"/>
  </r>
  <r>
    <n v="1643"/>
    <x v="4"/>
    <s v="INSIDE OF CAB LEAKS AT REVESE CAMERA MOUNT WHEN RAINING"/>
    <d v="2018-12-21T00:00:00"/>
    <n v="402"/>
  </r>
  <r>
    <n v="1641"/>
    <x v="13"/>
    <s v="POWER STEERING HOSE THAT IS ATTACHED TO POWER STEERING PUMP IS RUBBED THROUGH HOSE NEAR FRAME"/>
    <d v="2019-05-02T00:00:00"/>
    <n v="270"/>
  </r>
  <r>
    <n v="1641"/>
    <x v="0"/>
    <s v="ABS LIGHT ON AND OFF"/>
    <d v="2019-04-11T00:00:00"/>
    <n v="291"/>
  </r>
  <r>
    <n v="1644"/>
    <x v="0"/>
    <s v="truck wobbles when braking "/>
    <d v="2018-01-04T00:00:00"/>
    <m/>
  </r>
  <r>
    <n v="1644"/>
    <x v="1"/>
    <s v="Retorque right and Left "/>
    <d v="2018-01-08T00:00:00"/>
    <m/>
  </r>
  <r>
    <n v="1644"/>
    <x v="1"/>
    <s v="gears shift way to hard"/>
    <d v="2018-01-31T00:00:00"/>
    <n v="726"/>
  </r>
  <r>
    <n v="1644"/>
    <x v="1"/>
    <s v="ROLL UP DOOR STRAP HAS TORN OFF"/>
    <d v="2018-06-15T00:00:00"/>
    <n v="591"/>
  </r>
  <r>
    <n v="1644"/>
    <x v="3"/>
    <s v="Passenger side running lite is out"/>
    <d v="2018-08-20T00:00:00"/>
    <m/>
  </r>
  <r>
    <n v="1644"/>
    <x v="1"/>
    <s v="WINDSHIELD WASHER NOT PUMPING TO WINDSHEILD"/>
    <d v="2018-10-02T00:00:00"/>
    <n v="482"/>
  </r>
  <r>
    <n v="1641"/>
    <x v="11"/>
    <s v="HOOD MIRROR LOOSE AND HANGING DOWNWARDS - MIRROR IS NOW SPINNING IN THE WIND AND GETTING WORSE 2/21/19"/>
    <d v="2019-01-31T00:00:00"/>
    <n v="361"/>
  </r>
  <r>
    <n v="1641"/>
    <x v="1"/>
    <s v="REAR STEPS ARE STUCK IN THE UP POSITION"/>
    <d v="2019-02-22T00:00:00"/>
    <n v="339"/>
  </r>
  <r>
    <n v="1641"/>
    <x v="14"/>
    <s v="LOUD CLICKING OR KNOCKING NOISE COMING FROM ENGINE COMPARTMENT - CEL LIGHT ON DISPLAY READS FUEL RAIL 1 "/>
    <d v="2019-02-26T00:00:00"/>
    <n v="335"/>
  </r>
  <r>
    <n v="1641"/>
    <x v="12"/>
    <s v="PLEASE CHECK COMPRESSOR FOR EXCESSIVE NOISE AT HIGHWAY SPEED"/>
    <d v="2019-02-28T00:00:00"/>
    <n v="333"/>
  </r>
  <r>
    <n v="1641"/>
    <x v="1"/>
    <s v="ANNUAL SAFETY DUE IN FEB"/>
    <d v="2019-02-08T00:00:00"/>
    <n v="353"/>
  </r>
  <r>
    <n v="1645"/>
    <x v="3"/>
    <s v="LICENCE PLATE LIGHT IS OUT "/>
    <d v="2018-01-11T00:00:00"/>
    <n v="746"/>
  </r>
  <r>
    <n v="1646"/>
    <x v="1"/>
    <s v="driver seat uneven broken bent down to one side"/>
    <d v="2017-08-04T00:00:00"/>
    <n v="906"/>
  </r>
  <r>
    <n v="1646"/>
    <x v="1"/>
    <s v="Guages not working ?"/>
    <d v="2017-09-29T00:00:00"/>
    <n v="850"/>
  </r>
  <r>
    <n v="1646"/>
    <x v="8"/>
    <s v="SLICE IN COOLANT HOSE"/>
    <d v="2017-10-31T00:00:00"/>
    <m/>
  </r>
  <r>
    <n v="1646"/>
    <x v="16"/>
    <s v="please replace windshieild wipers"/>
    <d v="2017-12-13T00:00:00"/>
    <m/>
  </r>
  <r>
    <n v="1646"/>
    <x v="1"/>
    <s v="OAT SENSOR NOT READING"/>
    <m/>
    <m/>
  </r>
  <r>
    <n v="1647"/>
    <x v="3"/>
    <s v="half of the LED diodes on the right rear signal light are burnt out"/>
    <d v="2017-02-17T00:00:00"/>
    <m/>
  </r>
  <r>
    <n v="1647"/>
    <x v="1"/>
    <s v="exterior thermostat reading incorrectly it is reading high exterior temperatures"/>
    <d v="2017-02-17T00:00:00"/>
    <m/>
  </r>
  <r>
    <n v="1647"/>
    <x v="16"/>
    <s v="please replace windshieild wipers"/>
    <d v="2017-12-13T00:00:00"/>
    <m/>
  </r>
  <r>
    <n v="1647"/>
    <x v="5"/>
    <s v="A/C NOT WORKING "/>
    <d v="2017-04-28T00:00:00"/>
    <n v="1004"/>
  </r>
  <r>
    <n v="1647"/>
    <x v="1"/>
    <s v="lube rear door rollers and latch   "/>
    <d v="2017-05-19T00:00:00"/>
    <n v="983"/>
  </r>
  <r>
    <n v="1647"/>
    <x v="1"/>
    <s v="cab doors fly open restrainer does not work worn out"/>
    <d v="2017-05-19T00:00:00"/>
    <n v="983"/>
  </r>
  <r>
    <n v="1647"/>
    <x v="17"/>
    <s v="dash warning lights flashing wrench and gear exclamation mark symbols transmission   "/>
    <d v="2017-05-19T00:00:00"/>
    <n v="983"/>
  </r>
  <r>
    <n v="1647"/>
    <x v="0"/>
    <s v="hand brake tension adjuster broken   "/>
    <d v="2017-05-19T00:00:00"/>
    <n v="983"/>
  </r>
  <r>
    <n v="1816"/>
    <x v="3"/>
    <s v="clearance lights not turning off driver has taken fuse out so it doesn't drain the battery"/>
    <d v="2017-02-24T00:00:00"/>
    <n v="1067"/>
  </r>
  <r>
    <n v="1816"/>
    <x v="1"/>
    <s v="please replace antenna's with stainless"/>
    <d v="2017-03-10T00:00:00"/>
    <m/>
  </r>
  <r>
    <n v="1816"/>
    <x v="3"/>
    <s v="breather light out"/>
    <d v="2017-03-15T00:00:00"/>
    <n v="1048"/>
  </r>
  <r>
    <n v="1816"/>
    <x v="4"/>
    <s v="driver's side door very hard to close - not catching latch."/>
    <d v="2017-03-15T00:00:00"/>
    <n v="1048"/>
  </r>
  <r>
    <n v="1816"/>
    <x v="3"/>
    <s v="visor light out"/>
    <d v="2017-03-24T00:00:00"/>
    <n v="1039"/>
  </r>
  <r>
    <n v="1816"/>
    <x v="3"/>
    <s v="left tail light out"/>
    <d v="2017-04-05T00:00:00"/>
    <n v="1027"/>
  </r>
  <r>
    <n v="1816"/>
    <x v="5"/>
    <s v="ESBAR heater will not turn on display is blank"/>
    <d v="2017-04-06T00:00:00"/>
    <n v="1026"/>
  </r>
  <r>
    <n v="1816"/>
    <x v="3"/>
    <s v="visor light out"/>
    <d v="2017-05-24T00:00:00"/>
    <n v="978"/>
  </r>
  <r>
    <n v="1816"/>
    <x v="3"/>
    <s v="HOOK UP LIGHT ON BACK OF CAB OUT."/>
    <d v="2017-06-22T00:00:00"/>
    <n v="949"/>
  </r>
  <r>
    <n v="1816"/>
    <x v="1"/>
    <s v="WASHER FLUID TANK LEAKS"/>
    <d v="2017-07-07T00:00:00"/>
    <n v="934"/>
  </r>
  <r>
    <n v="1816"/>
    <x v="1"/>
    <s v="CRUISE CONTROL WILL NOT ALWAYS KICK IN."/>
    <d v="2017-08-02T00:00:00"/>
    <n v="908"/>
  </r>
  <r>
    <n v="1816"/>
    <x v="14"/>
    <s v="CHECK ENGINE LIGHT ON."/>
    <d v="2017-08-02T00:00:00"/>
    <n v="908"/>
  </r>
  <r>
    <n v="1816"/>
    <x v="6"/>
    <s v="Bottom bushing and C clip missing from slid pin where exhaust attaches to back of cab"/>
    <d v="2017-08-16T00:00:00"/>
    <n v="894"/>
  </r>
  <r>
    <n v="1816"/>
    <x v="8"/>
    <s v="right headlight out"/>
    <d v="2017-08-21T00:00:00"/>
    <m/>
  </r>
  <r>
    <n v="1816"/>
    <x v="1"/>
    <s v="cruise control and engine brake not working"/>
    <d v="2017-10-13T00:00:00"/>
    <n v="836"/>
  </r>
  <r>
    <n v="1816"/>
    <x v="3"/>
    <s v="skirt light out - left side fender"/>
    <d v="2017-09-29T00:00:00"/>
    <n v="850"/>
  </r>
  <r>
    <n v="1816"/>
    <x v="1"/>
    <s v="cruise and engine brake not working"/>
    <d v="2017-10-24T00:00:00"/>
    <n v="825"/>
  </r>
  <r>
    <n v="1816"/>
    <x v="3"/>
    <s v="Clearance light out on visor"/>
    <d v="2017-11-06T00:00:00"/>
    <n v="812"/>
  </r>
  <r>
    <n v="1816"/>
    <x v="14"/>
    <s v="amber CEL Light on"/>
    <d v="2017-11-06T00:00:00"/>
    <n v="812"/>
  </r>
  <r>
    <n v="1816"/>
    <x v="3"/>
    <s v="dash lights on Gauges not working"/>
    <d v="2017-11-06T00:00:00"/>
    <n v="812"/>
  </r>
  <r>
    <n v="1816"/>
    <x v="5"/>
    <s v="espar block heater will not start"/>
    <d v="2017-10-24T00:00:00"/>
    <n v="825"/>
  </r>
  <r>
    <n v="1816"/>
    <x v="10"/>
    <s v="driver is asking for tires, his treads are getting low and delivers our north run."/>
    <d v="2017-11-06T00:00:00"/>
    <n v="812"/>
  </r>
  <r>
    <n v="1645"/>
    <x v="3"/>
    <s v="rear facing driver side marker  out"/>
    <d v="2018-01-16T00:00:00"/>
    <n v="741"/>
  </r>
  <r>
    <n v="1645"/>
    <x v="3"/>
    <s v="rear tail light working intermittently"/>
    <d v="2018-04-03T00:00:00"/>
    <n v="664"/>
  </r>
  <r>
    <n v="1645"/>
    <x v="3"/>
    <s v="driver side rear running light not working "/>
    <d v="2018-04-03T00:00:00"/>
    <n v="664"/>
  </r>
  <r>
    <n v="1645"/>
    <x v="17"/>
    <s v="CHECK ENGINE LIGHT - transmission fluid filter very deteriorated"/>
    <d v="2018-05-02T00:00:00"/>
    <n v="635"/>
  </r>
  <r>
    <n v="1645"/>
    <x v="1"/>
    <s v="ROLL UP DOOR STAP IS ALMOST TORN THROUGH  NEEDS REPLACING "/>
    <d v="2018-06-11T00:00:00"/>
    <n v="595"/>
  </r>
  <r>
    <n v="1645"/>
    <x v="3"/>
    <s v="MARKER LIGHTS ON DRIVER AND PASSENGER SIDE NOT WORKING  - THESE ARE A SIGNAL/MARKER LIGHT MOUNTED ON THE WHEEL WELLS FACING THE REAR OF THE TRUCK"/>
    <d v="2018-12-12T00:00:00"/>
    <n v="411"/>
  </r>
  <r>
    <n v="1641"/>
    <x v="1"/>
    <s v="LIC PLATE STARTING TO PEEL"/>
    <d v="2018-12-14T00:00:00"/>
    <n v="409"/>
  </r>
  <r>
    <n v="1641"/>
    <x v="1"/>
    <s v="DUE FOR SERVICE - PMB"/>
    <d v="2019-01-07T00:00:00"/>
    <n v="385"/>
  </r>
  <r>
    <n v="1646"/>
    <x v="1"/>
    <s v="SCR VALVE  WARNING LIGHT ON"/>
    <d v="2018-01-26T00:00:00"/>
    <n v="731"/>
  </r>
  <r>
    <n v="1646"/>
    <x v="1"/>
    <s v="retorque right and left sides"/>
    <d v="2018-01-11T00:00:00"/>
    <n v="746"/>
  </r>
  <r>
    <n v="1646"/>
    <x v="3"/>
    <s v="HEAD LIGHT OUT ON LEFT SIDE - THIS HAS A BROKEN WIRE AND THE CENTERING NUT ON THE BACK OF THE HOUSING IS BROKEN AS WELL"/>
    <d v="2018-02-02T00:00:00"/>
    <n v="724"/>
  </r>
  <r>
    <n v="1646"/>
    <x v="14"/>
    <s v="engine light is on "/>
    <d v="2018-03-12T00:00:00"/>
    <n v="686"/>
  </r>
  <r>
    <n v="1816"/>
    <x v="18"/>
    <s v="retorque all axles both sides from tire replacement"/>
    <d v="2017-11-20T00:00:00"/>
    <n v="798"/>
  </r>
  <r>
    <n v="1816"/>
    <x v="1"/>
    <s v="Esbar heater not working."/>
    <d v="2017-11-24T00:00:00"/>
    <n v="794"/>
  </r>
  <r>
    <n v="1816"/>
    <x v="3"/>
    <s v="CLP light out on visor"/>
    <d v="2017-12-04T00:00:00"/>
    <m/>
  </r>
  <r>
    <n v="1816"/>
    <x v="3"/>
    <s v="BREATHER LIGHTS NOT WORKING BOTH SIDES"/>
    <d v="2017-12-15T00:00:00"/>
    <n v="773"/>
  </r>
  <r>
    <n v="1816"/>
    <x v="16"/>
    <s v="please replace windshieild wipers"/>
    <d v="2017-12-13T00:00:00"/>
    <m/>
  </r>
  <r>
    <n v="1816"/>
    <x v="3"/>
    <s v="left low beam out"/>
    <d v="2017-12-18T00:00:00"/>
    <n v="770"/>
  </r>
  <r>
    <n v="1817"/>
    <x v="1"/>
    <s v="CB radio not working has no power"/>
    <d v="2017-01-09T00:00:00"/>
    <n v="1113"/>
  </r>
  <r>
    <n v="1817"/>
    <x v="3"/>
    <s v="light out on air breather drivers side"/>
    <d v="2017-01-27T00:00:00"/>
    <n v="1095"/>
  </r>
  <r>
    <n v="1817"/>
    <x v="4"/>
    <s v="step trim falling off drivers side lower step"/>
    <d v="2017-03-13T00:00:00"/>
    <n v="1050"/>
  </r>
  <r>
    <n v="1817"/>
    <x v="3"/>
    <s v="lower drivers side skirt light out"/>
    <d v="2017-03-31T00:00:00"/>
    <n v="1032"/>
  </r>
  <r>
    <n v="1817"/>
    <x v="1"/>
    <s v="needs step trim re-attached"/>
    <d v="2017-04-01T00:00:00"/>
    <m/>
  </r>
  <r>
    <n v="1817"/>
    <x v="3"/>
    <s v="drivers side interrior sun shield has broven mirror and cover - the hinge broke and then the driver broke the mirror trying to get the cover to close"/>
    <d v="2017-03-30T00:00:00"/>
    <n v="1033"/>
  </r>
  <r>
    <n v="1817"/>
    <x v="3"/>
    <s v="visor light out"/>
    <d v="2017-05-12T00:00:00"/>
    <n v="990"/>
  </r>
  <r>
    <n v="1817"/>
    <x v="3"/>
    <s v="visor light out"/>
    <d v="2017-05-25T00:00:00"/>
    <n v="977"/>
  </r>
  <r>
    <n v="1817"/>
    <x v="3"/>
    <s v="VISOR LIGHT OUT"/>
    <d v="2017-06-20T00:00:00"/>
    <n v="951"/>
  </r>
  <r>
    <n v="1817"/>
    <x v="1"/>
    <s v="Drivers side door not unlocking with key"/>
    <d v="2017-06-09T00:00:00"/>
    <n v="962"/>
  </r>
  <r>
    <n v="1817"/>
    <x v="3"/>
    <s v="passenger side mirror mounted turn signal has only 6 diodes left working"/>
    <d v="2017-07-14T00:00:00"/>
    <n v="927"/>
  </r>
  <r>
    <n v="1817"/>
    <x v="3"/>
    <s v="cernter visor light out"/>
    <d v="2017-07-18T00:00:00"/>
    <n v="923"/>
  </r>
  <r>
    <n v="1817"/>
    <x v="4"/>
    <s v="Driver's side door not closing or locking"/>
    <d v="2017-08-18T00:00:00"/>
    <n v="892"/>
  </r>
  <r>
    <n v="1817"/>
    <x v="3"/>
    <s v="LEFT SIDE LOW BEAM LIGHT OUT"/>
    <d v="2017-09-08T00:00:00"/>
    <n v="871"/>
  </r>
  <r>
    <n v="1817"/>
    <x v="1"/>
    <s v="bumper bent by bus line driver at innisfil on route"/>
    <d v="2017-09-11T00:00:00"/>
    <n v="868"/>
  </r>
  <r>
    <n v="1817"/>
    <x v="1"/>
    <s v="passenger side door will not close properly"/>
    <m/>
    <m/>
  </r>
  <r>
    <n v="1817"/>
    <x v="18"/>
    <s v="retorque all axles both sides"/>
    <m/>
    <m/>
  </r>
  <r>
    <n v="1817"/>
    <x v="1"/>
    <s v="Both air tanks empty after being parked overnight."/>
    <d v="2017-10-20T00:00:00"/>
    <n v="829"/>
  </r>
  <r>
    <n v="1817"/>
    <x v="1"/>
    <s v="still losing all air in both tanks when parked overninght"/>
    <d v="2017-10-24T00:00:00"/>
    <n v="825"/>
  </r>
  <r>
    <n v="1817"/>
    <x v="3"/>
    <s v="driver's side head light  "/>
    <d v="2017-11-03T00:00:00"/>
    <n v="815"/>
  </r>
  <r>
    <n v="1817"/>
    <x v="1"/>
    <s v="Engine Brake and cruise control not working"/>
    <d v="2017-11-08T00:00:00"/>
    <n v="810"/>
  </r>
  <r>
    <n v="1646"/>
    <x v="0"/>
    <s v="brake sytem controler - ABS light is on "/>
    <d v="2018-03-12T00:00:00"/>
    <n v="686"/>
  </r>
  <r>
    <n v="1646"/>
    <x v="14"/>
    <s v="check engine light on."/>
    <d v="2018-04-16T00:00:00"/>
    <n v="651"/>
  </r>
  <r>
    <n v="1646"/>
    <x v="0"/>
    <s v="emergency brake does not work"/>
    <d v="2018-07-16T00:00:00"/>
    <m/>
  </r>
  <r>
    <n v="1641"/>
    <x v="0"/>
    <s v="ABS YELLOW LIGHT IN TRACTOR IS ON"/>
    <d v="2019-06-24T00:00:00"/>
    <n v="217"/>
  </r>
  <r>
    <n v="1641"/>
    <x v="3"/>
    <s v="MIDDLE CLEARANCE LIGHT BURNT OUT"/>
    <d v="2019-06-24T00:00:00"/>
    <n v="217"/>
  </r>
  <r>
    <n v="1641"/>
    <x v="13"/>
    <s v="LOUD HUM SOUND WHEN TURNING AND SOMETIMES BRAKING"/>
    <d v="2019-07-26T00:00:00"/>
    <n v="185"/>
  </r>
  <r>
    <n v="1647"/>
    <x v="3"/>
    <s v="center Cab clearance light out"/>
    <d v="2017-12-19T00:00:00"/>
    <n v="769"/>
  </r>
  <r>
    <n v="1647"/>
    <x v="12"/>
    <s v="A/C - NOT WORKING "/>
    <d v="2018-05-02T00:00:00"/>
    <n v="635"/>
  </r>
  <r>
    <n v="1647"/>
    <x v="14"/>
    <s v="BROKEN BELT "/>
    <d v="2018-12-27T00:00:00"/>
    <n v="396"/>
  </r>
  <r>
    <n v="1641"/>
    <x v="19"/>
    <s v="PASSENGER SIDE SHOCK IS CORRODED - PLEASE REPLACED BOTH STEER AXLE SHOCKS"/>
    <d v="2019-09-06T00:00:00"/>
    <n v="143"/>
  </r>
  <r>
    <n v="1816"/>
    <x v="3"/>
    <s v="2 VISOR LIGHTS OUT"/>
    <d v="2018-01-04T00:00:00"/>
    <n v="753"/>
  </r>
  <r>
    <n v="1816"/>
    <x v="20"/>
    <s v="Blue Service line has at the glad hand"/>
    <d v="2018-01-19T00:00:00"/>
    <n v="738"/>
  </r>
  <r>
    <n v="1817"/>
    <x v="10"/>
    <s v="driver's side steer tire at 5/32 and passenger side at 8/32"/>
    <d v="2017-11-13T00:00:00"/>
    <n v="805"/>
  </r>
  <r>
    <n v="1817"/>
    <x v="10"/>
    <s v="retorque steer tires both sides"/>
    <d v="2017-12-01T00:00:00"/>
    <n v="787"/>
  </r>
  <r>
    <n v="1817"/>
    <x v="18"/>
    <s v="retorque rear drive axle both sides"/>
    <d v="2017-12-04T00:00:00"/>
    <m/>
  </r>
  <r>
    <n v="1817"/>
    <x v="21"/>
    <s v="please check ride height truck vibrates after having rear drive tires replaced"/>
    <d v="2017-12-04T00:00:00"/>
    <m/>
  </r>
  <r>
    <n v="1817"/>
    <x v="16"/>
    <s v="please replace windshieild wipers"/>
    <d v="2017-12-13T00:00:00"/>
    <m/>
  </r>
  <r>
    <n v="1817"/>
    <x v="16"/>
    <s v="Right side low beam out"/>
    <d v="2017-12-13T00:00:00"/>
    <m/>
  </r>
  <r>
    <n v="1817"/>
    <x v="4"/>
    <s v="check wind deflector for loose parts."/>
    <d v="2017-10-27T00:00:00"/>
    <n v="822"/>
  </r>
  <r>
    <n v="1817"/>
    <x v="3"/>
    <s v="breather light out left side"/>
    <d v="2017-12-19T00:00:00"/>
    <n v="769"/>
  </r>
  <r>
    <n v="1817"/>
    <x v="3"/>
    <s v="LIC PLATE LIGHT OUT"/>
    <d v="2017-12-20T00:00:00"/>
    <n v="768"/>
  </r>
  <r>
    <n v="1817"/>
    <x v="10"/>
    <s v="left rear outside tire flat"/>
    <d v="2017-11-25T00:00:00"/>
    <n v="793"/>
  </r>
  <r>
    <n v="1818"/>
    <x v="3"/>
    <s v="visor light out"/>
    <d v="2017-02-16T00:00:00"/>
    <n v="1075"/>
  </r>
  <r>
    <n v="1818"/>
    <x v="3"/>
    <s v="2 visor lights out"/>
    <d v="2017-02-22T00:00:00"/>
    <n v="1069"/>
  </r>
  <r>
    <n v="1818"/>
    <x v="1"/>
    <s v="please replace antenna's with stainless"/>
    <d v="2017-03-10T00:00:00"/>
    <m/>
  </r>
  <r>
    <n v="1818"/>
    <x v="20"/>
    <s v="green electrical cord loose lights flickering sometimes"/>
    <d v="2017-03-14T00:00:00"/>
    <n v="1049"/>
  </r>
  <r>
    <n v="1818"/>
    <x v="4"/>
    <s v="drivers side door not closing properly - very hard to close - not catching on latch"/>
    <d v="2017-03-14T00:00:00"/>
    <m/>
  </r>
  <r>
    <n v="1818"/>
    <x v="1"/>
    <s v="needs step trim re-attached"/>
    <d v="2017-04-01T00:00:00"/>
    <m/>
  </r>
  <r>
    <n v="1818"/>
    <x v="1"/>
    <s v="needs stainless CB antenna's"/>
    <d v="2017-04-01T00:00:00"/>
    <m/>
  </r>
  <r>
    <n v="1818"/>
    <x v="4"/>
    <s v="door lock not working… jammed"/>
    <s v="4/25 17"/>
    <m/>
  </r>
  <r>
    <n v="1818"/>
    <x v="4"/>
    <s v="door lock drivers side not working…jammed"/>
    <d v="2017-04-24T00:00:00"/>
    <n v="1008"/>
  </r>
  <r>
    <n v="1818"/>
    <x v="3"/>
    <s v="1 trim light out on drivers side under door."/>
    <d v="2017-04-28T00:00:00"/>
    <n v="1004"/>
  </r>
  <r>
    <n v="1818"/>
    <x v="20"/>
    <s v="please check green electrical cord for broken wire. Driver has blown 7-8 fuses trying to keep trailer lights running. These fuses came from back up lights, lighter and spares and these will need to be replaced"/>
    <d v="2017-05-16T00:00:00"/>
    <n v="986"/>
  </r>
  <r>
    <n v="1818"/>
    <x v="3"/>
    <s v="skirt light ounder drivers side door out"/>
    <d v="2017-06-02T00:00:00"/>
    <n v="969"/>
  </r>
  <r>
    <n v="1818"/>
    <x v="16"/>
    <s v="please replace wiper blades"/>
    <d v="2017-06-07T00:00:00"/>
    <n v="964"/>
  </r>
  <r>
    <n v="1818"/>
    <x v="1"/>
    <s v="PLEASE REPLACE BUMPER - WE WOULD LIKE TO KEEP THIS BUMPER"/>
    <d v="2017-07-21T00:00:00"/>
    <n v="920"/>
  </r>
  <r>
    <n v="1818"/>
    <x v="18"/>
    <s v="retorque all axle both sides - from safety"/>
    <d v="2017-09-29T00:00:00"/>
    <n v="850"/>
  </r>
  <r>
    <n v="1818"/>
    <x v="4"/>
    <s v="please check fairing for loose bolts"/>
    <d v="2017-11-09T00:00:00"/>
    <n v="809"/>
  </r>
  <r>
    <n v="1818"/>
    <x v="1"/>
    <s v="door locks jamming on both sides - hard to lock/unlock or close"/>
    <d v="2017-11-23T00:00:00"/>
    <n v="795"/>
  </r>
  <r>
    <n v="1818"/>
    <x v="18"/>
    <s v="installed new hub cap on passenger side steer axle"/>
    <d v="2017-11-30T00:00:00"/>
    <n v="788"/>
  </r>
  <r>
    <n v="1818"/>
    <x v="22"/>
    <s v="5TH WHEEL SLIDE NOT LOCKING."/>
    <d v="2017-12-01T00:00:00"/>
    <n v="787"/>
  </r>
  <r>
    <n v="1818"/>
    <x v="16"/>
    <s v="WASHER SQUIRTER ON DRIVER'S SIDE NOT COVERING ENTIRE WINDSHIELD - ONLY CLEANS BOTTTOM HALF OF WINDSHEILD"/>
    <d v="2017-12-11T00:00:00"/>
    <n v="777"/>
  </r>
  <r>
    <n v="1818"/>
    <x v="16"/>
    <s v="PLEASE REPLACE WIPERS WITH WINTER BLADES"/>
    <d v="2017-12-11T00:00:00"/>
    <n v="777"/>
  </r>
  <r>
    <n v="1818"/>
    <x v="14"/>
    <s v="ALTERNATOR LOW VOLTAGE"/>
    <d v="2017-12-18T00:00:00"/>
    <n v="770"/>
  </r>
  <r>
    <n v="1818"/>
    <x v="1"/>
    <s v="DRIVERS SIDE STEP MISSING RIVETS"/>
    <d v="2017-12-21T00:00:00"/>
    <n v="767"/>
  </r>
  <r>
    <n v="1819"/>
    <x v="6"/>
    <s v="right side track not straight to left side"/>
    <d v="2017-03-08T00:00:00"/>
    <n v="1055"/>
  </r>
  <r>
    <n v="1819"/>
    <x v="6"/>
    <s v="exhaust stack loose on right side. Driver hand tightened but please check to make sure stack is secure"/>
    <d v="2017-01-19T00:00:00"/>
    <n v="1103"/>
  </r>
  <r>
    <n v="1819"/>
    <x v="3"/>
    <s v="visor light out drivers side second from right"/>
    <d v="2017-01-26T00:00:00"/>
    <n v="1096"/>
  </r>
  <r>
    <n v="1819"/>
    <x v="3"/>
    <s v="middle clearance light out on visor"/>
    <d v="2017-02-22T00:00:00"/>
    <n v="1069"/>
  </r>
  <r>
    <n v="1819"/>
    <x v="6"/>
    <s v="exhaust stack not straight on pass. Side - both sides are not the same. Driver uses handle on heat sheild to get up to deck plate and stack and shield are shifting. "/>
    <d v="2017-02-23T00:00:00"/>
    <n v="1068"/>
  </r>
  <r>
    <n v="1819"/>
    <x v="1"/>
    <s v="please replace antenna's with stainless"/>
    <d v="2017-03-10T00:00:00"/>
    <m/>
  </r>
  <r>
    <n v="1819"/>
    <x v="15"/>
    <s v="cut in supply air line air leak exceeds max loss rate"/>
    <d v="2017-03-16T00:00:00"/>
    <n v="1047"/>
  </r>
  <r>
    <n v="1819"/>
    <x v="1"/>
    <s v="bose seat extremly squeeky"/>
    <d v="2017-03-21T00:00:00"/>
    <m/>
  </r>
  <r>
    <n v="1816"/>
    <x v="23"/>
    <s v="coolant smell from engine compartment no leak detected"/>
    <d v="2018-01-12T00:00:00"/>
    <n v="745"/>
  </r>
  <r>
    <n v="1816"/>
    <x v="1"/>
    <s v="PLEASE CHECK TRIALER AUXILLARY FUSES - INTERRIOR TRAILER LIGHTS AND LIFT AXLE SWITCH NOT WORKING"/>
    <d v="2018-02-06T00:00:00"/>
    <n v="720"/>
  </r>
  <r>
    <n v="1816"/>
    <x v="1"/>
    <s v="TRUCK NOT SUPPLYING POWER FOR LIFT AXLE OR INTERIOR LIGHTS"/>
    <d v="2018-02-09T00:00:00"/>
    <n v="717"/>
  </r>
  <r>
    <n v="1816"/>
    <x v="1"/>
    <s v="REPAIRS COMPLETED BY JUSTIN ON WEEKEND - SEE PETE COMMENTS"/>
    <m/>
    <m/>
  </r>
  <r>
    <n v="1816"/>
    <x v="1"/>
    <s v="door locks seized both sides"/>
    <d v="2018-02-27T00:00:00"/>
    <n v="699"/>
  </r>
  <r>
    <n v="1816"/>
    <x v="24"/>
    <s v="HORN ON STEERING WHEEL NOT WORKING"/>
    <d v="2018-01-25T00:00:00"/>
    <n v="732"/>
  </r>
  <r>
    <n v="1816"/>
    <x v="3"/>
    <s v="BREATHER LIGHT OUT ON LEFT SIDE 2ND FROM BOTTOM"/>
    <d v="2018-03-01T00:00:00"/>
    <n v="697"/>
  </r>
  <r>
    <n v="1816"/>
    <x v="14"/>
    <s v="Check engine light on and temp gauge on dash reading -22 degrees C and the actual Temp is        -12 degrees C"/>
    <d v="2018-02-23T00:00:00"/>
    <n v="703"/>
  </r>
  <r>
    <n v="1816"/>
    <x v="14"/>
    <s v="AMBER CHECK ENGINE LIGHT ON"/>
    <d v="2018-03-01T00:00:00"/>
    <n v="697"/>
  </r>
  <r>
    <n v="1816"/>
    <x v="20"/>
    <s v="GREEN CORD END DAMAGED"/>
    <d v="2018-03-12T00:00:00"/>
    <m/>
  </r>
  <r>
    <n v="1816"/>
    <x v="3"/>
    <s v="LIGHT OUT ON LEFT SIDE FENDER"/>
    <d v="2018-03-23T00:00:00"/>
    <n v="675"/>
  </r>
  <r>
    <n v="1816"/>
    <x v="1"/>
    <s v="SATTELITE ANTENNA MISSING"/>
    <d v="2018-03-23T00:00:00"/>
    <n v="675"/>
  </r>
  <r>
    <n v="1816"/>
    <x v="3"/>
    <s v="VISOR LIGHT OUT"/>
    <d v="2018-05-07T00:00:00"/>
    <n v="630"/>
  </r>
  <r>
    <n v="1816"/>
    <x v="3"/>
    <s v="FENDER SKIRT LIGHT OUT ON RIGHT SIDE"/>
    <d v="2018-05-07T00:00:00"/>
    <n v="630"/>
  </r>
  <r>
    <n v="1816"/>
    <x v="19"/>
    <s v="NO POWER TO LIFT AXLE - PLEASE CHECK FUSES AND POWER WIRE"/>
    <d v="2018-05-25T00:00:00"/>
    <n v="612"/>
  </r>
  <r>
    <n v="1816"/>
    <x v="3"/>
    <s v="LIGHT OUT ON BACK OF CAB"/>
    <d v="2018-06-25T00:00:00"/>
    <n v="581"/>
  </r>
  <r>
    <n v="1816"/>
    <x v="4"/>
    <s v="DRIVERS SIDE FENDER MISSING 2 BOLTS - ONLY 1 BOLT LEFT ATTACHING FENDER AT BACK OF FENDER"/>
    <d v="2018-07-10T00:00:00"/>
    <n v="566"/>
  </r>
  <r>
    <n v="1816"/>
    <x v="19"/>
    <s v="LIFT AXLE NOT LIFTING IN REVERSE - HAD FUSE REPLACED ON JULY 11 BUT DID NOT SOLVE ISSUE"/>
    <d v="2018-07-11T00:00:00"/>
    <n v="565"/>
  </r>
  <r>
    <n v="1816"/>
    <x v="3"/>
    <s v="RED LIGHTS ON BACK OF BREATHER NOT WORKING"/>
    <d v="2018-07-11T00:00:00"/>
    <n v="565"/>
  </r>
  <r>
    <n v="1816"/>
    <x v="1"/>
    <s v="TRACTOR LOOSES ALL AIR WHEN PARKED OVERNIGHT"/>
    <d v="2018-07-11T00:00:00"/>
    <n v="565"/>
  </r>
  <r>
    <n v="1816"/>
    <x v="4"/>
    <s v="driver window will not roll up"/>
    <d v="2018-08-24T00:00:00"/>
    <n v="521"/>
  </r>
  <r>
    <n v="1816"/>
    <x v="1"/>
    <s v="DRIVER SIDE DOOR LEAKS IN THE RAIN"/>
    <d v="2018-09-14T00:00:00"/>
    <n v="500"/>
  </r>
  <r>
    <n v="1816"/>
    <x v="1"/>
    <s v="DRIVERS SIDE WINDOW WILL NOT GO UP WHEN RAINING"/>
    <d v="2018-09-14T00:00:00"/>
    <n v="500"/>
  </r>
  <r>
    <n v="1816"/>
    <x v="16"/>
    <s v="PLEASE REPLACE WIPER BLADES - GOOD IDEA TO PUT WINTER'S ON NOW."/>
    <d v="2018-09-27T00:00:00"/>
    <n v="487"/>
  </r>
  <r>
    <n v="1819"/>
    <x v="1"/>
    <s v="step trim falling off"/>
    <d v="2017-03-23T00:00:00"/>
    <m/>
  </r>
  <r>
    <n v="1819"/>
    <x v="0"/>
    <s v="spike not working on tractor"/>
    <d v="2017-03-29T00:00:00"/>
    <n v="1034"/>
  </r>
  <r>
    <n v="1819"/>
    <x v="1"/>
    <s v="Bose seat very squeeky"/>
    <d v="2017-04-13T00:00:00"/>
    <n v="1019"/>
  </r>
  <r>
    <n v="1819"/>
    <x v="4"/>
    <s v="bolts holding catwalk loose"/>
    <d v="2017-04-25T00:00:00"/>
    <n v="1007"/>
  </r>
  <r>
    <n v="1819"/>
    <x v="3"/>
    <s v="lic. Plate light out"/>
    <d v="2017-05-05T00:00:00"/>
    <n v="997"/>
  </r>
  <r>
    <n v="1819"/>
    <x v="1"/>
    <s v="passenger door very hard to close"/>
    <d v="2017-05-29T00:00:00"/>
    <n v="973"/>
  </r>
  <r>
    <n v="1819"/>
    <x v="22"/>
    <s v="5th wheel mechanism needs grease"/>
    <d v="2017-05-29T00:00:00"/>
    <n v="973"/>
  </r>
  <r>
    <n v="1819"/>
    <x v="16"/>
    <s v="PLEASE REPLACE WIPER BLADES"/>
    <d v="2017-06-29T00:00:00"/>
    <n v="942"/>
  </r>
  <r>
    <n v="1819"/>
    <x v="25"/>
    <s v="CLUTCH IS SQUEEKING PLEASE OIL OR GREASE"/>
    <d v="2017-06-29T00:00:00"/>
    <n v="942"/>
  </r>
  <r>
    <n v="1819"/>
    <x v="0"/>
    <s v="BRAKE PEDAL STICKING"/>
    <d v="2017-07-04T00:00:00"/>
    <n v="937"/>
  </r>
  <r>
    <n v="1819"/>
    <x v="0"/>
    <s v="TRUCK LOOSES AIR WHEN PARKED OVERNIGHT DOWN TO 60PSI"/>
    <d v="2017-07-14T00:00:00"/>
    <n v="927"/>
  </r>
  <r>
    <n v="1819"/>
    <x v="19"/>
    <s v="TRUCK NOT ACTIVATING LIFT AXLE FOR TRAILER WHEN REVERSING - THIS IS NOT A TRAILER ISSUE"/>
    <d v="2017-08-10T00:00:00"/>
    <n v="900"/>
  </r>
  <r>
    <n v="1819"/>
    <x v="3"/>
    <s v="Driver's side high beam is out"/>
    <d v="2017-08-14T00:00:00"/>
    <n v="896"/>
  </r>
  <r>
    <n v="1819"/>
    <x v="0"/>
    <s v="red button pulled…takes time for brakes to apply"/>
    <d v="2017-08-31T00:00:00"/>
    <n v="879"/>
  </r>
  <r>
    <n v="1819"/>
    <x v="3"/>
    <s v="passenger side day time running light burnt out."/>
    <d v="2017-09-06T00:00:00"/>
    <n v="873"/>
  </r>
  <r>
    <n v="1819"/>
    <x v="1"/>
    <s v="PLEASE REPLACE BUMPER"/>
    <d v="2017-07-21T00:00:00"/>
    <n v="920"/>
  </r>
  <r>
    <n v="1819"/>
    <x v="18"/>
    <s v="retorque all axles both sides from safety"/>
    <d v="2017-09-25T00:00:00"/>
    <n v="854"/>
  </r>
  <r>
    <n v="1819"/>
    <x v="1"/>
    <s v="bumper needs to be replaced."/>
    <d v="2017-10-03T00:00:00"/>
    <n v="846"/>
  </r>
  <r>
    <n v="1819"/>
    <x v="1"/>
    <s v="air below 60psi in both tanks"/>
    <d v="2017-10-13T00:00:00"/>
    <n v="836"/>
  </r>
  <r>
    <n v="1819"/>
    <x v="20"/>
    <s v="Yellow Electrical cord has gauge in cord and inner wires are visible"/>
    <d v="2017-10-24T00:00:00"/>
    <n v="825"/>
  </r>
  <r>
    <n v="1819"/>
    <x v="4"/>
    <s v="Please check roof fairing"/>
    <m/>
    <m/>
  </r>
  <r>
    <n v="1819"/>
    <x v="5"/>
    <s v="Esbar heater for Cab not working and is displaying Error message"/>
    <d v="2017-10-16T00:00:00"/>
    <n v="833"/>
  </r>
  <r>
    <n v="1819"/>
    <x v="14"/>
    <s v="please top up engine oil"/>
    <d v="2017-11-28T00:00:00"/>
    <n v="790"/>
  </r>
  <r>
    <n v="1819"/>
    <x v="1"/>
    <s v="CRUISE CONTROL NOT WORKING "/>
    <d v="2017-11-22T00:00:00"/>
    <n v="796"/>
  </r>
  <r>
    <n v="1819"/>
    <x v="5"/>
    <s v="Esbar heater needs service"/>
    <d v="2017-11-28T00:00:00"/>
    <n v="790"/>
  </r>
  <r>
    <n v="1819"/>
    <x v="19"/>
    <s v="broken air line on leveling valve"/>
    <d v="2017-11-29T00:00:00"/>
    <n v="789"/>
  </r>
  <r>
    <n v="1819"/>
    <x v="4"/>
    <s v="front bumper damaged on a post at store 4063 ( Brandon Decoste )"/>
    <d v="2017-12-01T00:00:00"/>
    <n v="787"/>
  </r>
  <r>
    <n v="1819"/>
    <x v="10"/>
    <s v="front right tire has worn tread."/>
    <d v="2017-11-21T00:00:00"/>
    <n v="797"/>
  </r>
  <r>
    <n v="1819"/>
    <x v="18"/>
    <s v="retorque right side steer axle"/>
    <d v="2017-12-04T00:00:00"/>
    <m/>
  </r>
  <r>
    <n v="1819"/>
    <x v="16"/>
    <s v="please replace windshieild wipers"/>
    <d v="2017-12-13T00:00:00"/>
    <m/>
  </r>
  <r>
    <n v="1820"/>
    <x v="3"/>
    <s v="visor light out"/>
    <d v="2017-02-15T00:00:00"/>
    <n v="1076"/>
  </r>
  <r>
    <n v="1820"/>
    <x v="3"/>
    <s v="lic plate light out"/>
    <d v="2017-02-17T00:00:00"/>
    <n v="1074"/>
  </r>
  <r>
    <n v="1820"/>
    <x v="3"/>
    <s v="lic plate light out"/>
    <d v="2017-02-22T00:00:00"/>
    <n v="1069"/>
  </r>
  <r>
    <n v="1820"/>
    <x v="2"/>
    <s v="drivers side windsheild has chip that is starting to spider"/>
    <d v="2017-03-10T00:00:00"/>
    <n v="1053"/>
  </r>
  <r>
    <n v="1820"/>
    <x v="3"/>
    <s v="marker light out on visor right side"/>
    <d v="2017-03-21T00:00:00"/>
    <n v="1042"/>
  </r>
  <r>
    <n v="1820"/>
    <x v="3"/>
    <s v="visor light on right side dim"/>
    <d v="2017-04-06T00:00:00"/>
    <n v="1026"/>
  </r>
  <r>
    <n v="1820"/>
    <x v="0"/>
    <s v="left front drive brake chamber has air leak that exceeds loss rate."/>
    <d v="2017-05-05T00:00:00"/>
    <n v="997"/>
  </r>
  <r>
    <n v="1816"/>
    <x v="25"/>
    <s v="cruise control, engine brake not working…sensor keeps disengaging"/>
    <d v="2018-10-12T00:00:00"/>
    <n v="472"/>
  </r>
  <r>
    <n v="1816"/>
    <x v="1"/>
    <s v="ANNUAL INPSPECTION DUE IN NOVEMBER"/>
    <d v="2018-11-01T00:00:00"/>
    <n v="452"/>
  </r>
  <r>
    <n v="1816"/>
    <x v="21"/>
    <s v="drive line oil leak…lots of fluid leaking"/>
    <d v="2018-11-22T00:00:00"/>
    <n v="431"/>
  </r>
  <r>
    <n v="1816"/>
    <x v="5"/>
    <s v="ESBAR CAB HEATER NOT WORKING - ENGINE HEATER WORKS FINE"/>
    <d v="2018-11-21T00:00:00"/>
    <n v="432"/>
  </r>
  <r>
    <n v="1816"/>
    <x v="24"/>
    <s v="ELECTRIC HORN NOT WORKING"/>
    <d v="2018-11-29T00:00:00"/>
    <n v="424"/>
  </r>
  <r>
    <n v="1816"/>
    <x v="20"/>
    <s v="RED GLAD HAND LINE BROKEN AT BOTTOM OF GLAD HAND"/>
    <d v="2018-12-05T00:00:00"/>
    <n v="418"/>
  </r>
  <r>
    <n v="1816"/>
    <x v="4"/>
    <s v="BOLTS HOLDING FRONT BUMPER ON ARE LOOSE"/>
    <d v="2018-12-21T00:00:00"/>
    <n v="402"/>
  </r>
  <r>
    <n v="1641"/>
    <x v="1"/>
    <s v="A/C NOT WORKING, ONLY BLOWING HOT AIR"/>
    <d v="2019-09-03T00:00:00"/>
    <n v="146"/>
  </r>
  <r>
    <n v="1641"/>
    <x v="1"/>
    <s v="A/C POWER OUTLET ON RIGHT SIDE IS NOT WORKING"/>
    <d v="2019-10-01T00:00:00"/>
    <n v="118"/>
  </r>
  <r>
    <n v="1641"/>
    <x v="11"/>
    <s v="DRIVERS SIDE TOP REARVIEW MIRROR DOES NOT DEFROST"/>
    <d v="2019-10-17T00:00:00"/>
    <n v="102"/>
  </r>
  <r>
    <n v="1641"/>
    <x v="17"/>
    <s v="GEAR SHIFT CLICKS HARD IN PARK AND NUETRAL WHEN BRAKE PEDAL DEPRESSED "/>
    <d v="2019-11-18T00:00:00"/>
    <n v="70"/>
  </r>
  <r>
    <n v="1641"/>
    <x v="4"/>
    <s v="LOCKING PIN FOR BACK STEPS BROKEN"/>
    <d v="2019-11-29T00:00:00"/>
    <n v="59"/>
  </r>
  <r>
    <n v="1817"/>
    <x v="5"/>
    <s v="ENGINE HEATER FAILING WHEN TEMP BELOW -16"/>
    <d v="2017-12-29T00:00:00"/>
    <n v="759"/>
  </r>
  <r>
    <n v="1817"/>
    <x v="17"/>
    <s v="MOISTURE COMING IN AROUND SHIFTER"/>
    <d v="2018-01-04T00:00:00"/>
    <n v="753"/>
  </r>
  <r>
    <n v="1817"/>
    <x v="14"/>
    <s v="ENGINE SLOW TO TURN OVER IN MORNING. UNDERSTANDIBLY COLD BUT DRIVER IS CONCERNED ABOUT BATTERIES"/>
    <d v="2018-01-04T00:00:00"/>
    <n v="753"/>
  </r>
  <r>
    <n v="1817"/>
    <x v="3"/>
    <s v="1 - BREATHER LIGHT OUT AND 1 - HOOD LIGHT OUT"/>
    <d v="2018-01-08T00:00:00"/>
    <n v="749"/>
  </r>
  <r>
    <n v="1817"/>
    <x v="17"/>
    <s v="water and salt entering cab from around shifter. Driver has comented that this is quite bad"/>
    <d v="2018-01-12T00:00:00"/>
    <n v="745"/>
  </r>
  <r>
    <n v="1817"/>
    <x v="0"/>
    <s v="AIR DRAIN COMPLETELY OVERNIGHT"/>
    <d v="2018-01-15T00:00:00"/>
    <m/>
  </r>
  <r>
    <n v="1817"/>
    <x v="3"/>
    <s v="LIC. PLATE LIGHT OUT"/>
    <d v="2018-01-22T00:00:00"/>
    <n v="735"/>
  </r>
  <r>
    <n v="1817"/>
    <x v="5"/>
    <s v="batteries drain when ESBAR cab heater is on. Have had to boost truck 3 times…"/>
    <d v="2018-01-26T00:00:00"/>
    <n v="731"/>
  </r>
  <r>
    <n v="1820"/>
    <x v="3"/>
    <s v="drivers side skirt light out"/>
    <d v="2017-05-19T00:00:00"/>
    <n v="983"/>
  </r>
  <r>
    <n v="1820"/>
    <x v="3"/>
    <s v="visor light out"/>
    <d v="2017-05-26T00:00:00"/>
    <n v="976"/>
  </r>
  <r>
    <n v="1820"/>
    <x v="1"/>
    <s v="HOOD NEEDS ADJUSTMENT ON LEFT SIDE"/>
    <d v="2017-06-23T00:00:00"/>
    <n v="948"/>
  </r>
  <r>
    <n v="1820"/>
    <x v="3"/>
    <s v="BACK OF CAB LIGHT OUT"/>
    <d v="2017-06-28T00:00:00"/>
    <n v="943"/>
  </r>
  <r>
    <n v="1820"/>
    <x v="1"/>
    <s v="PLEASE REPLACE BUMPER"/>
    <d v="2017-07-21T00:00:00"/>
    <n v="920"/>
  </r>
  <r>
    <n v="1820"/>
    <x v="3"/>
    <s v="Drvers side cab Skirt light out. - 4th from bottom"/>
    <d v="2017-09-14T00:00:00"/>
    <n v="865"/>
  </r>
  <r>
    <n v="1820"/>
    <x v="25"/>
    <s v="NO FREE PLAY AT TOP OF CLUTCH "/>
    <d v="2017-09-14T00:00:00"/>
    <n v="865"/>
  </r>
  <r>
    <n v="1820"/>
    <x v="1"/>
    <s v="step rivets missing"/>
    <d v="2017-09-18T00:00:00"/>
    <n v="861"/>
  </r>
  <r>
    <n v="1820"/>
    <x v="18"/>
    <s v="retorque both drive axles both sides"/>
    <d v="2017-09-26T00:00:00"/>
    <n v="853"/>
  </r>
  <r>
    <n v="1820"/>
    <x v="3"/>
    <s v="driver's side head light lens broken from incident."/>
    <d v="2017-10-04T00:00:00"/>
    <n v="845"/>
  </r>
  <r>
    <n v="1820"/>
    <x v="4"/>
    <s v="Please check roof fairing"/>
    <m/>
    <m/>
  </r>
  <r>
    <n v="1820"/>
    <x v="1"/>
    <s v="bumper needs replaced"/>
    <d v="2017-10-04T00:00:00"/>
    <n v="845"/>
  </r>
  <r>
    <n v="1820"/>
    <x v="22"/>
    <s v="5th Wheel will not slide please adjust"/>
    <d v="2017-11-17T00:00:00"/>
    <n v="801"/>
  </r>
  <r>
    <n v="1820"/>
    <x v="18"/>
    <s v="retorque all axles both sides from safety."/>
    <d v="2017-11-27T00:00:00"/>
    <n v="791"/>
  </r>
  <r>
    <n v="1820"/>
    <x v="3"/>
    <s v="LEFT LOWER SKIRT LIGHT OUT"/>
    <d v="2017-12-11T00:00:00"/>
    <n v="777"/>
  </r>
  <r>
    <n v="1820"/>
    <x v="3"/>
    <s v="BREATHER LIGHTS OUT ON THE LEFT SIDE"/>
    <d v="2017-12-13T00:00:00"/>
    <n v="775"/>
  </r>
  <r>
    <n v="1820"/>
    <x v="16"/>
    <s v="please replace windshieild wipers"/>
    <d v="2017-12-13T00:00:00"/>
    <m/>
  </r>
  <r>
    <n v="1820"/>
    <x v="1"/>
    <s v="DRIVER'S SIDE STEP MISSING RIVETS"/>
    <d v="2017-12-21T00:00:00"/>
    <n v="767"/>
  </r>
  <r>
    <n v="1820"/>
    <x v="3"/>
    <s v="reverse light not working"/>
    <d v="2017-09-01T00:00:00"/>
    <n v="878"/>
  </r>
  <r>
    <n v="1820"/>
    <x v="3"/>
    <s v="back of cab light out"/>
    <d v="2017-09-06T00:00:00"/>
    <n v="873"/>
  </r>
  <r>
    <n v="1821"/>
    <x v="20"/>
    <s v="broken pogo stick"/>
    <d v="2017-02-24T00:00:00"/>
    <n v="1067"/>
  </r>
  <r>
    <n v="1821"/>
    <x v="1"/>
    <s v="drivers side CFB antenna broken"/>
    <d v="2017-01-19T00:00:00"/>
    <n v="1103"/>
  </r>
  <r>
    <n v="1821"/>
    <x v="2"/>
    <s v="drivers side window not going up or down"/>
    <d v="2017-03-20T00:00:00"/>
    <n v="1043"/>
  </r>
  <r>
    <n v="1821"/>
    <x v="3"/>
    <s v="when this truck hooks to a trailer the trailer has no top clearance lights, we have tried a couple of trailers now and same thing."/>
    <d v="2017-03-31T00:00:00"/>
    <n v="1032"/>
  </r>
  <r>
    <n v="1821"/>
    <x v="1"/>
    <s v="needs step trim re-attached"/>
    <d v="2017-04-01T00:00:00"/>
    <m/>
  </r>
  <r>
    <n v="1821"/>
    <x v="0"/>
    <s v="trailer ABS light comes on in tractor but… not on trailer. We have trailer checked but no issue's found "/>
    <d v="2017-04-07T00:00:00"/>
    <n v="1025"/>
  </r>
  <r>
    <n v="1821"/>
    <x v="3"/>
    <s v="centre visor light out"/>
    <d v="2017-04-17T00:00:00"/>
    <n v="1015"/>
  </r>
  <r>
    <n v="1821"/>
    <x v="3"/>
    <s v="license plate light out"/>
    <d v="2017-04-18T00:00:00"/>
    <n v="1014"/>
  </r>
  <r>
    <n v="1821"/>
    <x v="3"/>
    <s v="driver side low beam headlight out"/>
    <d v="2017-04-19T00:00:00"/>
    <n v="1013"/>
  </r>
  <r>
    <n v="1821"/>
    <x v="16"/>
    <s v="REPLACE WIPER BLADES FOR SUMMER BLADED"/>
    <d v="2017-05-27T00:00:00"/>
    <n v="975"/>
  </r>
  <r>
    <n v="1821"/>
    <x v="0"/>
    <s v="ABS light on"/>
    <d v="2017-06-19T00:00:00"/>
    <n v="952"/>
  </r>
  <r>
    <n v="1821"/>
    <x v="0"/>
    <s v="feels like brake caliper on rear drives are sticking"/>
    <d v="2017-07-17T00:00:00"/>
    <n v="924"/>
  </r>
  <r>
    <n v="1821"/>
    <x v="10"/>
    <s v="STEER TIRES GETTING LOW ON TREAD AND HAVE GOUGES IN THE TREADS"/>
    <d v="2017-07-17T00:00:00"/>
    <n v="924"/>
  </r>
  <r>
    <n v="1821"/>
    <x v="1"/>
    <s v="PLEASE REPLACE BUMPER"/>
    <d v="2017-07-21T00:00:00"/>
    <n v="920"/>
  </r>
  <r>
    <n v="1821"/>
    <x v="3"/>
    <s v="Passenger side low beam out"/>
    <d v="2017-08-14T00:00:00"/>
    <n v="896"/>
  </r>
  <r>
    <n v="1821"/>
    <x v="23"/>
    <s v="Adding 2 litres a week to truck but cannot locate leak."/>
    <d v="2017-09-21T00:00:00"/>
    <n v="858"/>
  </r>
  <r>
    <n v="1821"/>
    <x v="15"/>
    <s v="Air lines on this unit have been replaced but were installed crossed at back of cab."/>
    <d v="2017-10-02T00:00:00"/>
    <n v="847"/>
  </r>
  <r>
    <n v="1821"/>
    <x v="23"/>
    <s v="looses coolant from lower Rad hose/Pipe on right side at the bottom of the engine."/>
    <d v="2017-10-26T00:00:00"/>
    <n v="823"/>
  </r>
  <r>
    <n v="1821"/>
    <x v="14"/>
    <s v="CEL LIGHT ON."/>
    <d v="2017-11-01T00:00:00"/>
    <n v="817"/>
  </r>
  <r>
    <n v="1821"/>
    <x v="4"/>
    <s v="please check fairing for loose bolts"/>
    <d v="2017-11-09T00:00:00"/>
    <n v="809"/>
  </r>
  <r>
    <n v="1817"/>
    <x v="4"/>
    <s v="drivers window will not go up or down"/>
    <d v="2018-01-29T00:00:00"/>
    <m/>
  </r>
  <r>
    <n v="1817"/>
    <x v="3"/>
    <s v="right side 2nd from top fender light out"/>
    <d v="2018-02-02T00:00:00"/>
    <n v="724"/>
  </r>
  <r>
    <n v="1817"/>
    <x v="3"/>
    <s v="BREATHER LIGHT"/>
    <d v="2018-02-03T00:00:00"/>
    <m/>
  </r>
  <r>
    <n v="1817"/>
    <x v="4"/>
    <s v="2 x STEP RIVETS"/>
    <d v="2018-02-03T00:00:00"/>
    <m/>
  </r>
  <r>
    <n v="1817"/>
    <x v="19"/>
    <s v="air bag leaking "/>
    <d v="2018-02-07T00:00:00"/>
    <n v="719"/>
  </r>
  <r>
    <n v="1817"/>
    <x v="1"/>
    <s v="Broken pogo stick - please replace lines dragging on deck plate"/>
    <d v="2018-02-20T00:00:00"/>
    <n v="706"/>
  </r>
  <r>
    <n v="1817"/>
    <x v="14"/>
    <s v="CHECK ENGINE LIGHT ON"/>
    <d v="2017-12-29T00:00:00"/>
    <n v="759"/>
  </r>
  <r>
    <n v="1817"/>
    <x v="0"/>
    <s v="ABS LIGHT ON"/>
    <d v="2017-12-29T00:00:00"/>
    <n v="759"/>
  </r>
  <r>
    <n v="1817"/>
    <x v="13"/>
    <s v="STABILITY CONTROL LIGHT ON"/>
    <d v="2017-12-29T00:00:00"/>
    <n v="759"/>
  </r>
  <r>
    <n v="1817"/>
    <x v="3"/>
    <s v="RIGHT SIDE TOP BREATHER LIGHT OUT"/>
    <d v="2018-02-13T00:00:00"/>
    <n v="713"/>
  </r>
  <r>
    <n v="1817"/>
    <x v="11"/>
    <s v="HEATED MIRRORS AND ADJUSTMENT NOT WORKING ON BOTH SIDES"/>
    <d v="2018-02-06T00:00:00"/>
    <n v="720"/>
  </r>
  <r>
    <n v="1817"/>
    <x v="17"/>
    <s v="water salt and silt leaking into cab from around shifter plate"/>
    <d v="2018-02-23T00:00:00"/>
    <n v="703"/>
  </r>
  <r>
    <n v="1817"/>
    <x v="19"/>
    <s v="LEVELING VALVE NOT SET PROPERLY CAUSING TRUCK TO VIBRATE, RATTLE, GRIND AND SHAKE"/>
    <d v="2018-02-23T00:00:00"/>
    <n v="703"/>
  </r>
  <r>
    <n v="1817"/>
    <x v="14"/>
    <s v="CHECK ENGINE LIGHT ON - OUTSIDE TEMP READING 45 DEGREES CELIUS OFF ACTUAL TEMP."/>
    <d v="2018-02-28T00:00:00"/>
    <n v="698"/>
  </r>
  <r>
    <n v="1817"/>
    <x v="21"/>
    <s v="VIBRATION IN DRIVELINE PLEASE CHECK ANGLES FOR PROPER HEIGHT ADJUSTMENT"/>
    <d v="2018-03-05T00:00:00"/>
    <n v="693"/>
  </r>
  <r>
    <n v="1817"/>
    <x v="21"/>
    <s v="VIBRATION IN DRIVELINE PLEASE CHECK ANGLES FOR PROPER HEIGHT ADJUSTMENT"/>
    <d v="2018-03-12T00:00:00"/>
    <m/>
  </r>
  <r>
    <n v="1817"/>
    <x v="3"/>
    <s v="2 chicken lights out…2nd and 3rd from the bottom of driver side breather"/>
    <d v="2018-03-12T00:00:00"/>
    <n v="686"/>
  </r>
  <r>
    <n v="1817"/>
    <x v="3"/>
    <s v="2 LIGHTS OUT ON LEFT SIDE BREATHER LIGHTS"/>
    <d v="2018-03-23T00:00:00"/>
    <n v="675"/>
  </r>
  <r>
    <n v="1817"/>
    <x v="3"/>
    <s v="VISOR LIGHT OUT ON RIGHT SIDE"/>
    <d v="2018-04-03T00:00:00"/>
    <n v="664"/>
  </r>
  <r>
    <n v="1821"/>
    <x v="4"/>
    <s v="PLEASE CHECK STEP RIVETS"/>
    <d v="2017-11-09T00:00:00"/>
    <m/>
  </r>
  <r>
    <n v="1821"/>
    <x v="1"/>
    <s v="passenger door hard to close - not latching properly"/>
    <d v="2017-11-15T00:00:00"/>
    <n v="803"/>
  </r>
  <r>
    <n v="1821"/>
    <x v="19"/>
    <s v="AIR LEAK AT LEVELING VALVE"/>
    <d v="2017-12-01T00:00:00"/>
    <m/>
  </r>
  <r>
    <n v="1821"/>
    <x v="3"/>
    <s v="light out on back of cab"/>
    <d v="2017-12-01T00:00:00"/>
    <n v="787"/>
  </r>
  <r>
    <n v="1821"/>
    <x v="8"/>
    <s v="audible air leak"/>
    <d v="2017-12-06T00:00:00"/>
    <n v="782"/>
  </r>
  <r>
    <n v="1821"/>
    <x v="1"/>
    <s v="TRUCK NOT HOLDING AIR OVERNIGHT "/>
    <m/>
    <m/>
  </r>
  <r>
    <n v="1821"/>
    <x v="18"/>
    <s v="Retorque all axles both sides"/>
    <d v="2017-12-08T00:00:00"/>
    <n v="780"/>
  </r>
  <r>
    <n v="1821"/>
    <x v="16"/>
    <s v="WASHER SQUIRTER ON DRIVER'S SIDE NOT COVERING ENTIRE WINDSHIELD - ONLY CLEANS BOTTTOM HALF OF WINDSHEILD"/>
    <d v="2017-12-15T00:00:00"/>
    <m/>
  </r>
  <r>
    <n v="1821"/>
    <x v="4"/>
    <s v="DRIVER'S SIDE DOOR WILL NOT STAY CLOSED"/>
    <d v="2017-12-27T00:00:00"/>
    <n v="761"/>
  </r>
  <r>
    <n v="1822"/>
    <x v="3"/>
    <s v="right side tail light out"/>
    <d v="2017-02-22T00:00:00"/>
    <n v="1069"/>
  </r>
  <r>
    <n v="1822"/>
    <x v="3"/>
    <s v="left side tail light out"/>
    <d v="2017-02-28T00:00:00"/>
    <n v="1063"/>
  </r>
  <r>
    <n v="1822"/>
    <x v="11"/>
    <s v="right side convex mirror heat not working"/>
    <d v="2017-02-06T00:00:00"/>
    <n v="1085"/>
  </r>
  <r>
    <n v="1822"/>
    <x v="3"/>
    <s v="right tail light out"/>
    <d v="2017-02-14T00:00:00"/>
    <n v="1077"/>
  </r>
  <r>
    <n v="1822"/>
    <x v="3"/>
    <s v="visor light out"/>
    <d v="2017-02-14T00:00:00"/>
    <n v="1077"/>
  </r>
  <r>
    <n v="1822"/>
    <x v="3"/>
    <s v="left tail light out"/>
    <d v="2017-03-03T00:00:00"/>
    <n v="1060"/>
  </r>
  <r>
    <n v="1822"/>
    <x v="1"/>
    <s v="needs stainless CB antenna's"/>
    <d v="2017-04-01T00:00:00"/>
    <m/>
  </r>
  <r>
    <n v="1822"/>
    <x v="16"/>
    <s v="needs wipers replaced"/>
    <d v="2017-04-01T00:00:00"/>
    <m/>
  </r>
  <r>
    <n v="1822"/>
    <x v="3"/>
    <s v="2 visor lights out"/>
    <d v="2017-04-03T00:00:00"/>
    <n v="1029"/>
  </r>
  <r>
    <n v="1822"/>
    <x v="3"/>
    <s v="visor lights out"/>
    <d v="2017-04-13T00:00:00"/>
    <n v="1019"/>
  </r>
  <r>
    <n v="1822"/>
    <x v="3"/>
    <s v="visor light out"/>
    <d v="2017-05-26T00:00:00"/>
    <n v="976"/>
  </r>
  <r>
    <n v="1822"/>
    <x v="3"/>
    <s v="visor light out"/>
    <d v="2017-07-14T00:00:00"/>
    <n v="927"/>
  </r>
  <r>
    <n v="1822"/>
    <x v="1"/>
    <s v="air leak under cab"/>
    <d v="2017-07-14T00:00:00"/>
    <n v="927"/>
  </r>
  <r>
    <n v="1822"/>
    <x v="21"/>
    <s v="rear axle temperature gauge not working"/>
    <d v="2017-07-20T00:00:00"/>
    <n v="921"/>
  </r>
  <r>
    <n v="1822"/>
    <x v="6"/>
    <s v="EXAUST STACKS UNEVEN HEIGHTS. THIS TRUCK HAS AN INCIDENT ON HWY 69 SOME TIME AGO AND REPAIRS WERE DONE BY PETERBILT INNISFIL. THE EXHAUST HEIGHTS HAVE NOT MATCHED UP SINCE"/>
    <d v="2017-07-27T00:00:00"/>
    <n v="914"/>
  </r>
  <r>
    <n v="1822"/>
    <x v="11"/>
    <s v="DRIVERS SIDE MIRROR DAMAGED AND GRILLE DENTED. THIS WAS DAMAGED BY ANOTHER TRAILER THERE ARE PICS AND VIDEO OF INCIDENT."/>
    <d v="2017-07-27T00:00:00"/>
    <n v="914"/>
  </r>
  <r>
    <n v="1822"/>
    <x v="1"/>
    <s v="Both air tanks empty after being parked overnight. Air leak from under cab."/>
    <d v="2017-10-23T00:00:00"/>
    <n v="826"/>
  </r>
  <r>
    <n v="1817"/>
    <x v="2"/>
    <s v="STONE CHIP IN WINDSHIELD"/>
    <d v="2018-05-10T00:00:00"/>
    <n v="627"/>
  </r>
  <r>
    <n v="1817"/>
    <x v="1"/>
    <s v="IGNITION IS LOOSE AND KEY CAN SPIN INSIDE IGNITION"/>
    <d v="2018-05-09T00:00:00"/>
    <n v="628"/>
  </r>
  <r>
    <n v="1817"/>
    <x v="21"/>
    <s v="TRUCK VIBRATES HEAVILY AT THE END OF THE POWER BAND"/>
    <d v="2018-05-10T00:00:00"/>
    <n v="627"/>
  </r>
  <r>
    <n v="1817"/>
    <x v="17"/>
    <s v="AIR LEAK ON TRANSMISSION"/>
    <d v="2018-05-14T00:00:00"/>
    <n v="623"/>
  </r>
  <r>
    <n v="1817"/>
    <x v="3"/>
    <s v="LIC. PLATE LIGHT OUT"/>
    <d v="2018-05-25T00:00:00"/>
    <n v="612"/>
  </r>
  <r>
    <n v="1817"/>
    <x v="26"/>
    <s v="rear mud flaps need new reflective tape"/>
    <d v="2018-06-01T00:00:00"/>
    <n v="605"/>
  </r>
  <r>
    <n v="1817"/>
    <x v="14"/>
    <s v="CEL LIGHT ON"/>
    <d v="2018-07-06T00:00:00"/>
    <n v="570"/>
  </r>
  <r>
    <n v="1817"/>
    <x v="14"/>
    <s v="CEL ON AGAIN - IT CAME BACK ON WHILE DRIVING DOWN A BUMPY ROAD"/>
    <d v="2018-08-08T00:00:00"/>
    <n v="537"/>
  </r>
  <r>
    <n v="1817"/>
    <x v="14"/>
    <s v="CHECK ENGINE LIGHT ON - 8 CODES AND STOP ENGINE LIGHT ON."/>
    <d v="2018-08-14T00:00:00"/>
    <n v="531"/>
  </r>
  <r>
    <n v="1817"/>
    <x v="15"/>
    <s v="maxi line below glad hand is split…leaking air"/>
    <d v="2018-08-27T00:00:00"/>
    <n v="518"/>
  </r>
  <r>
    <n v="1817"/>
    <x v="1"/>
    <s v="ANNUAL INSPECTION DUE"/>
    <d v="2018-09-21T00:00:00"/>
    <n v="493"/>
  </r>
  <r>
    <n v="1817"/>
    <x v="18"/>
    <s v="RETORQUE ALL AXLES BOTH SIDES FROM SAFETY"/>
    <d v="2018-09-24T00:00:00"/>
    <n v="490"/>
  </r>
  <r>
    <n v="1822"/>
    <x v="1"/>
    <s v="drivers side step trim missing rivets"/>
    <d v="2017-10-23T00:00:00"/>
    <n v="826"/>
  </r>
  <r>
    <n v="1822"/>
    <x v="18"/>
    <s v="retorque all axles both sides from safety"/>
    <d v="2017-10-30T00:00:00"/>
    <n v="819"/>
  </r>
  <r>
    <n v="1822"/>
    <x v="4"/>
    <s v="Please check roof fairing"/>
    <m/>
    <m/>
  </r>
  <r>
    <n v="1822"/>
    <x v="25"/>
    <s v="NEEDS ADJUSTMENT"/>
    <d v="2017-12-01T00:00:00"/>
    <n v="787"/>
  </r>
  <r>
    <n v="1822"/>
    <x v="17"/>
    <s v="AIR LEAK AT FITTING ON TOP OF TRANSMISSION"/>
    <d v="2017-12-01T00:00:00"/>
    <m/>
  </r>
  <r>
    <n v="1822"/>
    <x v="16"/>
    <s v="please replace windshieild wipers"/>
    <d v="2017-12-13T00:00:00"/>
    <m/>
  </r>
  <r>
    <n v="1822"/>
    <x v="1"/>
    <s v="GREASE FITTING MISSING ON RIGHT SIDE TIE ROD AND FITTING ON FIRST AXLE U JOINT NOT TAKING GREASE"/>
    <d v="2017-12-02T00:00:00"/>
    <n v="786"/>
  </r>
  <r>
    <n v="1822"/>
    <x v="1"/>
    <s v="DRIVER SAW SMOKE COMING FROM BEHIND DASH NOW AUXILLARY LIGHTS ARE NOT WORKING AND TAIL LIGHT CUT ON AND OFF "/>
    <d v="2017-12-21T00:00:00"/>
    <n v="767"/>
  </r>
  <r>
    <n v="1822"/>
    <x v="1"/>
    <s v="DASH LIGHTS NOT WORKING"/>
    <d v="2017-12-21T00:00:00"/>
    <n v="767"/>
  </r>
  <r>
    <n v="1823"/>
    <x v="8"/>
    <s v="drivers window cracked"/>
    <d v="2017-08-25T00:00:00"/>
    <n v="885"/>
  </r>
  <r>
    <n v="1823"/>
    <x v="11"/>
    <s v="No Mirror heat on drivers side convex mirror"/>
    <d v="2017-01-18T00:00:00"/>
    <n v="1104"/>
  </r>
  <r>
    <n v="1823"/>
    <x v="3"/>
    <s v="2 visor lights out"/>
    <d v="2017-01-23T00:00:00"/>
    <n v="1099"/>
  </r>
  <r>
    <n v="1823"/>
    <x v="1"/>
    <s v="clutch will not diengage engine brake or cruise control"/>
    <d v="2017-01-23T00:00:00"/>
    <n v="1099"/>
  </r>
  <r>
    <n v="1823"/>
    <x v="1"/>
    <s v="lower speakers not working in cab"/>
    <d v="2017-01-18T00:00:00"/>
    <n v="1104"/>
  </r>
  <r>
    <n v="1823"/>
    <x v="1"/>
    <s v="smart nav display display goes blank but sound still works"/>
    <d v="2017-02-06T00:00:00"/>
    <n v="1085"/>
  </r>
  <r>
    <n v="1823"/>
    <x v="25"/>
    <s v="clutch pedal not fully returning it is sticking in the free play zone"/>
    <d v="2017-02-14T00:00:00"/>
    <n v="1077"/>
  </r>
  <r>
    <n v="1823"/>
    <x v="4"/>
    <s v="doors are difficult to lock/unlock with key"/>
    <d v="2017-02-28T00:00:00"/>
    <n v="1063"/>
  </r>
  <r>
    <n v="1823"/>
    <x v="3"/>
    <s v="left side visor light out"/>
    <d v="2017-03-13T00:00:00"/>
    <n v="1050"/>
  </r>
  <r>
    <n v="1823"/>
    <x v="3"/>
    <s v="work light on rear of cab left side is out"/>
    <d v="2017-03-13T00:00:00"/>
    <n v="1050"/>
  </r>
  <r>
    <n v="1823"/>
    <x v="1"/>
    <s v="replaced CB antenna's with stainless steel ones."/>
    <d v="2017-03-17T00:00:00"/>
    <n v="1046"/>
  </r>
  <r>
    <n v="1823"/>
    <x v="25"/>
    <s v="did clutch adjustment "/>
    <d v="2017-03-17T00:00:00"/>
    <n v="1046"/>
  </r>
  <r>
    <n v="1823"/>
    <x v="0"/>
    <s v="caliper seizing on rear drive axle"/>
    <d v="2017-04-07T00:00:00"/>
    <n v="1025"/>
  </r>
  <r>
    <n v="1823"/>
    <x v="21"/>
    <s v="wire for rear diff. engaged sensor is broken"/>
    <d v="2017-05-08T00:00:00"/>
    <n v="994"/>
  </r>
  <r>
    <n v="1823"/>
    <x v="23"/>
    <s v="slow coolant leak, seems like it is coming from the coolant pipe on the lower right side of the motor"/>
    <d v="2017-05-09T00:00:00"/>
    <n v="993"/>
  </r>
  <r>
    <n v="1823"/>
    <x v="3"/>
    <s v="1 visor light out and 1 breather light out."/>
    <d v="2017-05-01T00:00:00"/>
    <n v="1001"/>
  </r>
  <r>
    <n v="1823"/>
    <x v="1"/>
    <s v="drivers side door difficult to latch"/>
    <d v="2017-05-09T00:00:00"/>
    <n v="993"/>
  </r>
  <r>
    <n v="1823"/>
    <x v="1"/>
    <s v="door lock on drivers side hard to turn "/>
    <d v="2017-05-09T00:00:00"/>
    <n v="993"/>
  </r>
  <r>
    <n v="1823"/>
    <x v="1"/>
    <s v="drivers side window switch for drivers side window does not illuminate"/>
    <d v="2017-05-09T00:00:00"/>
    <n v="993"/>
  </r>
  <r>
    <n v="1823"/>
    <x v="20"/>
    <s v="supply glad hand needs to have extended handle. This has been repaired at some point but driver would like the same exteded handle that is on the service side."/>
    <d v="2017-05-08T00:00:00"/>
    <n v="994"/>
  </r>
  <r>
    <n v="1817"/>
    <x v="10"/>
    <s v="drive axle tires replaced on Nov 17 2019. "/>
    <d v="2018-11-17T00:00:00"/>
    <n v="436"/>
  </r>
  <r>
    <n v="1817"/>
    <x v="18"/>
    <s v="RE-TORQUE BOTH DRIVE AXLES ON BOTH SIDES FROM WEEKEND TIRE REPLACEMENT"/>
    <d v="2018-11-19T00:00:00"/>
    <n v="434"/>
  </r>
  <r>
    <n v="1817"/>
    <x v="5"/>
    <s v="AIR CONDITIONER BLOWING WARM AIR"/>
    <d v="2018-10-10T00:00:00"/>
    <n v="474"/>
  </r>
  <r>
    <n v="1817"/>
    <x v="4"/>
    <s v="DRIVERS SIDE DOOR JAMS AND WILL NOT UNLOCK OR OPEN"/>
    <d v="2018-11-09T00:00:00"/>
    <n v="444"/>
  </r>
  <r>
    <n v="1817"/>
    <x v="3"/>
    <s v="LIC PLATE LIGHT OUT"/>
    <d v="2018-11-19T00:00:00"/>
    <n v="434"/>
  </r>
  <r>
    <n v="1817"/>
    <x v="13"/>
    <s v="TRUCK PULLS TO RIGHT"/>
    <d v="2018-12-08T00:00:00"/>
    <m/>
  </r>
  <r>
    <n v="1817"/>
    <x v="6"/>
    <s v="EXHAUST LEAK"/>
    <d v="2018-12-08T00:00:00"/>
    <m/>
  </r>
  <r>
    <n v="1817"/>
    <x v="6"/>
    <s v="EXHAUST LEAK"/>
    <d v="2018-12-08T00:00:00"/>
    <m/>
  </r>
  <r>
    <n v="1641"/>
    <x v="16"/>
    <s v="REPLACED WIPER BLADES WITH WINTER BLADES"/>
    <d v="2019-12-09T00:00:00"/>
    <n v="49"/>
  </r>
  <r>
    <n v="1642"/>
    <x v="4"/>
    <s v="PASSENGER SIDE DOOR TRIM FALLING OFF"/>
    <d v="2019-05-31T00:00:00"/>
    <n v="241"/>
  </r>
  <r>
    <n v="1642"/>
    <x v="0"/>
    <s v="EMERGENCY BRAKE CABLE IS BROKEN"/>
    <d v="2019-05-01T00:00:00"/>
    <n v="271"/>
  </r>
  <r>
    <n v="1642"/>
    <x v="1"/>
    <s v="LISENCE PLATE PEELING……UNREADABLE"/>
    <d v="2019-04-04T00:00:00"/>
    <n v="298"/>
  </r>
  <r>
    <n v="1818"/>
    <x v="3"/>
    <s v="LIC. PLATE LIGHT AND PIGTAIL"/>
    <d v="2018-02-03T00:00:00"/>
    <m/>
  </r>
  <r>
    <n v="1818"/>
    <x v="20"/>
    <s v="LIFT AXLE SWITCH AND INTERIOR LIGHTS CUTTING ON AND OFF - PLEASE REPAIR OR REPLACE YELLOW CORD."/>
    <d v="2018-02-15T00:00:00"/>
    <n v="711"/>
  </r>
  <r>
    <n v="1823"/>
    <x v="10"/>
    <s v="PASSENGER SIDE 1ST DRIVE OUTSIDE TIRE IS OFF RIM"/>
    <d v="2017-07-17T00:00:00"/>
    <n v="924"/>
  </r>
  <r>
    <n v="1823"/>
    <x v="2"/>
    <s v="stone chip in drivers side winsheild"/>
    <d v="2017-08-25T00:00:00"/>
    <n v="885"/>
  </r>
  <r>
    <n v="1823"/>
    <x v="4"/>
    <s v="rubber missing between fuel tank and steps….driver side"/>
    <d v="2017-09-01T00:00:00"/>
    <n v="878"/>
  </r>
  <r>
    <n v="1823"/>
    <x v="1"/>
    <s v="PLEASE REPLACE BUMPER - WE WOULD LIKE TO KEEP THIS BUMPER"/>
    <d v="2017-07-21T00:00:00"/>
    <n v="920"/>
  </r>
  <r>
    <n v="1823"/>
    <x v="1"/>
    <s v="on board Navigation not working"/>
    <d v="2017-09-29T00:00:00"/>
    <n v="850"/>
  </r>
  <r>
    <n v="1823"/>
    <x v="21"/>
    <s v="Truck has vibration in 8/9th gear at 1300-1500 RPM. This is most prominent with trailer under load"/>
    <d v="2017-09-29T00:00:00"/>
    <n v="850"/>
  </r>
  <r>
    <n v="1823"/>
    <x v="18"/>
    <s v="retorque drive axles both sides"/>
    <d v="2017-09-25T00:00:00"/>
    <n v="854"/>
  </r>
  <r>
    <n v="1823"/>
    <x v="6"/>
    <s v="Bushing connecting exhaust to cab on driver's side worn."/>
    <d v="2017-10-06T00:00:00"/>
    <n v="843"/>
  </r>
  <r>
    <n v="1823"/>
    <x v="1"/>
    <s v="Both air tanks empty after being parked overnight."/>
    <d v="2017-10-20T00:00:00"/>
    <n v="829"/>
  </r>
  <r>
    <n v="1823"/>
    <x v="15"/>
    <s v="supply glad hand leaking"/>
    <d v="2017-11-02T00:00:00"/>
    <n v="816"/>
  </r>
  <r>
    <n v="1823"/>
    <x v="4"/>
    <s v="Please check roof fairing"/>
    <m/>
    <m/>
  </r>
  <r>
    <n v="1823"/>
    <x v="3"/>
    <s v="right side head light out"/>
    <d v="2017-11-13T00:00:00"/>
    <n v="805"/>
  </r>
  <r>
    <n v="1823"/>
    <x v="1"/>
    <s v="Nav still not working and radio still cuts out. This truck has recently received a software update"/>
    <d v="2017-10-30T00:00:00"/>
    <n v="819"/>
  </r>
  <r>
    <n v="1823"/>
    <x v="17"/>
    <s v="this truck still has shifting issue's between 8-9th gears. Driver would like to schedule drive test with tech (needs trailer weight)."/>
    <d v="2017-10-30T00:00:00"/>
    <n v="819"/>
  </r>
  <r>
    <n v="1823"/>
    <x v="1"/>
    <s v="NAv still not working and radio still cuts out. This truck has recently received a software update"/>
    <d v="2017-12-01T00:00:00"/>
    <n v="787"/>
  </r>
  <r>
    <n v="1823"/>
    <x v="18"/>
    <s v="retorque both drive axles both sides from tire replacement"/>
    <d v="2017-12-04T00:00:00"/>
    <n v="784"/>
  </r>
  <r>
    <n v="1823"/>
    <x v="1"/>
    <s v="RADIO IS STILL CUTTING OUT - NAV IS NOW WORKING. - NAV NOW NOT WORKING 12/14/17"/>
    <d v="2017-12-08T00:00:00"/>
    <n v="780"/>
  </r>
  <r>
    <n v="1823"/>
    <x v="16"/>
    <s v="please replace windshieild wipers"/>
    <d v="2017-12-13T00:00:00"/>
    <m/>
  </r>
  <r>
    <n v="1823"/>
    <x v="18"/>
    <s v="retorque all axles both sides"/>
    <d v="2017-10-30T00:00:00"/>
    <n v="819"/>
  </r>
  <r>
    <n v="1823"/>
    <x v="3"/>
    <s v="visor light popped out"/>
    <d v="2017-12-05T00:00:00"/>
    <n v="783"/>
  </r>
  <r>
    <n v="1824"/>
    <x v="3"/>
    <s v="fender chicken light out on passenger side"/>
    <d v="2017-02-22T00:00:00"/>
    <n v="1069"/>
  </r>
  <r>
    <n v="1824"/>
    <x v="1"/>
    <s v="there is a piece of trim on the frame in front of the fire wall on the drivers side that is hanging down driver has tried to put it back on but won't stay keeps falling down."/>
    <d v="2017-02-22T00:00:00"/>
    <n v="1069"/>
  </r>
  <r>
    <n v="1824"/>
    <x v="1"/>
    <s v="CB antenna broken on right side"/>
    <d v="2017-03-08T00:00:00"/>
    <n v="1055"/>
  </r>
  <r>
    <n v="1824"/>
    <x v="16"/>
    <s v="please replace windshield wipers"/>
    <d v="2017-03-21T00:00:00"/>
    <n v="1042"/>
  </r>
  <r>
    <n v="1824"/>
    <x v="1"/>
    <s v="needs step trim re-attached"/>
    <d v="2017-04-01T00:00:00"/>
    <m/>
  </r>
  <r>
    <n v="1824"/>
    <x v="6"/>
    <s v="needs stainless steel clamps ordered for exhaust"/>
    <d v="2017-04-01T00:00:00"/>
    <n v="1031"/>
  </r>
  <r>
    <n v="1824"/>
    <x v="3"/>
    <s v="passenger side low beam out"/>
    <d v="2017-04-03T00:00:00"/>
    <n v="1029"/>
  </r>
  <r>
    <n v="1818"/>
    <x v="3"/>
    <s v="clearance light out on far right side"/>
    <d v="2018-02-14T00:00:00"/>
    <n v="712"/>
  </r>
  <r>
    <n v="1818"/>
    <x v="5"/>
    <s v="ESBAR Engine Heater not working - Cab Heater working fine"/>
    <d v="2017-12-28T00:00:00"/>
    <n v="760"/>
  </r>
  <r>
    <n v="1818"/>
    <x v="3"/>
    <s v="AUXILLARY SWITCH FOR TRAILER NOT WORKING - LIGHT WILL SOMETIMES FLICKER ON SWITCH BUT TRAILER HAS NOT POWER"/>
    <d v="2018-02-23T00:00:00"/>
    <n v="703"/>
  </r>
  <r>
    <n v="1818"/>
    <x v="0"/>
    <s v="blown brake chamber left front drive"/>
    <d v="2018-03-08T00:00:00"/>
    <m/>
  </r>
  <r>
    <n v="1818"/>
    <x v="25"/>
    <s v="PLEASE ADJUST CLUTCH"/>
    <d v="2018-03-26T00:00:00"/>
    <n v="672"/>
  </r>
  <r>
    <n v="1818"/>
    <x v="24"/>
    <s v="3 visor lights out"/>
    <d v="2018-03-26T00:00:00"/>
    <n v="672"/>
  </r>
  <r>
    <n v="1818"/>
    <x v="26"/>
    <s v="reflective tape on mudflaps has come off"/>
    <d v="2018-03-30T00:00:00"/>
    <n v="668"/>
  </r>
  <r>
    <n v="1818"/>
    <x v="16"/>
    <s v="REPLACE BOTH WIPERS AND NOZZLE ON DRIVER'S SIDE"/>
    <d v="2018-04-05T00:00:00"/>
    <n v="662"/>
  </r>
  <r>
    <n v="1818"/>
    <x v="4"/>
    <s v="Hood hold back cables broken on both sides"/>
    <d v="2018-04-16T00:00:00"/>
    <n v="651"/>
  </r>
  <r>
    <n v="1818"/>
    <x v="3"/>
    <s v="VISOR LIGHT OUT"/>
    <d v="2018-04-19T00:00:00"/>
    <n v="648"/>
  </r>
  <r>
    <n v="1818"/>
    <x v="3"/>
    <s v="VISOR LIGHT OUT - RIGHT OF CENTER"/>
    <d v="2018-04-24T00:00:00"/>
    <m/>
  </r>
  <r>
    <n v="1818"/>
    <x v="3"/>
    <s v="2xBREATHER LIGHT ON THE PASSENGER SIDE"/>
    <d v="2018-04-26T00:00:00"/>
    <n v="641"/>
  </r>
  <r>
    <n v="1818"/>
    <x v="6"/>
    <s v="UPPER STACK MOUNT LOOSE ON DRIVERS SIDE"/>
    <d v="2018-04-27T00:00:00"/>
    <n v="640"/>
  </r>
  <r>
    <n v="1818"/>
    <x v="3"/>
    <s v="LIGHT OUT IN DRIVERS SIDE AIR BREATHER"/>
    <d v="2018-05-18T00:00:00"/>
    <m/>
  </r>
  <r>
    <n v="1818"/>
    <x v="1"/>
    <s v="3.5MM AUXILLARY POWER OUTLET IN STEREO IS BROKEN PLEASE REPLACE"/>
    <d v="2018-04-05T00:00:00"/>
    <n v="662"/>
  </r>
  <r>
    <n v="1818"/>
    <x v="16"/>
    <s v="windsheild wiper resevior is leaking"/>
    <d v="2018-06-07T00:00:00"/>
    <n v="599"/>
  </r>
  <r>
    <n v="1824"/>
    <x v="3"/>
    <s v="right tail light out"/>
    <d v="2017-04-05T00:00:00"/>
    <n v="1027"/>
  </r>
  <r>
    <n v="1824"/>
    <x v="2"/>
    <s v="passenger side window would not go up. Driver did eventually get it up but very slow and after multiple tries."/>
    <d v="2017-04-05T00:00:00"/>
    <n v="1027"/>
  </r>
  <r>
    <n v="1824"/>
    <x v="2"/>
    <s v="needs drivers side window replaced"/>
    <d v="2017-04-01T00:00:00"/>
    <n v="1031"/>
  </r>
  <r>
    <n v="1824"/>
    <x v="20"/>
    <s v="air leak on supply line at glad hand"/>
    <d v="2017-05-10T00:00:00"/>
    <n v="992"/>
  </r>
  <r>
    <n v="1824"/>
    <x v="3"/>
    <s v="visor light out"/>
    <d v="2017-05-16T00:00:00"/>
    <n v="986"/>
  </r>
  <r>
    <n v="1824"/>
    <x v="27"/>
    <s v="took several attempts to start truck. Driver only had an issue first thing in the morning has started fine since."/>
    <d v="2017-06-01T00:00:00"/>
    <n v="970"/>
  </r>
  <r>
    <n v="1824"/>
    <x v="1"/>
    <s v="broken V clamp"/>
    <d v="2017-06-22T00:00:00"/>
    <n v="949"/>
  </r>
  <r>
    <n v="1824"/>
    <x v="1"/>
    <s v="PLEASE REPLACE BUMPER"/>
    <d v="2017-07-21T00:00:00"/>
    <n v="920"/>
  </r>
  <r>
    <n v="1824"/>
    <x v="1"/>
    <s v="lower lumbar not holding air"/>
    <d v="2017-08-15T00:00:00"/>
    <n v="895"/>
  </r>
  <r>
    <n v="1824"/>
    <x v="10"/>
    <s v="UNEVEN WEAR ON STEER TIRES  pass side 3-4 mm and drivers side 12-13mm"/>
    <d v="2017-09-07T00:00:00"/>
    <n v="872"/>
  </r>
  <r>
    <n v="1824"/>
    <x v="18"/>
    <s v="retorque all axles both sides  "/>
    <d v="2017-09-07T00:00:00"/>
    <n v="872"/>
  </r>
  <r>
    <n v="1824"/>
    <x v="3"/>
    <s v="left low beam light out"/>
    <d v="2017-09-29T00:00:00"/>
    <n v="850"/>
  </r>
  <r>
    <n v="1824"/>
    <x v="16"/>
    <s v="Please Replace Windshield Wipers"/>
    <d v="2017-09-29T00:00:00"/>
    <n v="850"/>
  </r>
  <r>
    <n v="1824"/>
    <x v="1"/>
    <s v="drivers side fuel tank steps has broken welds"/>
    <d v="2017-10-06T00:00:00"/>
    <n v="843"/>
  </r>
  <r>
    <n v="1824"/>
    <x v="23"/>
    <s v="Radiator"/>
    <m/>
    <m/>
  </r>
  <r>
    <n v="1824"/>
    <x v="15"/>
    <s v="glad hand leaking "/>
    <d v="2017-11-01T00:00:00"/>
    <n v="817"/>
  </r>
  <r>
    <n v="1824"/>
    <x v="3"/>
    <s v="light out on pass. Side air filter"/>
    <d v="2017-10-27T00:00:00"/>
    <n v="822"/>
  </r>
  <r>
    <n v="1824"/>
    <x v="5"/>
    <s v="Esbar Cab heater fan and heat not working - driver has checked and removed obstructions but still not working"/>
    <d v="2017-11-01T00:00:00"/>
    <n v="817"/>
  </r>
  <r>
    <n v="1824"/>
    <x v="1"/>
    <s v="driver side seat lumbar not holding air"/>
    <d v="2017-11-06T00:00:00"/>
    <n v="812"/>
  </r>
  <r>
    <n v="1824"/>
    <x v="1"/>
    <s v="driver's side step trim missing rivets"/>
    <d v="2017-11-09T00:00:00"/>
    <n v="809"/>
  </r>
  <r>
    <n v="1824"/>
    <x v="4"/>
    <s v="please check fairing for loose bolts"/>
    <d v="2017-11-09T00:00:00"/>
    <n v="809"/>
  </r>
  <r>
    <n v="1824"/>
    <x v="16"/>
    <s v="drivers side squirter only cleaning lower two thirds of windshield when driving"/>
    <d v="2017-11-20T00:00:00"/>
    <n v="798"/>
  </r>
  <r>
    <n v="1824"/>
    <x v="3"/>
    <s v="drivers side turn signal on mirror not working"/>
    <d v="2017-11-20T00:00:00"/>
    <n v="798"/>
  </r>
  <r>
    <n v="1824"/>
    <x v="0"/>
    <s v="air tanks completely empty after being parked overnight"/>
    <d v="2017-11-28T00:00:00"/>
    <n v="790"/>
  </r>
  <r>
    <n v="1824"/>
    <x v="23"/>
    <s v="coolant warning light coming on in morning but fluid resivior full"/>
    <d v="2017-11-28T00:00:00"/>
    <n v="790"/>
  </r>
  <r>
    <n v="1824"/>
    <x v="18"/>
    <s v="Retorque all axles both sides"/>
    <d v="2017-11-29T00:00:00"/>
    <n v="789"/>
  </r>
  <r>
    <n v="1824"/>
    <x v="21"/>
    <s v="Growl in engine when coasting and not demanding power - This is likely a ride height issue"/>
    <d v="2017-12-06T00:00:00"/>
    <n v="782"/>
  </r>
  <r>
    <n v="1824"/>
    <x v="16"/>
    <s v="WASHER SQUIRTER ON DRIVER'S SIDE NOT COVERING ENTIRE WINDSHIELD - ONLY CLEANS BOTTTOM HALF OF WINDSHEILD"/>
    <d v="2017-12-11T00:00:00"/>
    <n v="777"/>
  </r>
  <r>
    <n v="1824"/>
    <x v="1"/>
    <s v="cb Radio not working   "/>
    <d v="2017-12-11T00:00:00"/>
    <n v="777"/>
  </r>
  <r>
    <n v="1824"/>
    <x v="19"/>
    <s v="Switch in cab for lift axle not working"/>
    <d v="2017-10-23T00:00:00"/>
    <n v="826"/>
  </r>
  <r>
    <n v="1825"/>
    <x v="11"/>
    <s v="heat not working on right side convex mirror"/>
    <d v="2017-01-17T00:00:00"/>
    <n v="1105"/>
  </r>
  <r>
    <n v="1825"/>
    <x v="3"/>
    <s v="DRIVERS SIDE HEAD LIGHT OUT"/>
    <d v="2017-07-17T00:00:00"/>
    <n v="924"/>
  </r>
  <r>
    <n v="1825"/>
    <x v="10"/>
    <s v="DRIVER SIDE STEER TIRE HAS HEAVY WEAR ON OUTSIDE EDGE OF TIRE"/>
    <d v="2017-07-21T00:00:00"/>
    <n v="920"/>
  </r>
  <r>
    <n v="1825"/>
    <x v="1"/>
    <s v="doors not locking/unlocking with key"/>
    <d v="2017-03-10T00:00:00"/>
    <n v="1053"/>
  </r>
  <r>
    <n v="1825"/>
    <x v="3"/>
    <s v="AUX. switch for under cab and fender lights burnt out."/>
    <d v="2017-03-10T00:00:00"/>
    <n v="1053"/>
  </r>
  <r>
    <n v="1825"/>
    <x v="2"/>
    <s v="driver has removed the low view window on the passenger side to get into the truck this will need to be replaced"/>
    <d v="2017-03-29T00:00:00"/>
    <n v="1034"/>
  </r>
  <r>
    <n v="1825"/>
    <x v="3"/>
    <s v="2 visor lights out"/>
    <d v="2017-03-24T00:00:00"/>
    <n v="1039"/>
  </r>
  <r>
    <n v="1825"/>
    <x v="1"/>
    <s v="the nuts on the top and bottom of the power mirrors on both side have loosened off. Drivers has tightened them but please check."/>
    <d v="2017-03-24T00:00:00"/>
    <n v="1039"/>
  </r>
  <r>
    <n v="1818"/>
    <x v="3"/>
    <s v="bottom breather lights out…both sides…shorting on and off..please replace"/>
    <d v="2018-06-08T00:00:00"/>
    <n v="598"/>
  </r>
  <r>
    <n v="1818"/>
    <x v="3"/>
    <s v="passenger side head light out (low beam)"/>
    <d v="2018-06-20T00:00:00"/>
    <n v="586"/>
  </r>
  <r>
    <n v="1818"/>
    <x v="5"/>
    <s v="AIR CONDITIONER LEAKING INSIDE OF CAB AT CONDENSOR IN PASSENGER SIDE FOOT WELL - THERE IS NO BLOCKAGE AT THE DRAIN HOSES"/>
    <d v="2018-06-29T00:00:00"/>
    <n v="577"/>
  </r>
  <r>
    <n v="1818"/>
    <x v="25"/>
    <s v="PLEASE REPLACED TRAILER END OF YELLOW ELECTRICAL CORD"/>
    <d v="2018-07-06T00:00:00"/>
    <n v="570"/>
  </r>
  <r>
    <n v="1818"/>
    <x v="1"/>
    <s v="DRIVER'S SIDE MUDFLAP BRACKET HAS BROKEN BOLT - BROKEN BY PERTERBILT LONDON"/>
    <d v="2018-06-25T00:00:00"/>
    <n v="581"/>
  </r>
  <r>
    <n v="1818"/>
    <x v="6"/>
    <s v="PLEASE REPLACE UPPER STACK MOUNT ON PASSENGER SIDE - IT IS WORN AND SQUEEKING"/>
    <d v="2018-07-13T00:00:00"/>
    <n v="563"/>
  </r>
  <r>
    <n v="1818"/>
    <x v="19"/>
    <s v="TRUCK LOSES ALL AIR WHEN PARKED OVERNINGHT - CAN HEAR BUT NOT FIND AIR LEAK UNDER CAB"/>
    <d v="2018-07-20T00:00:00"/>
    <n v="556"/>
  </r>
  <r>
    <n v="1818"/>
    <x v="14"/>
    <s v="CEL LIGHT ON AND STAYING ON"/>
    <d v="2018-09-04T00:00:00"/>
    <n v="510"/>
  </r>
  <r>
    <n v="1818"/>
    <x v="16"/>
    <s v="WIPER MOTOR NO LONGER HAS HIGH SPEED"/>
    <d v="2018-09-06T00:00:00"/>
    <n v="508"/>
  </r>
  <r>
    <n v="1818"/>
    <x v="1"/>
    <s v="ANNUAL INSPECTION DUE"/>
    <d v="2018-09-21T00:00:00"/>
    <n v="493"/>
  </r>
  <r>
    <n v="1818"/>
    <x v="18"/>
    <s v="RETORQUE ALL AXLES BOTH SIDES FROM SAFETY"/>
    <d v="2018-09-27T00:00:00"/>
    <n v="487"/>
  </r>
  <r>
    <n v="1818"/>
    <x v="10"/>
    <s v="FLAT TIRE LEFT SIDE INSIDE TIRE"/>
    <d v="2018-10-01T00:00:00"/>
    <n v="483"/>
  </r>
  <r>
    <n v="1825"/>
    <x v="3"/>
    <s v="visor light out - now has 3 visor lights out"/>
    <d v="2017-03-28T00:00:00"/>
    <n v="1035"/>
  </r>
  <r>
    <n v="1825"/>
    <x v="3"/>
    <s v="interrior lights not working when drivers side door open"/>
    <d v="2017-03-31T00:00:00"/>
    <n v="1032"/>
  </r>
  <r>
    <n v="1825"/>
    <x v="16"/>
    <s v="needs wipers replaced"/>
    <d v="2017-04-01T00:00:00"/>
    <m/>
  </r>
  <r>
    <n v="1825"/>
    <x v="5"/>
    <s v="ESBAR heater not working has failed for 2 days straight"/>
    <d v="2017-03-28T00:00:00"/>
    <n v="1035"/>
  </r>
  <r>
    <n v="1825"/>
    <x v="1"/>
    <s v="passenger side door will not close properly - windy in cab"/>
    <d v="2017-04-06T00:00:00"/>
    <n v="1026"/>
  </r>
  <r>
    <n v="1825"/>
    <x v="14"/>
    <s v="Will not start battery seems fine but will not turn over there is also no clicking noise."/>
    <d v="2017-04-11T00:00:00"/>
    <n v="1021"/>
  </r>
  <r>
    <n v="1825"/>
    <x v="3"/>
    <s v="vissor light out"/>
    <d v="2017-05-10T00:00:00"/>
    <n v="992"/>
  </r>
  <r>
    <n v="1825"/>
    <x v="3"/>
    <s v="lic plate light out"/>
    <d v="2017-05-08T00:00:00"/>
    <n v="994"/>
  </r>
  <r>
    <n v="1825"/>
    <x v="3"/>
    <s v="Lic. Plate light out"/>
    <d v="2017-06-02T00:00:00"/>
    <n v="969"/>
  </r>
  <r>
    <n v="1825"/>
    <x v="1"/>
    <s v="door locks not opening with key"/>
    <d v="2017-03-29T00:00:00"/>
    <n v="1034"/>
  </r>
  <r>
    <n v="1825"/>
    <x v="1"/>
    <s v="power locks not working and passenger side door missing manual lock push/pull knob doors locking unlocking with key only "/>
    <d v="2017-05-29T00:00:00"/>
    <n v="973"/>
  </r>
  <r>
    <n v="1825"/>
    <x v="1"/>
    <s v="DRIVER IS STILL HAVING AN ISSUE WITH HOW THIS TRUCK RIDES AND WOULD LIKE A RIDE ALONG WITH JUSTIN - TRUCK RIDES VERY ROUGH"/>
    <d v="2017-07-24T00:00:00"/>
    <n v="917"/>
  </r>
  <r>
    <n v="1825"/>
    <x v="13"/>
    <s v="TRUCK PULLS HARD TO THE RIGHT"/>
    <d v="2017-07-25T00:00:00"/>
    <n v="916"/>
  </r>
  <r>
    <n v="1825"/>
    <x v="10"/>
    <s v="HAD DRIVERS SIDE STEER TIRE REPLACED ROAD SIDE NOW STEER TIRES HAVE UNEVEN TREAD"/>
    <d v="2017-07-24T00:00:00"/>
    <n v="917"/>
  </r>
  <r>
    <n v="1825"/>
    <x v="25"/>
    <s v="NO FREE PLAY AT TOP OF CLUTCH "/>
    <d v="2017-08-04T00:00:00"/>
    <n v="906"/>
  </r>
  <r>
    <n v="1825"/>
    <x v="18"/>
    <s v="RETORQUE STEER TIRES BOTH SIDES"/>
    <d v="2017-08-04T00:00:00"/>
    <n v="906"/>
  </r>
  <r>
    <n v="1825"/>
    <x v="8"/>
    <s v="Driver's door not closing properly"/>
    <d v="2017-08-22T00:00:00"/>
    <n v="0"/>
  </r>
  <r>
    <n v="1825"/>
    <x v="3"/>
    <s v="Right side head light out"/>
    <d v="2017-09-06T00:00:00"/>
    <n v="873"/>
  </r>
  <r>
    <n v="1825"/>
    <x v="3"/>
    <s v="LEFT SIDE TOP BREATHER LIGHT OUT"/>
    <d v="2017-09-08T00:00:00"/>
    <n v="871"/>
  </r>
  <r>
    <n v="1818"/>
    <x v="3"/>
    <s v="BREATHER LIGHT OUT ON DRIVERS SIDE"/>
    <d v="2018-10-05T00:00:00"/>
    <n v="479"/>
  </r>
  <r>
    <n v="1825"/>
    <x v="1"/>
    <s v="MISSISNG STEP RIVETS"/>
    <d v="2017-09-23T00:00:00"/>
    <n v="856"/>
  </r>
  <r>
    <n v="1825"/>
    <x v="18"/>
    <s v="retorque both drive axles both sides"/>
    <d v="2017-09-25T00:00:00"/>
    <n v="854"/>
  </r>
  <r>
    <n v="1825"/>
    <x v="0"/>
    <s v="Supply (RED) line needs replaced it is worn through outer casing in spots and showing mesh. THIS LINE IS NOW LEAKING 10/30/17"/>
    <d v="2017-10-24T00:00:00"/>
    <n v="825"/>
  </r>
  <r>
    <n v="1825"/>
    <x v="15"/>
    <s v="audible air leak under cab…loosing 90psi in 45 minutes"/>
    <d v="2017-10-27T00:00:00"/>
    <n v="822"/>
  </r>
  <r>
    <n v="1818"/>
    <x v="5"/>
    <s v="ESBAR ENGINE EATER NOT WORKING  - CAB HEATER NO LONGER WORKING EITHER"/>
    <d v="2018-10-05T00:00:00"/>
    <n v="479"/>
  </r>
  <r>
    <n v="1818"/>
    <x v="3"/>
    <s v="2 BREATHER LIGHTS OUT 1 ON EACH SIDE"/>
    <d v="2018-10-23T00:00:00"/>
    <n v="461"/>
  </r>
  <r>
    <n v="1818"/>
    <x v="1"/>
    <s v="STABILITY CONTROL WARNING IS DISPLAYED AND ATC LIGHT ON TOGGLE SWITCH"/>
    <d v="2018-11-08T00:00:00"/>
    <n v="445"/>
  </r>
  <r>
    <n v="1818"/>
    <x v="2"/>
    <s v="DRIVERS SIDE WINDOW SLOW TO GO UP "/>
    <d v="2018-11-08T00:00:00"/>
    <n v="445"/>
  </r>
  <r>
    <n v="1642"/>
    <x v="4"/>
    <s v="BOTH HOOD SUPPORT CABLES ARE BROKEN "/>
    <d v="2019-03-18T00:00:00"/>
    <n v="315"/>
  </r>
  <r>
    <n v="1819"/>
    <x v="4"/>
    <s v="Hood hold back CABLE in broken on passenger side"/>
    <d v="2018-01-02T00:00:00"/>
    <n v="755"/>
  </r>
  <r>
    <n v="1819"/>
    <x v="13"/>
    <s v="STABILITY CONTROL LIGHT ON - TRUCK WILL NOT EXCEED 40KPH"/>
    <d v="2018-01-15T00:00:00"/>
    <m/>
  </r>
  <r>
    <n v="1819"/>
    <x v="0"/>
    <s v="BRAKES STICKING AND NOT RELEASING - FIRST THIS ON MONDAY AFTER COLD WEEKEND"/>
    <d v="2018-01-15T00:00:00"/>
    <m/>
  </r>
  <r>
    <n v="1819"/>
    <x v="3"/>
    <s v="VISOR LIGHT OUT"/>
    <d v="2018-02-01T00:00:00"/>
    <n v="725"/>
  </r>
  <r>
    <n v="1819"/>
    <x v="1"/>
    <s v="2 STEP RIVETS MISSING"/>
    <d v="2018-02-01T00:00:00"/>
    <n v="725"/>
  </r>
  <r>
    <n v="1819"/>
    <x v="28"/>
    <s v="back up beeper only works intermittenly but most often does not work - not working at all as of Feb 1st 2018"/>
    <d v="2018-01-31T00:00:00"/>
    <n v="726"/>
  </r>
  <r>
    <n v="1819"/>
    <x v="14"/>
    <s v="TURBO NOT GIVING ENOUGH BOOST "/>
    <d v="2018-02-03T00:00:00"/>
    <m/>
  </r>
  <r>
    <n v="1825"/>
    <x v="25"/>
    <s v="no clutch brake"/>
    <d v="2017-11-02T00:00:00"/>
    <n v="816"/>
  </r>
  <r>
    <n v="1825"/>
    <x v="3"/>
    <s v="passenger side headlight out"/>
    <d v="2017-11-02T00:00:00"/>
    <n v="816"/>
  </r>
  <r>
    <n v="1825"/>
    <x v="3"/>
    <s v="driver's side headlight out"/>
    <d v="2017-11-21T00:00:00"/>
    <n v="797"/>
  </r>
  <r>
    <n v="1825"/>
    <x v="4"/>
    <s v="Please check roof fairing"/>
    <d v="2017-11-11T00:00:00"/>
    <n v="807"/>
  </r>
  <r>
    <n v="1825"/>
    <x v="18"/>
    <s v="retorque all axles both sides from safety"/>
    <d v="2017-12-05T00:00:00"/>
    <n v="783"/>
  </r>
  <r>
    <n v="1825"/>
    <x v="1"/>
    <s v="in between seats is wet but have not been able to locate leak"/>
    <d v="2017-12-05T00:00:00"/>
    <n v="783"/>
  </r>
  <r>
    <n v="1825"/>
    <x v="5"/>
    <s v="Esbar cab heater runs for 3 minutes then shuts down - Drivers has tried several times."/>
    <d v="2017-12-11T00:00:00"/>
    <n v="777"/>
  </r>
  <r>
    <n v="1825"/>
    <x v="16"/>
    <s v="WIPER RESIVIOR MISSING CAP"/>
    <d v="2017-12-11T00:00:00"/>
    <n v="777"/>
  </r>
  <r>
    <n v="1825"/>
    <x v="23"/>
    <s v="coolant leak at engine block firewall side of turbo"/>
    <d v="2017-12-13T00:00:00"/>
    <n v="775"/>
  </r>
  <r>
    <n v="1825"/>
    <x v="16"/>
    <s v="please replace windshieild wipers"/>
    <d v="2017-12-13T00:00:00"/>
    <m/>
  </r>
  <r>
    <n v="1826"/>
    <x v="1"/>
    <s v="step trim has fallen off on drivers side"/>
    <d v="2017-02-03T00:00:00"/>
    <n v="1088"/>
  </r>
  <r>
    <n v="1826"/>
    <x v="20"/>
    <s v="needs blue glad hand replaced it has a broken tip and will not hold to trailer anymore"/>
    <d v="2017-05-19T00:00:00"/>
    <n v="983"/>
  </r>
  <r>
    <n v="1826"/>
    <x v="2"/>
    <s v="drivers side window binding"/>
    <d v="2017-09-29T00:00:00"/>
    <n v="850"/>
  </r>
  <r>
    <n v="1826"/>
    <x v="1"/>
    <s v="left side mudflap hanger damaged and needs replaced"/>
    <d v="2017-02-13T00:00:00"/>
    <n v="1078"/>
  </r>
  <r>
    <n v="1826"/>
    <x v="4"/>
    <s v="drivers side door not closing properly please adjust latch"/>
    <d v="2017-02-16T00:00:00"/>
    <n v="1075"/>
  </r>
  <r>
    <n v="1826"/>
    <x v="1"/>
    <s v="please replace CB antena's with stainless steel. Driver is complaining about lack of range on his CB"/>
    <d v="2017-02-01T00:00:00"/>
    <n v="1090"/>
  </r>
  <r>
    <n v="1826"/>
    <x v="1"/>
    <s v="please replace exhaust clamps with stainless steel ones"/>
    <d v="2017-03-10T00:00:00"/>
    <n v="1053"/>
  </r>
  <r>
    <n v="1826"/>
    <x v="1"/>
    <s v="drivers side door not latching properly "/>
    <d v="2017-04-07T00:00:00"/>
    <n v="1025"/>
  </r>
  <r>
    <n v="1826"/>
    <x v="3"/>
    <s v="2 visor lights out"/>
    <d v="2017-04-13T00:00:00"/>
    <n v="1019"/>
  </r>
  <r>
    <n v="1826"/>
    <x v="25"/>
    <s v="pedal does not completely lift…….cruise and jake will not engage…"/>
    <d v="2017-04-18T00:00:00"/>
    <n v="1014"/>
  </r>
  <r>
    <n v="1826"/>
    <x v="3"/>
    <s v="skirt light out on drivers side"/>
    <d v="2017-05-19T00:00:00"/>
    <n v="983"/>
  </r>
  <r>
    <n v="1826"/>
    <x v="16"/>
    <s v="PLEASE REPLACE WINSHIELD WIPERS"/>
    <d v="2017-06-23T00:00:00"/>
    <n v="948"/>
  </r>
  <r>
    <n v="1826"/>
    <x v="2"/>
    <s v="DRIVERS SIDE WINDOW SLOW TO GO UP"/>
    <d v="2017-06-23T00:00:00"/>
    <n v="948"/>
  </r>
  <r>
    <n v="1826"/>
    <x v="1"/>
    <s v="PLEASE REPLACE BUMPER"/>
    <d v="2017-07-21T00:00:00"/>
    <n v="920"/>
  </r>
  <r>
    <n v="1826"/>
    <x v="6"/>
    <s v="cracked exhaust pipe driver side"/>
    <d v="2017-07-14T00:00:00"/>
    <n v="927"/>
  </r>
  <r>
    <n v="1826"/>
    <x v="8"/>
    <s v="driver seat arm rest not adjusting"/>
    <d v="2017-08-25T00:00:00"/>
    <n v="885"/>
  </r>
  <r>
    <n v="1826"/>
    <x v="3"/>
    <s v="left headlight out"/>
    <d v="2017-09-01T00:00:00"/>
    <n v="878"/>
  </r>
  <r>
    <n v="1826"/>
    <x v="3"/>
    <s v="Licence plate light out"/>
    <d v="2017-09-15T00:00:00"/>
    <n v="864"/>
  </r>
  <r>
    <n v="1826"/>
    <x v="22"/>
    <s v="please check 5th wheel for excessive "/>
    <d v="2017-10-05T00:00:00"/>
    <n v="844"/>
  </r>
  <r>
    <n v="1826"/>
    <x v="0"/>
    <s v="foot valve sticking"/>
    <d v="2017-10-12T00:00:00"/>
    <n v="837"/>
  </r>
  <r>
    <n v="1826"/>
    <x v="18"/>
    <s v="Retorque all axles both sides"/>
    <d v="2017-11-06T00:00:00"/>
    <n v="812"/>
  </r>
  <r>
    <n v="1819"/>
    <x v="0"/>
    <s v="BRAKE PEDAL STICKING AFTER BRAKE APPLICATION "/>
    <d v="2018-02-26T00:00:00"/>
    <n v="700"/>
  </r>
  <r>
    <n v="1819"/>
    <x v="3"/>
    <s v="middle visor light out"/>
    <d v="2018-02-27T00:00:00"/>
    <n v="699"/>
  </r>
  <r>
    <n v="1819"/>
    <x v="0"/>
    <s v="foot valve  sticking"/>
    <d v="2018-03-23T00:00:00"/>
    <n v="675"/>
  </r>
  <r>
    <n v="1819"/>
    <x v="0"/>
    <s v="FOOT VALVE STICKING"/>
    <d v="2018-03-23T00:00:00"/>
    <n v="675"/>
  </r>
  <r>
    <n v="1819"/>
    <x v="3"/>
    <s v="driver side visor light out"/>
    <d v="2018-03-27T00:00:00"/>
    <n v="671"/>
  </r>
  <r>
    <n v="1819"/>
    <x v="14"/>
    <s v="RADIATOR NEEDS REPLACED - CHECKED BY PETERBILT WHITBY"/>
    <d v="2018-05-02T00:00:00"/>
    <n v="635"/>
  </r>
  <r>
    <n v="1819"/>
    <x v="14"/>
    <s v="CHECK ENGINE LIGHT ON - DRIVER CALLED PHONE NUMBER ON DASH AND WAS TOLD TO HAVE THE UNIT LOOKED AT"/>
    <d v="2018-05-22T00:00:00"/>
    <n v="615"/>
  </r>
  <r>
    <n v="1819"/>
    <x v="2"/>
    <s v="DRIVER'S SIDE WINDOW SWITCH NOT WORKING"/>
    <d v="2018-05-24T00:00:00"/>
    <n v="613"/>
  </r>
  <r>
    <n v="1819"/>
    <x v="1"/>
    <s v="GPS needs to be updated if possible."/>
    <d v="2018-04-04T00:00:00"/>
    <n v="663"/>
  </r>
  <r>
    <n v="1819"/>
    <x v="14"/>
    <s v="CEL light on."/>
    <d v="2018-06-05T00:00:00"/>
    <n v="601"/>
  </r>
  <r>
    <n v="1819"/>
    <x v="20"/>
    <s v="crack in air line for red glad hand, also please change for aluminum handles"/>
    <d v="2018-06-13T00:00:00"/>
    <n v="593"/>
  </r>
  <r>
    <n v="1819"/>
    <x v="4"/>
    <s v="CARPET VERY WET IN BETWEEN THE SEATS"/>
    <d v="2018-06-06T00:00:00"/>
    <n v="600"/>
  </r>
  <r>
    <n v="1819"/>
    <x v="14"/>
    <s v="engine light on…"/>
    <d v="2018-06-15T00:00:00"/>
    <n v="591"/>
  </r>
  <r>
    <n v="1819"/>
    <x v="1"/>
    <s v="CARPET STILL WET ON PASSENGER SIDE - BACK OF CAB LLIGHTS HAVE ALREADY BEEN RESEALED"/>
    <d v="2018-07-03T00:00:00"/>
    <n v="573"/>
  </r>
  <r>
    <n v="1819"/>
    <x v="18"/>
    <s v="RIGHT SIDE HUB SEAL LEAKING"/>
    <d v="2018-07-20T00:00:00"/>
    <n v="556"/>
  </r>
  <r>
    <n v="1819"/>
    <x v="14"/>
    <s v="CEL LIGHT ON."/>
    <d v="2018-07-25T00:00:00"/>
    <n v="551"/>
  </r>
  <r>
    <n v="1819"/>
    <x v="5"/>
    <s v="Both ESBAR heaters failed to start  - SPOKE WITH DRIVER IN CAB HEATER WORKING FINE JAN 22, 2018 - CAB HEATER ERROR MESSAGE 2/5/2018"/>
    <d v="2017-12-27T00:00:00"/>
    <n v="761"/>
  </r>
  <r>
    <n v="1819"/>
    <x v="1"/>
    <s v="CARPET ON PASSENGER SIDE IS STILL WET - I KNOW THE LIGHTS ON THE BACK OF THE CAB WERE REPLACED A MONTH AGO BUT IT DID NOT SOLVE THE PROBLEM"/>
    <d v="2018-07-26T00:00:00"/>
    <n v="550"/>
  </r>
  <r>
    <n v="1819"/>
    <x v="4"/>
    <s v="PASSENGER SIDE DOOR VERY DIFFICULT TO CLOSE AND WILL NOT LOCK"/>
    <d v="2018-08-07T00:00:00"/>
    <n v="538"/>
  </r>
  <r>
    <n v="1819"/>
    <x v="1"/>
    <s v="bose seat not going up or down"/>
    <d v="2018-08-21T00:00:00"/>
    <n v="524"/>
  </r>
  <r>
    <n v="1819"/>
    <x v="22"/>
    <s v="5th wheel loose"/>
    <d v="2018-08-30T00:00:00"/>
    <n v="515"/>
  </r>
  <r>
    <n v="1819"/>
    <x v="1"/>
    <s v="ANNUAL INSPECTION DUE"/>
    <d v="2018-09-21T00:00:00"/>
    <n v="493"/>
  </r>
  <r>
    <n v="1819"/>
    <x v="5"/>
    <s v="ESBAR heater has no power at programmer. Heater not working"/>
    <d v="2018-09-24T00:00:00"/>
    <n v="490"/>
  </r>
  <r>
    <n v="1819"/>
    <x v="18"/>
    <s v="RETORQUE ALL AXLES BOTH SIDES FROM SAFETY"/>
    <d v="2018-09-27T00:00:00"/>
    <n v="487"/>
  </r>
  <r>
    <n v="1819"/>
    <x v="5"/>
    <s v="SOUNDS LIKE DRIVER FLOODED UNIT BY DRIVING WHILE UNIT WAS RUNNING"/>
    <d v="2018-10-02T00:00:00"/>
    <n v="482"/>
  </r>
  <r>
    <n v="1819"/>
    <x v="3"/>
    <s v="DRIVER SIDE BREATHER LIGHT OUT - 3RD FROM TOP"/>
    <d v="2018-10-03T00:00:00"/>
    <n v="481"/>
  </r>
  <r>
    <n v="1819"/>
    <x v="3"/>
    <s v="BREATHER LIGHT OUT ON DRIVER'S SIDE"/>
    <d v="2018-10-16T00:00:00"/>
    <n v="468"/>
  </r>
  <r>
    <n v="1826"/>
    <x v="14"/>
    <s v="stop engine light on"/>
    <d v="2017-11-10T00:00:00"/>
    <n v="808"/>
  </r>
  <r>
    <n v="1826"/>
    <x v="18"/>
    <s v="retorque rear drive axle and left side front drive axle"/>
    <d v="2017-11-25T00:00:00"/>
    <n v="793"/>
  </r>
  <r>
    <n v="1826"/>
    <x v="14"/>
    <s v="CEL light on"/>
    <d v="2017-11-28T00:00:00"/>
    <n v="790"/>
  </r>
  <r>
    <n v="1826"/>
    <x v="16"/>
    <s v="please replace windshieild wipers"/>
    <d v="2017-12-13T00:00:00"/>
    <m/>
  </r>
  <r>
    <n v="1826"/>
    <x v="25"/>
    <s v="PLEASE ADJUST CLUTCH"/>
    <d v="2017-12-19T00:00:00"/>
    <m/>
  </r>
  <r>
    <n v="1826"/>
    <x v="23"/>
    <s v="COOLANT LEAK ON DRIVERS SIDE OF ENGINE NEAR RADIATOR"/>
    <d v="2017-12-15T00:00:00"/>
    <n v="773"/>
  </r>
  <r>
    <n v="1827"/>
    <x v="3"/>
    <s v="visor light out on left side"/>
    <d v="2017-02-24T00:00:00"/>
    <n v="1067"/>
  </r>
  <r>
    <n v="1827"/>
    <x v="3"/>
    <s v="multiple visor lights out IT LOOKS LIKE 1 VISOR LIGHT WAS RELACED ON THE WEEKEND IT WAS NOT THE LIGHT THAT WAS OUT BUT STILL THE ONE THAT WAS PUT IN IS NOT WORKING"/>
    <d v="2017-02-27T00:00:00"/>
    <n v="1064"/>
  </r>
  <r>
    <n v="1827"/>
    <x v="15"/>
    <s v="there is a leaking air line at firewall on drivers side at airline cluster plate. This leak exceeds air loss rate and is a major defect."/>
    <d v="2017-03-01T00:00:00"/>
    <n v="1062"/>
  </r>
  <r>
    <n v="1827"/>
    <x v="21"/>
    <s v="bad vibration coming from drive line….also humming noise"/>
    <d v="2017-10-27T00:00:00"/>
    <n v="822"/>
  </r>
  <r>
    <n v="1827"/>
    <x v="3"/>
    <s v="visor light out"/>
    <d v="2017-02-16T00:00:00"/>
    <n v="1075"/>
  </r>
  <r>
    <n v="1827"/>
    <x v="0"/>
    <s v="right rear brake chamber leaking air"/>
    <d v="2017-03-03T00:00:00"/>
    <n v="1060"/>
  </r>
  <r>
    <n v="1827"/>
    <x v="3"/>
    <s v="visor light out"/>
    <d v="2017-03-15T00:00:00"/>
    <n v="1048"/>
  </r>
  <r>
    <n v="1827"/>
    <x v="16"/>
    <s v="needs wipers replaced"/>
    <d v="2017-04-01T00:00:00"/>
    <m/>
  </r>
  <r>
    <n v="1827"/>
    <x v="6"/>
    <s v="replace old exhaust clamps with stainless steel"/>
    <d v="2017-04-05T00:00:00"/>
    <n v="1027"/>
  </r>
  <r>
    <n v="1827"/>
    <x v="10"/>
    <s v="uneven wear on steer tires and rear axle tires - truck may need an alighnment"/>
    <d v="2017-03-30T00:00:00"/>
    <n v="1033"/>
  </r>
  <r>
    <n v="1827"/>
    <x v="21"/>
    <s v="truck shakes when driving - truck may need an alighnment"/>
    <d v="2017-03-30T00:00:00"/>
    <n v="1033"/>
  </r>
  <r>
    <n v="1827"/>
    <x v="3"/>
    <s v="tail light out"/>
    <d v="2017-04-25T00:00:00"/>
    <n v="1007"/>
  </r>
  <r>
    <n v="1827"/>
    <x v="3"/>
    <s v="center visor light out"/>
    <d v="2017-04-27T00:00:00"/>
    <n v="1005"/>
  </r>
  <r>
    <n v="1827"/>
    <x v="4"/>
    <s v="drivers side door not closing properly"/>
    <d v="2017-05-03T00:00:00"/>
    <n v="999"/>
  </r>
  <r>
    <n v="1827"/>
    <x v="21"/>
    <s v="vibration at end of power stoke sounds like a grinding noise"/>
    <d v="2017-04-10T00:00:00"/>
    <n v="1022"/>
  </r>
  <r>
    <n v="1827"/>
    <x v="10"/>
    <s v="steer tires down to wear bars."/>
    <d v="2017-05-03T00:00:00"/>
    <n v="999"/>
  </r>
  <r>
    <n v="1827"/>
    <x v="18"/>
    <s v="RETORQUE STEER AXLE BOTH SIDES FROM TIRE REPAIR DONE ON JULY LONG WEEKEND"/>
    <d v="2017-07-04T00:00:00"/>
    <n v="937"/>
  </r>
  <r>
    <n v="1827"/>
    <x v="10"/>
    <s v="rear axle tires at 3-4mm"/>
    <d v="2017-07-20T00:00:00"/>
    <n v="921"/>
  </r>
  <r>
    <n v="1827"/>
    <x v="19"/>
    <s v="LEVELING VALVE LEAKING"/>
    <d v="2017-08-18T00:00:00"/>
    <n v="892"/>
  </r>
  <r>
    <n v="1827"/>
    <x v="1"/>
    <s v="BLUE COOLANT HOSE NEAR THAT CONNECTS UPPER RAD HOSE TO WATER PUMP IS LEAKING"/>
    <d v="2017-08-18T00:00:00"/>
    <n v="892"/>
  </r>
  <r>
    <n v="1827"/>
    <x v="1"/>
    <s v="Engine brake and cruise control not working"/>
    <d v="2017-09-18T00:00:00"/>
    <n v="861"/>
  </r>
  <r>
    <n v="1827"/>
    <x v="1"/>
    <s v="coaxle cable for CB broken on passenger side mirror"/>
    <d v="2017-09-18T00:00:00"/>
    <n v="861"/>
  </r>
  <r>
    <n v="1819"/>
    <x v="3"/>
    <s v="BREATHER LIGHT OUT ON DRIVERS SIDE."/>
    <d v="2018-10-29T00:00:00"/>
    <n v="455"/>
  </r>
  <r>
    <n v="1819"/>
    <x v="25"/>
    <s v="CLUTCH ADJUSTMENT NEEDED"/>
    <d v="2018-11-07T00:00:00"/>
    <n v="446"/>
  </r>
  <r>
    <n v="1819"/>
    <x v="23"/>
    <s v="DRIVER HAS ADDED 4 LITRES OF COOLANT THIS WEEK"/>
    <d v="2018-11-07T00:00:00"/>
    <n v="446"/>
  </r>
  <r>
    <n v="1819"/>
    <x v="19"/>
    <s v="truck not sitting level….pass side lower than driver side"/>
    <d v="2018-11-21T00:00:00"/>
    <n v="432"/>
  </r>
  <r>
    <n v="1819"/>
    <x v="19"/>
    <s v="LEVELING VALVE ARM VERY LOOSE - HAVE TO PUSH ON ARM TO STOP VALVE FROM LEAKING"/>
    <d v="2018-11-26T00:00:00"/>
    <n v="427"/>
  </r>
  <r>
    <n v="1819"/>
    <x v="19"/>
    <s v="AIR LINE TO DRIVER'S SIDE REAR AIRBAG IS VERY FRAGILE AND NEEDS TO BE REPLACED - THIS TRUCK HAD THE AIRBAG REPAIRED AS A BREAK DOWN TODAY AND THE TECH TOLD SAID TO HAVE THE LINE REPLACED ASAP."/>
    <d v="2018-11-27T00:00:00"/>
    <n v="426"/>
  </r>
  <r>
    <n v="1819"/>
    <x v="0"/>
    <s v="BRAKE FOOT PEDAL STICKING WHEN APPLYING BRAKES"/>
    <d v="2018-11-27T00:00:00"/>
    <n v="426"/>
  </r>
  <r>
    <n v="1819"/>
    <x v="0"/>
    <s v="AIR LEAK IN RED SUPPLY LINE AT CONNECTION TO GLAD HAND"/>
    <d v="2018-12-07T00:00:00"/>
    <n v="416"/>
  </r>
  <r>
    <n v="1819"/>
    <x v="4"/>
    <s v="DRIVER'S SIDE DOOR WILL NOT CLOSE - LATCH IS STICKING AND NEED REPLACED"/>
    <d v="2018-12-28T00:00:00"/>
    <n v="395"/>
  </r>
  <r>
    <n v="1819"/>
    <x v="19"/>
    <s v="PASSENGER SIDE AIR BAG ON THE FRONT DRIVE IS BLOWN"/>
    <d v="2018-12-29T00:00:00"/>
    <n v="394"/>
  </r>
  <r>
    <n v="1642"/>
    <x v="0"/>
    <s v="ABS NOT WORKING - HAVE TO PUSH BRAKE ALL THE WAY TO THE FLOOR TO STOP VEHICLE"/>
    <d v="2019-03-05T00:00:00"/>
    <n v="328"/>
  </r>
  <r>
    <n v="1820"/>
    <x v="23"/>
    <s v="coolant leak from lower RAD hose on bottom right side of motor where rubber meets metal."/>
    <d v="2018-01-26T00:00:00"/>
    <n v="731"/>
  </r>
  <r>
    <n v="1820"/>
    <x v="3"/>
    <s v="2 - visor lights out"/>
    <d v="2018-01-31T00:00:00"/>
    <n v="726"/>
  </r>
  <r>
    <n v="1827"/>
    <x v="14"/>
    <s v="CEL light on"/>
    <d v="2017-09-29T00:00:00"/>
    <n v="850"/>
  </r>
  <r>
    <n v="1827"/>
    <x v="18"/>
    <s v="retorque all axles from safety"/>
    <d v="2017-10-23T00:00:00"/>
    <n v="826"/>
  </r>
  <r>
    <n v="1827"/>
    <x v="8"/>
    <s v="truck not activating reversomatic"/>
    <d v="2017-10-25T00:00:00"/>
    <n v="824"/>
  </r>
  <r>
    <n v="1827"/>
    <x v="4"/>
    <s v="bottom bolts on wind deflector loose…shakes against the cab"/>
    <d v="2017-10-27T00:00:00"/>
    <n v="822"/>
  </r>
  <r>
    <n v="1827"/>
    <x v="3"/>
    <s v="passenger side headlight out"/>
    <d v="2017-11-02T00:00:00"/>
    <n v="816"/>
  </r>
  <r>
    <n v="1827"/>
    <x v="14"/>
    <s v="amber CEL Light on"/>
    <d v="2017-11-06T00:00:00"/>
    <n v="812"/>
  </r>
  <r>
    <n v="1827"/>
    <x v="4"/>
    <s v="Please check roof fairing"/>
    <m/>
    <m/>
  </r>
  <r>
    <n v="1827"/>
    <x v="23"/>
    <s v="Radiator has slow coolant leak"/>
    <m/>
    <m/>
  </r>
  <r>
    <n v="1820"/>
    <x v="1"/>
    <s v="missing step rivets"/>
    <d v="2018-01-31T00:00:00"/>
    <n v="726"/>
  </r>
  <r>
    <n v="1827"/>
    <x v="20"/>
    <s v="AIR LINES AND ELECTRICAL LINES NEED TO BE RE-WRAPPED"/>
    <d v="2017-12-13T00:00:00"/>
    <n v="775"/>
  </r>
  <r>
    <n v="1827"/>
    <x v="1"/>
    <s v="TRUCK LOOSES ALL AIR WHEN PARKED OVERNIGHT"/>
    <d v="2017-12-13T00:00:00"/>
    <n v="775"/>
  </r>
  <r>
    <n v="1827"/>
    <x v="16"/>
    <s v="please replace windshieild wipers"/>
    <d v="2017-12-13T00:00:00"/>
    <m/>
  </r>
  <r>
    <n v="1827"/>
    <x v="3"/>
    <s v="VISOR LIGHT OUT"/>
    <d v="2017-12-20T00:00:00"/>
    <n v="768"/>
  </r>
  <r>
    <n v="1827"/>
    <x v="0"/>
    <s v="BRAKE PEDAL STICKING"/>
    <d v="2017-12-21T00:00:00"/>
    <n v="767"/>
  </r>
  <r>
    <n v="1828"/>
    <x v="1"/>
    <s v="no dash lights - nav screen working"/>
    <d v="2017-02-10T00:00:00"/>
    <n v="1081"/>
  </r>
  <r>
    <n v="1828"/>
    <x v="11"/>
    <s v="mirrors have no power and no heat"/>
    <d v="2017-02-14T00:00:00"/>
    <n v="1077"/>
  </r>
  <r>
    <n v="1828"/>
    <x v="4"/>
    <s v="drvers side door not closing properly, driver had a very diffucult time getting it closed and called ARYSHOP for assistance. Drivers door did close but is still broken driver is using passenger side door."/>
    <d v="2017-02-23T00:00:00"/>
    <n v="1068"/>
  </r>
  <r>
    <n v="1820"/>
    <x v="5"/>
    <s v="ESBAR Cab heater would not start from programming over night - when driver started heater manually his Cab back filled with smoke"/>
    <d v="2017-12-28T00:00:00"/>
    <n v="760"/>
  </r>
  <r>
    <n v="1820"/>
    <x v="5"/>
    <s v="ESBAR Engine Heater will not start from programming on cold nights."/>
    <d v="2017-12-28T00:00:00"/>
    <n v="760"/>
  </r>
  <r>
    <n v="1820"/>
    <x v="3"/>
    <s v="1 x lower left auxillary light out"/>
    <d v="2018-02-06T00:00:00"/>
    <n v="720"/>
  </r>
  <r>
    <n v="1820"/>
    <x v="25"/>
    <s v="CLUTCH PEDAL SWITCH NOT DISENGAUGING CRUISE OR ENGINE BRAKE"/>
    <d v="2018-02-12T00:00:00"/>
    <n v="714"/>
  </r>
  <r>
    <n v="1820"/>
    <x v="5"/>
    <s v="ESBAR ENGINE AND CAB HEATERS NOT WORKING"/>
    <d v="2018-02-06T00:00:00"/>
    <n v="720"/>
  </r>
  <r>
    <n v="1820"/>
    <x v="18"/>
    <s v="DRIVER'S SIDE WINDOW SLOW TO LOWER AND RAISE"/>
    <d v="2018-02-27T00:00:00"/>
    <n v="699"/>
  </r>
  <r>
    <n v="1828"/>
    <x v="3"/>
    <s v="visor light out"/>
    <d v="2017-02-28T00:00:00"/>
    <n v="1063"/>
  </r>
  <r>
    <n v="1828"/>
    <x v="14"/>
    <s v="truck using coolant driver adding 1-2 liters every couple of weeks resivior will drain below minimum level. No visible pooling or leaking"/>
    <d v="2017-02-28T00:00:00"/>
    <n v="1063"/>
  </r>
  <r>
    <n v="1828"/>
    <x v="3"/>
    <s v="auxillary lights under cab and on air breathers not working on both sides"/>
    <d v="2017-03-03T00:00:00"/>
    <n v="1060"/>
  </r>
  <r>
    <n v="1828"/>
    <x v="4"/>
    <s v=" right retension cable for hood broken"/>
    <d v="2017-02-28T00:00:00"/>
    <n v="1063"/>
  </r>
  <r>
    <n v="1828"/>
    <x v="4"/>
    <s v="left retension cable broken for hood"/>
    <d v="2017-03-14T00:00:00"/>
    <n v="1049"/>
  </r>
  <r>
    <n v="1828"/>
    <x v="1"/>
    <s v="needs step trim re-attached"/>
    <d v="2017-04-01T00:00:00"/>
    <m/>
  </r>
  <r>
    <n v="1828"/>
    <x v="16"/>
    <s v="needs wipers replaced"/>
    <d v="2017-04-01T00:00:00"/>
    <m/>
  </r>
  <r>
    <n v="1828"/>
    <x v="23"/>
    <s v="truck is leaking coolant and has coolant pooloing near bottom of rad when parked."/>
    <d v="2017-05-08T00:00:00"/>
    <n v="994"/>
  </r>
  <r>
    <n v="1828"/>
    <x v="23"/>
    <s v="COOLANT PUDDLE UNDER TRUCK MONDAY MORNING 7/10/17"/>
    <d v="2017-07-10T00:00:00"/>
    <n v="931"/>
  </r>
  <r>
    <n v="1828"/>
    <x v="1"/>
    <s v="DECK PLATE BEHIND CAB LOOSE"/>
    <d v="2017-06-23T00:00:00"/>
    <n v="948"/>
  </r>
  <r>
    <n v="1828"/>
    <x v="8"/>
    <s v="pass side door latch not working"/>
    <d v="2017-08-25T00:00:00"/>
    <n v="885"/>
  </r>
  <r>
    <n v="1828"/>
    <x v="8"/>
    <s v="driver side steer tire worn unevenly"/>
    <d v="2017-08-25T00:00:00"/>
    <n v="885"/>
  </r>
  <r>
    <n v="1828"/>
    <x v="8"/>
    <s v="pass door will not close"/>
    <d v="2017-08-31T00:00:00"/>
    <n v="879"/>
  </r>
  <r>
    <n v="1828"/>
    <x v="18"/>
    <s v="retorque all axles both sides from safety"/>
    <d v="2017-09-25T00:00:00"/>
    <n v="854"/>
  </r>
  <r>
    <n v="1828"/>
    <x v="1"/>
    <s v="air leak under cab"/>
    <d v="2017-10-25T00:00:00"/>
    <n v="824"/>
  </r>
  <r>
    <n v="1828"/>
    <x v="3"/>
    <s v="1 breather light out on the right side."/>
    <d v="2017-10-26T00:00:00"/>
    <n v="823"/>
  </r>
  <r>
    <n v="1828"/>
    <x v="3"/>
    <s v="right side head light out"/>
    <d v="2017-11-10T00:00:00"/>
    <n v="808"/>
  </r>
  <r>
    <n v="1828"/>
    <x v="10"/>
    <s v="steer tires L/S 5/32 - R/S 8/32 rear drive axle tires L/S 3/32( o/s) - 5/32 (i/s) R/S 6/32(o/s) 7/32(i/s) "/>
    <d v="2017-11-01T00:00:00"/>
    <n v="817"/>
  </r>
  <r>
    <n v="1828"/>
    <x v="4"/>
    <s v="driver's side door pops partially open occasionally"/>
    <d v="2017-11-06T00:00:00"/>
    <n v="812"/>
  </r>
  <r>
    <n v="1828"/>
    <x v="4"/>
    <s v="Please check roof fairing"/>
    <m/>
    <m/>
  </r>
  <r>
    <n v="1820"/>
    <x v="23"/>
    <s v="COOLANT LEAK UNDER CAB ON PASSENGER SIDE"/>
    <d v="2018-02-27T00:00:00"/>
    <n v="699"/>
  </r>
  <r>
    <n v="1820"/>
    <x v="25"/>
    <s v="SWITCH ON CLUTCH TO DISENGAGE ENGINE BRAKE AND CRUISE CONTROL NOT WORKING"/>
    <d v="2018-02-27T00:00:00"/>
    <n v="699"/>
  </r>
  <r>
    <n v="1820"/>
    <x v="3"/>
    <s v="LIC. PLATE LIGHT OUT"/>
    <d v="2018-02-28T00:00:00"/>
    <n v="698"/>
  </r>
  <r>
    <n v="1820"/>
    <x v="3"/>
    <s v="left side marker light out on visor"/>
    <d v="2018-03-15T00:00:00"/>
    <n v="683"/>
  </r>
  <r>
    <n v="1828"/>
    <x v="18"/>
    <s v="retorque rear and steer axles from tire replacement"/>
    <d v="2017-11-11T00:00:00"/>
    <n v="807"/>
  </r>
  <r>
    <n v="1828"/>
    <x v="11"/>
    <s v="no power mirrors and no defog. This has been working intermitttenly. Generally won't work in morning then if fine by afternoon."/>
    <d v="2017-11-17T00:00:00"/>
    <n v="801"/>
  </r>
  <r>
    <n v="1828"/>
    <x v="3"/>
    <s v="Lic. Plate light out"/>
    <d v="2017-11-27T00:00:00"/>
    <n v="791"/>
  </r>
  <r>
    <n v="1828"/>
    <x v="20"/>
    <s v="please check yellow power cord for power "/>
    <d v="2017-11-28T00:00:00"/>
    <n v="790"/>
  </r>
  <r>
    <n v="1820"/>
    <x v="3"/>
    <s v="low beam out"/>
    <d v="2018-03-30T00:00:00"/>
    <n v="668"/>
  </r>
  <r>
    <n v="1820"/>
    <x v="3"/>
    <s v="2x visor light out"/>
    <d v="2018-03-27T00:00:00"/>
    <n v="671"/>
  </r>
  <r>
    <n v="1820"/>
    <x v="3"/>
    <s v="Left side visor light out"/>
    <d v="2018-04-16T00:00:00"/>
    <n v="651"/>
  </r>
  <r>
    <n v="1828"/>
    <x v="3"/>
    <s v="top breather light on both sides are out."/>
    <d v="2017-11-27T00:00:00"/>
    <n v="791"/>
  </r>
  <r>
    <n v="1828"/>
    <x v="3"/>
    <s v="driver's side head light out"/>
    <d v="2017-12-06T00:00:00"/>
    <m/>
  </r>
  <r>
    <n v="1828"/>
    <x v="3"/>
    <s v="HEAD LIGHT OUT"/>
    <m/>
    <m/>
  </r>
  <r>
    <n v="1828"/>
    <x v="3"/>
    <s v="YELLOW POWER CORD WAS REPAIRED ON WEEKEND BUT NOW AUXILLARY SWITCH IN CAB FOR TRAILER LIGHTS HAS NO POWER AT ALL AND INTERIOR LIGHTS IN TRAILER NOT WORKING"/>
    <d v="2017-12-04T00:00:00"/>
    <n v="784"/>
  </r>
  <r>
    <n v="1828"/>
    <x v="15"/>
    <s v="AIR LINES TOO LONG AND RUBBING ON FENDER. ELECTRICAL LINES ARE FINE"/>
    <d v="2017-12-08T00:00:00"/>
    <n v="780"/>
  </r>
  <r>
    <n v="1828"/>
    <x v="4"/>
    <s v="SOMETHING LOOSE AND RATLLING INSIDE DRIVERS SIDE DOOR"/>
    <d v="2017-12-08T00:00:00"/>
    <n v="780"/>
  </r>
  <r>
    <n v="1828"/>
    <x v="16"/>
    <s v="please replace windshieild wipers"/>
    <d v="2017-12-13T00:00:00"/>
    <m/>
  </r>
  <r>
    <n v="1829"/>
    <x v="20"/>
    <s v="YELLOW ELECTRICAL RECEPTICAL BROKEN ON TRACTOR "/>
    <d v="2017-07-24T00:00:00"/>
    <n v="917"/>
  </r>
  <r>
    <n v="1829"/>
    <x v="3"/>
    <s v="back of cab light out"/>
    <d v="2017-05-05T00:00:00"/>
    <n v="997"/>
  </r>
  <r>
    <n v="1829"/>
    <x v="10"/>
    <s v="FLAT TIRE RIGHT FRONT DRIVE"/>
    <d v="2017-07-25T00:00:00"/>
    <n v="916"/>
  </r>
  <r>
    <n v="1829"/>
    <x v="18"/>
    <s v="RETORQUE RIGHT FRONT DRIVE AXLE"/>
    <d v="2017-07-26T00:00:00"/>
    <n v="915"/>
  </r>
  <r>
    <n v="1829"/>
    <x v="3"/>
    <s v="visor light out far right side"/>
    <d v="2017-02-08T00:00:00"/>
    <n v="1083"/>
  </r>
  <r>
    <n v="1829"/>
    <x v="4"/>
    <s v="drivers side door not closing properly please adjust latch"/>
    <d v="2017-02-17T00:00:00"/>
    <n v="1074"/>
  </r>
  <r>
    <n v="1820"/>
    <x v="3"/>
    <s v="ALL VISOR LIGHTS ON AND OFF - LEFT VISOR LIGHT OUT AT THE MOMENT"/>
    <d v="2018-04-23T00:00:00"/>
    <n v="644"/>
  </r>
  <r>
    <n v="1820"/>
    <x v="3"/>
    <s v="RIGHT TAIL LIGHT OUT"/>
    <d v="2018-05-02T00:00:00"/>
    <n v="635"/>
  </r>
  <r>
    <n v="1820"/>
    <x v="14"/>
    <s v="CEL LIGHT ON FOR SUSPENSION PRESSURE SENSOR AND TRACTION CONTROL SENSORS "/>
    <d v="2018-06-25T00:00:00"/>
    <n v="581"/>
  </r>
  <r>
    <n v="1820"/>
    <x v="3"/>
    <s v="TAIL LIGHTS AND LIC. PLATE LIGHTS NOT WORKING"/>
    <m/>
    <m/>
  </r>
  <r>
    <n v="1820"/>
    <x v="16"/>
    <s v="PASSENGER SIDE WINDSHIELD HAS STONE CHIP AND NEEDS REPLACED"/>
    <d v="2018-07-06T00:00:00"/>
    <n v="570"/>
  </r>
  <r>
    <n v="1820"/>
    <x v="4"/>
    <s v="PASS. SIDE DOOR NOT CLOSING PROPERLY - TRIED SEVERAL TIMES TO GET DOOR CLOSED"/>
    <d v="2018-06-25T00:00:00"/>
    <n v="581"/>
  </r>
  <r>
    <n v="1820"/>
    <x v="1"/>
    <s v="AUDIBLE AIR LEAK UNDER CAB  - TRUCK LOOSES ALL AIR OVERNIGHT"/>
    <d v="2018-07-06T00:00:00"/>
    <n v="570"/>
  </r>
  <r>
    <n v="1820"/>
    <x v="21"/>
    <s v="VIBRATION IN DRIVE LINE - WE HAVE HAD ISSUE'S IN THE PAST WITH RIDE HEIGHT"/>
    <d v="2018-07-06T00:00:00"/>
    <n v="570"/>
  </r>
  <r>
    <n v="1829"/>
    <x v="1"/>
    <s v="please replace antenna's with stainless"/>
    <d v="2017-01-20T00:00:00"/>
    <n v="1102"/>
  </r>
  <r>
    <n v="1829"/>
    <x v="23"/>
    <s v="coolant leak at lower rad hose on right side of engine by oil pan. Leaking at hose clamp"/>
    <d v="2017-03-20T00:00:00"/>
    <m/>
  </r>
  <r>
    <n v="1829"/>
    <x v="3"/>
    <s v="left side skirt has light out"/>
    <d v="2017-03-28T00:00:00"/>
    <n v="1035"/>
  </r>
  <r>
    <n v="1829"/>
    <x v="3"/>
    <s v="right side skirt light out"/>
    <d v="2017-04-18T00:00:00"/>
    <n v="1014"/>
  </r>
  <r>
    <n v="1829"/>
    <x v="0"/>
    <s v="brake pedal sticking…doesn't come all the way up…no jake and no power at times"/>
    <d v="2017-04-27T00:00:00"/>
    <n v="1005"/>
  </r>
  <r>
    <n v="1829"/>
    <x v="0"/>
    <s v="right side 1st drive axle brake chamber leaking air on emergency side"/>
    <d v="2017-05-05T00:00:00"/>
    <n v="997"/>
  </r>
  <r>
    <n v="1829"/>
    <x v="10"/>
    <s v="side walls on steering tires cracked"/>
    <d v="2017-04-25T00:00:00"/>
    <n v="1007"/>
  </r>
  <r>
    <n v="1829"/>
    <x v="25"/>
    <s v="clutch needs adjusting"/>
    <d v="2017-04-25T00:00:00"/>
    <n v="1007"/>
  </r>
  <r>
    <n v="1829"/>
    <x v="3"/>
    <s v="visor light out"/>
    <d v="2017-05-05T00:00:00"/>
    <n v="997"/>
  </r>
  <r>
    <n v="1829"/>
    <x v="1"/>
    <s v="washer fluid resivior leaking fluid"/>
    <d v="2017-05-16T00:00:00"/>
    <n v="986"/>
  </r>
  <r>
    <n v="1829"/>
    <x v="20"/>
    <s v="GREEN ELECTRICAL CORD NEEDS TO BE REPLACED"/>
    <d v="2017-07-28T00:00:00"/>
    <n v="913"/>
  </r>
  <r>
    <n v="1829"/>
    <x v="20"/>
    <s v="RECEPTICAL FOR YELLOW TRAILER CORD ON TRACTOR IS BROKEN"/>
    <d v="2017-08-10T00:00:00"/>
    <n v="900"/>
  </r>
  <r>
    <n v="1829"/>
    <x v="10"/>
    <s v="driver's side steer tire at 5/32"/>
    <d v="2017-09-12T00:00:00"/>
    <n v="867"/>
  </r>
  <r>
    <n v="1829"/>
    <x v="1"/>
    <s v="rubber between hood and firewall falling off."/>
    <d v="2017-09-20T00:00:00"/>
    <n v="859"/>
  </r>
  <r>
    <n v="1829"/>
    <x v="1"/>
    <s v="C.B antenna broken on left side at mirror."/>
    <d v="2017-09-22T00:00:00"/>
    <n v="857"/>
  </r>
  <r>
    <n v="1829"/>
    <x v="16"/>
    <s v="Please replace wiper blades"/>
    <d v="2017-10-16T00:00:00"/>
    <n v="833"/>
  </r>
  <r>
    <n v="1829"/>
    <x v="16"/>
    <s v="please replace with winter wiper blades"/>
    <d v="2017-10-26T00:00:00"/>
    <n v="823"/>
  </r>
  <r>
    <n v="1829"/>
    <x v="1"/>
    <s v="air system looses all air when parked overnight."/>
    <d v="2017-10-31T00:00:00"/>
    <n v="818"/>
  </r>
  <r>
    <n v="1829"/>
    <x v="4"/>
    <s v="Please check roof fairing"/>
    <m/>
    <m/>
  </r>
  <r>
    <n v="1829"/>
    <x v="14"/>
    <s v="CEL LIGHT ON"/>
    <d v="2017-12-08T00:00:00"/>
    <n v="780"/>
  </r>
  <r>
    <n v="1830"/>
    <x v="21"/>
    <s v="rear axle temp gauge fluctuating"/>
    <d v="2017-02-13T00:00:00"/>
    <n v="1078"/>
  </r>
  <r>
    <n v="1830"/>
    <x v="19"/>
    <s v="air leak at leveling valve"/>
    <d v="2017-02-03T00:00:00"/>
    <n v="1088"/>
  </r>
  <r>
    <n v="1830"/>
    <x v="1"/>
    <s v="clutch pedal not de-activating cruise control or engine brake"/>
    <d v="2017-02-09T00:00:00"/>
    <n v="1082"/>
  </r>
  <r>
    <n v="1820"/>
    <x v="19"/>
    <s v="TRACTOR STILL LOSING ALL AIR WHEN PARKED OVERNIGHT - MULTIPLE LEAKS REPAIRED ON JULY 14 2018 BUT STILL LOSING AIR"/>
    <d v="2019-07-18T00:00:00"/>
    <n v="193"/>
  </r>
  <r>
    <n v="1820"/>
    <x v="21"/>
    <s v="VIBRATION IN DRIVELINE - THIS TRUCK SEEMS TO SIT AND INCH AND A QUARTER HIGHER THAN UNIT 1817. DRIVER FOR UNIT 1817 IS VERY HAPPY WITH THE SMOOTHNESS OF IS TRUCK"/>
    <d v="2018-08-10T00:00:00"/>
    <n v="535"/>
  </r>
  <r>
    <n v="1820"/>
    <x v="22"/>
    <s v="CROSS MEMBER BEHIND 5TH WHEEL IS CRACKED ALMOST AL THE WAY THROUGH."/>
    <d v="2018-09-12T00:00:00"/>
    <n v="502"/>
  </r>
  <r>
    <n v="1820"/>
    <x v="3"/>
    <s v="LICENSE PLATE LIGHT OUT"/>
    <d v="2018-10-09T00:00:00"/>
    <n v="475"/>
  </r>
  <r>
    <n v="1820"/>
    <x v="1"/>
    <s v="TRUCK LOOSES ALL AIR WHEN PARKED OVERNIGHT"/>
    <d v="2018-10-19T00:00:00"/>
    <n v="465"/>
  </r>
  <r>
    <n v="1820"/>
    <x v="2"/>
    <s v="PASSENGER SIDE WINSHIELD CRACKED"/>
    <d v="2018-09-12T00:00:00"/>
    <n v="502"/>
  </r>
  <r>
    <n v="1820"/>
    <x v="1"/>
    <s v="ANNUAL INPSPECTION DUE IN NOVEMBER"/>
    <d v="2018-11-01T00:00:00"/>
    <n v="452"/>
  </r>
  <r>
    <n v="1820"/>
    <x v="4"/>
    <s v="DRIVER DOOR POPS OPEN"/>
    <d v="2018-11-30T00:00:00"/>
    <n v="423"/>
  </r>
  <r>
    <n v="1830"/>
    <x v="1"/>
    <s v="step trim falling off of drivers side lower step"/>
    <d v="2017-02-09T00:00:00"/>
    <n v="1082"/>
  </r>
  <r>
    <n v="1830"/>
    <x v="29"/>
    <s v="instrument panel not lighting up driver can not see speed or tach at night"/>
    <d v="2017-02-27T00:00:00"/>
    <n v="1064"/>
  </r>
  <r>
    <n v="1830"/>
    <x v="1"/>
    <s v="step trim falling off drivers side upper step"/>
    <d v="2017-03-14T00:00:00"/>
    <n v="1049"/>
  </r>
  <r>
    <n v="1830"/>
    <x v="5"/>
    <s v="ESBAR heater exhausting into cab when truck turned off but heater running."/>
    <d v="2017-04-07T00:00:00"/>
    <n v="1025"/>
  </r>
  <r>
    <n v="1830"/>
    <x v="16"/>
    <s v="please replace wiper blades"/>
    <d v="2017-06-20T00:00:00"/>
    <n v="951"/>
  </r>
  <r>
    <n v="1830"/>
    <x v="1"/>
    <s v="DRIVER'S SIDE DOOR HARD TO CLOSE. DRIVERS IS HAVING TO SLAM SEVERAL TIMES TO CLOSE DOOR"/>
    <d v="2017-06-28T00:00:00"/>
    <n v="943"/>
  </r>
  <r>
    <n v="1830"/>
    <x v="1"/>
    <s v="HAVE TO PULL DRIVERS DOOR HANDLE TO THE MAX TO GET THE DOOR TO OPEN. "/>
    <d v="2017-09-01T00:00:00"/>
    <n v="878"/>
  </r>
  <r>
    <n v="1830"/>
    <x v="13"/>
    <s v="grinding noise in steering wheel when turning"/>
    <d v="2017-10-02T00:00:00"/>
    <n v="847"/>
  </r>
  <r>
    <n v="1830"/>
    <x v="1"/>
    <s v="Both air tanks empty after being parked overnight."/>
    <d v="2017-10-23T00:00:00"/>
    <n v="826"/>
  </r>
  <r>
    <n v="1830"/>
    <x v="4"/>
    <s v="check wind deflector for loose parts."/>
    <d v="2017-10-27T00:00:00"/>
    <n v="822"/>
  </r>
  <r>
    <n v="1830"/>
    <x v="4"/>
    <s v="please check fairing for loose bolts"/>
    <d v="2017-11-09T00:00:00"/>
    <n v="809"/>
  </r>
  <r>
    <n v="1830"/>
    <x v="14"/>
    <s v="CHECK ENGINE LIGHT ON AND RED LIGHT ON DEF GAUGE"/>
    <d v="2017-12-04T00:00:00"/>
    <n v="784"/>
  </r>
  <r>
    <n v="1830"/>
    <x v="4"/>
    <s v="PLEASE CHECK STEP RIVETS"/>
    <d v="2017-11-09T00:00:00"/>
    <n v="809"/>
  </r>
  <r>
    <n v="1830"/>
    <x v="18"/>
    <s v="RETORQUE ALL AXLES BOTH SIDES"/>
    <d v="2017-11-21T00:00:00"/>
    <n v="797"/>
  </r>
  <r>
    <n v="1820"/>
    <x v="6"/>
    <s v="missing bolt on passenger side stack"/>
    <d v="2018-11-21T00:00:00"/>
    <n v="432"/>
  </r>
  <r>
    <n v="1830"/>
    <x v="1"/>
    <s v="Bose seat will not turn off"/>
    <d v="2017-10-02T00:00:00"/>
    <n v="847"/>
  </r>
  <r>
    <n v="1830"/>
    <x v="21"/>
    <s v="GRINDING NOISE UNDER PULL"/>
    <d v="2017-12-08T00:00:00"/>
    <n v="780"/>
  </r>
  <r>
    <n v="1830"/>
    <x v="6"/>
    <s v="PASSENGER SIDE STACK BRACKET BROKEN"/>
    <d v="2017-12-08T00:00:00"/>
    <n v="780"/>
  </r>
  <r>
    <n v="1830"/>
    <x v="14"/>
    <s v="CHECK ENGINE LIGHT AND RED DEF LIGHT ON AGAIN"/>
    <d v="2017-12-13T00:00:00"/>
    <n v="775"/>
  </r>
  <r>
    <n v="1830"/>
    <x v="3"/>
    <s v="DRIVER SIDE HEAD LIGHT LOOSE AND CUTIING ON AND OFF"/>
    <d v="2017-11-23T00:00:00"/>
    <n v="795"/>
  </r>
  <r>
    <n v="1642"/>
    <x v="1"/>
    <s v="ANNUAL SAFTEY DUE IN FEB"/>
    <d v="2019-02-08T00:00:00"/>
    <n v="353"/>
  </r>
  <r>
    <n v="1642"/>
    <x v="1"/>
    <s v="DOOR CHIME SOUNDS WHEN TRUCK IS OFF WITH NO KEY IN THE IGNITION - PLEASE REPLACED SENSOR ON E-BRAKE"/>
    <d v="2019-01-15T00:00:00"/>
    <n v="377"/>
  </r>
  <r>
    <n v="1642"/>
    <x v="14"/>
    <s v="FLASHING WRENCH WARNING LIGHT IS ON"/>
    <d v="2019-06-17T00:00:00"/>
    <n v="224"/>
  </r>
  <r>
    <n v="1642"/>
    <x v="19"/>
    <s v="FRONT PASSENGER SIDE SHOCK LEAKING"/>
    <d v="2019-08-15T00:00:00"/>
    <n v="165"/>
  </r>
  <r>
    <n v="1642"/>
    <x v="1"/>
    <s v="ENGINE FAN CONTINUOUSLY RUNNING"/>
    <d v="2019-08-28T00:00:00"/>
    <n v="152"/>
  </r>
  <r>
    <n v="1821"/>
    <x v="21"/>
    <s v="VIBRATION STARTING TO DEVELOP IN DRIVE LINE - PLEASE CHECK U JOINT, HANGER BEARING AND OTHER POSSIBLE CONNECTIONS"/>
    <d v="2018-02-02T00:00:00"/>
    <n v="724"/>
  </r>
  <r>
    <n v="1821"/>
    <x v="3"/>
    <s v="LIC. PLATE LIGHT"/>
    <d v="2018-02-03T00:00:00"/>
    <m/>
  </r>
  <r>
    <n v="1821"/>
    <x v="3"/>
    <s v="VISOR LIGHT"/>
    <d v="2018-02-03T00:00:00"/>
    <m/>
  </r>
  <r>
    <n v="1821"/>
    <x v="5"/>
    <s v="ESBAR IN CAB HEATER GIVING ERROR MESSAGE"/>
    <d v="2017-12-21T00:00:00"/>
    <n v="767"/>
  </r>
  <r>
    <n v="1821"/>
    <x v="7"/>
    <s v="HOOD HOLD BACK CABLES ON BOTH SIDES OF HOOD BROKEN DUE TO HEAVY SNOW BUILD UP ON HOOD"/>
    <d v="2018-02-05T00:00:00"/>
    <n v="721"/>
  </r>
  <r>
    <n v="1821"/>
    <x v="1"/>
    <s v="DRIVER HAS REPORTED A VIBRATION IN TRUCK WHEN MOVING BUT NOT UNDER THROTTLE - JUSTIN CHECKED DRIVE LINE AND HANGER BRACKET AND FOUND NO ISSUE'S HE ADJUSTED RIDE HEIGHT AT LEVELING VALVE BUT TRUCK STILL HAS VIBRATION."/>
    <d v="2018-02-09T00:00:00"/>
    <n v="717"/>
  </r>
  <r>
    <n v="1821"/>
    <x v="19"/>
    <s v="Air leak at leveling valve tractor will not air up."/>
    <d v="2018-02-20T00:00:00"/>
    <n v="706"/>
  </r>
  <r>
    <n v="1821"/>
    <x v="3"/>
    <s v="visor light out"/>
    <d v="2018-02-22T00:00:00"/>
    <n v="704"/>
  </r>
  <r>
    <n v="1821"/>
    <x v="3"/>
    <s v="right side rear signal light out"/>
    <d v="2018-02-22T00:00:00"/>
    <n v="704"/>
  </r>
  <r>
    <n v="1821"/>
    <x v="21"/>
    <s v="VIBRATION SOMEWHERE IN DRIVE LINE"/>
    <d v="2018-02-27T00:00:00"/>
    <n v="699"/>
  </r>
  <r>
    <n v="1821"/>
    <x v="21"/>
    <s v="VIBRATION IN DRIVELINE PLEASE CHECK ANGLES FOR PROPER HEIGHT ADJUSTMENT"/>
    <d v="2018-03-08T00:00:00"/>
    <n v="690"/>
  </r>
  <r>
    <n v="1821"/>
    <x v="3"/>
    <s v="2 X VISOR LIGHTS NOT WORKING"/>
    <d v="2018-04-07T00:00:00"/>
    <m/>
  </r>
  <r>
    <n v="1821"/>
    <x v="0"/>
    <s v="BRAKE PEDAL STICKING"/>
    <d v="2018-04-07T00:00:00"/>
    <m/>
  </r>
  <r>
    <n v="1821"/>
    <x v="20"/>
    <s v="AIR LEAK IN AIRLINE AT BRASS FITTING ON RED GLADHAND AT TRAILER END "/>
    <d v="2018-04-12T00:00:00"/>
    <n v="655"/>
  </r>
  <r>
    <n v="1821"/>
    <x v="1"/>
    <s v="PASSENGER SIDE DOOR LOCK VERY HARD TO LOCK OR UNLOCK"/>
    <d v="2018-09-07T00:00:00"/>
    <n v="507"/>
  </r>
  <r>
    <n v="1821"/>
    <x v="20"/>
    <s v="DEEP GOUGE IN RED SUPPLY LINE - PLEASE REPLACE"/>
    <m/>
    <m/>
  </r>
  <r>
    <n v="1821"/>
    <x v="3"/>
    <s v="DRIVERS SIDE HEAD LIGHT OUT -REGULAR LAMP"/>
    <d v="2018-11-13T00:00:00"/>
    <n v="440"/>
  </r>
  <r>
    <n v="1821"/>
    <x v="5"/>
    <s v="ESBAR ENGINE HEATER WILL NOT STAY RUNNING - NO LONGER WORKING AT ALL 10/16/18"/>
    <d v="2018-10-03T00:00:00"/>
    <n v="481"/>
  </r>
  <r>
    <n v="1821"/>
    <x v="1"/>
    <s v="ANNUAL INPSPECTION DUE IN DECEMBER"/>
    <d v="2018-11-26T00:00:00"/>
    <n v="427"/>
  </r>
  <r>
    <n v="1821"/>
    <x v="22"/>
    <s v="EXCESSIVE PLAY IN 5TH WHEEL - PLEASE CHECK COMPONENTS AND ADJUSTMENT "/>
    <d v="2018-12-11T00:00:00"/>
    <n v="412"/>
  </r>
  <r>
    <n v="1821"/>
    <x v="4"/>
    <s v="DRIVER'S SIDE DOOR WONT CLOSE"/>
    <d v="2018-12-27T00:00:00"/>
    <n v="396"/>
  </r>
  <r>
    <n v="1642"/>
    <x v="11"/>
    <s v="PASSENGER SIDE MIRROR NOT DEFROSTING"/>
    <d v="2019-12-04T00:00:00"/>
    <n v="54"/>
  </r>
  <r>
    <n v="1643"/>
    <x v="0"/>
    <s v="PARKING BRAKE CABLE IS BROKEN"/>
    <d v="2019-06-05T00:00:00"/>
    <n v="236"/>
  </r>
  <r>
    <n v="1643"/>
    <x v="2"/>
    <s v="PASSENGER SIDE WINDSHIELD CRACKED"/>
    <d v="2019-05-10T00:00:00"/>
    <n v="262"/>
  </r>
  <r>
    <n v="1643"/>
    <x v="19"/>
    <s v="SHOCKS ARE SEVERLY CORRODED AND DO NOT APPEAR TO HAVE ANY OIL OR GREASE IN THEM"/>
    <d v="2019-04-30T00:00:00"/>
    <n v="272"/>
  </r>
  <r>
    <n v="1643"/>
    <x v="14"/>
    <s v="LEAKING OIL"/>
    <d v="2019-05-13T00:00:00"/>
    <n v="259"/>
  </r>
  <r>
    <n v="1643"/>
    <x v="4"/>
    <s v="DRIVERS SIDE DOOR NOT LINING UP WITH DOOR CATCH - DOOR IS STILL HARD TO OPEN AND CLOSE"/>
    <d v="2019-05-03T00:00:00"/>
    <n v="269"/>
  </r>
  <r>
    <n v="1643"/>
    <x v="4"/>
    <s v="DRIVER'S SIDE DOOR IS VERY HARD TO CLOSE - DOOR CATCH MECHANISM WILL ONLY CATCH ON THE SAFETY PORTION AND DOOR DOES NOT CLOSE ALL THE WAY"/>
    <d v="2019-04-30T00:00:00"/>
    <n v="272"/>
  </r>
  <r>
    <n v="1643"/>
    <x v="0"/>
    <s v="PARKING BRAKE LEVER IS BROKEN IN HALF - TRUCK IS CURRENTLY BLOCKING DOOR 1 AT 505 SOUTHGATE DR. GUELPH ON."/>
    <d v="2019-03-22T00:00:00"/>
    <n v="311"/>
  </r>
  <r>
    <n v="1822"/>
    <x v="3"/>
    <s v="left tail light out"/>
    <d v="2018-01-15T00:00:00"/>
    <n v="742"/>
  </r>
  <r>
    <n v="1822"/>
    <x v="3"/>
    <s v="visor marker light out"/>
    <d v="2018-01-22T00:00:00"/>
    <m/>
  </r>
  <r>
    <n v="1822"/>
    <x v="1"/>
    <s v="CB ANTENNA BROKEN  "/>
    <d v="2018-02-03T00:00:00"/>
    <m/>
  </r>
  <r>
    <n v="1822"/>
    <x v="4"/>
    <s v="LOWER STEP RIVET MISSING"/>
    <d v="2018-02-03T00:00:00"/>
    <m/>
  </r>
  <r>
    <n v="1822"/>
    <x v="3"/>
    <s v="VISOR LIGHT OUT"/>
    <d v="2018-02-22T00:00:00"/>
    <n v="704"/>
  </r>
  <r>
    <n v="1822"/>
    <x v="1"/>
    <s v="mudflap reflector tape missing"/>
    <d v="2018-03-12T00:00:00"/>
    <n v="686"/>
  </r>
  <r>
    <n v="1822"/>
    <x v="1"/>
    <s v="drivers side door limiter broken - door opens too far"/>
    <d v="2018-03-12T00:00:00"/>
    <m/>
  </r>
  <r>
    <n v="1822"/>
    <x v="6"/>
    <s v="upper stack mounts loose"/>
    <d v="2018-03-12T00:00:00"/>
    <m/>
  </r>
  <r>
    <n v="1822"/>
    <x v="0"/>
    <s v="foot brake sticking"/>
    <d v="2018-03-12T00:00:00"/>
    <m/>
  </r>
  <r>
    <n v="1822"/>
    <x v="1"/>
    <s v="RIVETS MISSING FROM GRILL"/>
    <d v="2018-03-12T00:00:00"/>
    <n v="686"/>
  </r>
  <r>
    <n v="1822"/>
    <x v="1"/>
    <s v="mud bracket tore off…fastened to deck plate"/>
    <d v="2018-03-16T00:00:00"/>
    <n v="682"/>
  </r>
  <r>
    <n v="1822"/>
    <x v="1"/>
    <s v="MISSING BOTH CB ANTENNA'S"/>
    <d v="2018-04-06T00:00:00"/>
    <n v="661"/>
  </r>
  <r>
    <n v="1822"/>
    <x v="20"/>
    <s v="CENTER PIN IN GREEN CORD HAS NO POWER CAUSING REVERS-O-MATIC TO NOT WORK"/>
    <d v="2018-05-09T00:00:00"/>
    <n v="628"/>
  </r>
  <r>
    <n v="1822"/>
    <x v="14"/>
    <s v="RED LIGHT ON DEF GAUGE - TRUCK IN DERATE NOW"/>
    <d v="2018-05-10T00:00:00"/>
    <n v="627"/>
  </r>
  <r>
    <n v="1822"/>
    <x v="4"/>
    <s v="BUMPER RUSTING OUT"/>
    <d v="2018-05-10T00:00:00"/>
    <n v="627"/>
  </r>
  <r>
    <n v="1822"/>
    <x v="16"/>
    <s v="PLEASE REPLACE WINDSHIELD WIPER "/>
    <d v="2018-05-10T00:00:00"/>
    <n v="627"/>
  </r>
  <r>
    <n v="1822"/>
    <x v="1"/>
    <s v="PLEASE REPLACE WASHER FLUID RESIVIOR"/>
    <d v="2018-05-10T00:00:00"/>
    <n v="627"/>
  </r>
  <r>
    <n v="1822"/>
    <x v="3"/>
    <s v="LISENCE PLATE LIGHT OUT"/>
    <d v="2018-10-12T00:00:00"/>
    <n v="472"/>
  </r>
  <r>
    <n v="1822"/>
    <x v="1"/>
    <s v="ANNUAL INPSECTION DUE OCTOBER"/>
    <d v="2018-10-01T00:00:00"/>
    <n v="483"/>
  </r>
  <r>
    <n v="1822"/>
    <x v="18"/>
    <s v="RETORQUE STEER AXLE BOTH SIDES"/>
    <d v="2018-10-30T00:00:00"/>
    <n v="454"/>
  </r>
  <r>
    <n v="1822"/>
    <x v="14"/>
    <s v="ENGINE RUNS ROUGH AT HIGHER SPEEDS AND FUEL MILEAGE IS INCREASING - PLEASE CHECK TOP END"/>
    <d v="2018-10-19T00:00:00"/>
    <n v="465"/>
  </r>
  <r>
    <n v="1822"/>
    <x v="1"/>
    <s v="DRIVER WENT TO AYRSHOP TO HAVE CLUTCH ADJUSTED AND CLAMP REPLACED BUT DID NOT WRITE UP ANY ISSUES"/>
    <d v="2018-12-10T00:00:00"/>
    <m/>
  </r>
  <r>
    <n v="1822"/>
    <x v="5"/>
    <s v="BROKEN CLAMP ON ESBAR EXHAUST"/>
    <d v="2018-12-10T00:00:00"/>
    <m/>
  </r>
  <r>
    <n v="1822"/>
    <x v="25"/>
    <s v="CLUTCH ADJUSTMENT NEEDED"/>
    <d v="2018-12-10T00:00:00"/>
    <m/>
  </r>
  <r>
    <n v="1822"/>
    <x v="5"/>
    <s v="ESBAR CAB HEATER NOT WORKING - ENGINE HEATER WORKS FINE"/>
    <d v="2018-10-23T00:00:00"/>
    <n v="461"/>
  </r>
  <r>
    <n v="1643"/>
    <x v="17"/>
    <s v="WRENCH WARNING LIGHT FLASHING - NEEDS TO BE DIAGNOSED BY SOFTWARE - DRIVER REPORTED IRREGULAR SHIFTING PATTERN AND EXCESSIVE RPM'S"/>
    <d v="2019-04-08T00:00:00"/>
    <n v="294"/>
  </r>
  <r>
    <n v="1823"/>
    <x v="20"/>
    <s v="RED GLAD HAND HOSE IS SPLIT JUST BELOW GLAD HAND ( ON TRAILER SIDE )."/>
    <d v="2017-12-29T00:00:00"/>
    <n v="759"/>
  </r>
  <r>
    <n v="1823"/>
    <x v="3"/>
    <s v="work light on right side Back of Cab out"/>
    <d v="2018-01-10T00:00:00"/>
    <n v="747"/>
  </r>
  <r>
    <n v="1823"/>
    <x v="1"/>
    <s v="RADIO AND NAV STILL CUT OUT AND WONT STAY ON"/>
    <d v="2017-12-20T00:00:00"/>
    <n v="768"/>
  </r>
  <r>
    <n v="1823"/>
    <x v="19"/>
    <s v="TRACTOR SUSPENSION NOT AIRING UP"/>
    <d v="2018-01-15T00:00:00"/>
    <n v="742"/>
  </r>
  <r>
    <n v="1823"/>
    <x v="4"/>
    <s v="PASSENGER SIDE DOOR LOCK STICKING KEY WILL NOT TURN IN LOCK"/>
    <d v="2017-12-20T00:00:00"/>
    <n v="768"/>
  </r>
  <r>
    <n v="1823"/>
    <x v="1"/>
    <s v="DRIVERS SIDE DOOR MISSING INTERIOR DOOR LOCK BUTTON AND DOOR WILL SOMETIMES LOCK ON ITS OWN"/>
    <d v="2018-01-08T00:00:00"/>
    <n v="749"/>
  </r>
  <r>
    <n v="1823"/>
    <x v="4"/>
    <s v="2 x DRIVERS SIDE STEP RIVETS"/>
    <d v="2018-02-03T00:00:00"/>
    <m/>
  </r>
  <r>
    <n v="1823"/>
    <x v="3"/>
    <s v="VISOR LIGHTS FLICKER ON AND OFF - THE 3 LIGHTS ON THE RIGHT SIDE SEEM TO BE THE WORST"/>
    <d v="2018-02-21T00:00:00"/>
    <n v="705"/>
  </r>
  <r>
    <n v="1823"/>
    <x v="3"/>
    <s v="2x visor light out"/>
    <d v="2018-03-12T00:00:00"/>
    <n v="686"/>
  </r>
  <r>
    <n v="1823"/>
    <x v="4"/>
    <s v="driver door latch not closing properly"/>
    <d v="2018-03-15T00:00:00"/>
    <n v="683"/>
  </r>
  <r>
    <n v="1823"/>
    <x v="3"/>
    <s v="LEFT SIDE TAIL LIGHT OUT - SIGNAL STILL WORKS"/>
    <d v="2018-03-20T00:00:00"/>
    <n v="678"/>
  </r>
  <r>
    <n v="1823"/>
    <x v="1"/>
    <s v="heated seat not working"/>
    <d v="2018-01-29T00:00:00"/>
    <n v="728"/>
  </r>
  <r>
    <n v="1823"/>
    <x v="3"/>
    <s v="left tail light out"/>
    <d v="2018-03-30T00:00:00"/>
    <n v="668"/>
  </r>
  <r>
    <n v="1823"/>
    <x v="4"/>
    <s v="windshield washer bottle leaking"/>
    <d v="2018-03-30T00:00:00"/>
    <n v="668"/>
  </r>
  <r>
    <n v="1823"/>
    <x v="15"/>
    <s v="please remove pogo stick"/>
    <d v="2018-03-30T00:00:00"/>
    <n v="668"/>
  </r>
  <r>
    <n v="1823"/>
    <x v="4"/>
    <s v="left intake breather clamp not in place"/>
    <d v="2018-03-30T00:00:00"/>
    <n v="668"/>
  </r>
  <r>
    <n v="1823"/>
    <x v="4"/>
    <s v="drivers door latch not working properly"/>
    <d v="2018-03-30T00:00:00"/>
    <n v="668"/>
  </r>
  <r>
    <n v="1823"/>
    <x v="20"/>
    <s v="ESPAR CAB HEATER NOT WORKING"/>
    <d v="2017-12-11T00:00:00"/>
    <n v="777"/>
  </r>
  <r>
    <n v="1823"/>
    <x v="1"/>
    <s v="DASH LIGHTS NOT WORKING"/>
    <d v="2018-04-13T00:00:00"/>
    <n v="654"/>
  </r>
  <r>
    <n v="1823"/>
    <x v="14"/>
    <s v="CEL LIGHT ON"/>
    <d v="2018-08-13T00:00:00"/>
    <n v="532"/>
  </r>
  <r>
    <n v="1823"/>
    <x v="0"/>
    <s v="ATC LIGHT ON  "/>
    <d v="2018-08-13T00:00:00"/>
    <n v="532"/>
  </r>
  <r>
    <n v="1823"/>
    <x v="1"/>
    <s v="A/C BLOWING WARM AIR ONLY"/>
    <d v="2018-08-13T00:00:00"/>
    <n v="532"/>
  </r>
  <r>
    <n v="1823"/>
    <x v="25"/>
    <s v="CLUTCH ADJ."/>
    <d v="2018-08-14T00:00:00"/>
    <n v="531"/>
  </r>
  <r>
    <n v="1823"/>
    <x v="3"/>
    <s v="LIC. PLATE LIGHT OUT"/>
    <d v="2018-08-16T00:00:00"/>
    <n v="529"/>
  </r>
  <r>
    <n v="1823"/>
    <x v="5"/>
    <s v="ac still not working"/>
    <d v="2018-08-24T00:00:00"/>
    <n v="521"/>
  </r>
  <r>
    <n v="1823"/>
    <x v="4"/>
    <s v="right side stack missing cab mount"/>
    <d v="2018-08-24T00:00:00"/>
    <d v="1901-06-04T00:00:00"/>
  </r>
  <r>
    <n v="1823"/>
    <x v="0"/>
    <s v="ABS and ATC warnings on"/>
    <d v="2018-08-24T00:00:00"/>
    <m/>
  </r>
  <r>
    <n v="1823"/>
    <x v="23"/>
    <s v="coolant leak…lower metal rad hose is leaking"/>
    <d v="2018-08-24T00:00:00"/>
    <m/>
  </r>
  <r>
    <n v="1823"/>
    <x v="1"/>
    <s v="A/C NOT WORKING STILL - CABIN AIR FILTER CLEANED AUG 16 2018"/>
    <d v="2018-08-17T00:00:00"/>
    <n v="528"/>
  </r>
  <r>
    <n v="1823"/>
    <x v="3"/>
    <s v="RIGHT SIDE BACK OF CAB LIGHT NOT WORKING"/>
    <d v="2018-09-24T00:00:00"/>
    <m/>
  </r>
  <r>
    <n v="1823"/>
    <x v="3"/>
    <s v="BACK OF CAB LIGHT HAS BROKEN FIXTURE"/>
    <d v="2018-09-24T00:00:00"/>
    <n v="490"/>
  </r>
  <r>
    <n v="1823"/>
    <x v="21"/>
    <s v="ATC AND ABS WARNING LIGHTS COMING ON AND STAYING ON FOR LONG PERIODS OF TIME AND THEN GOING BACK OFF."/>
    <d v="2018-09-04T00:00:00"/>
    <n v="510"/>
  </r>
  <r>
    <n v="1823"/>
    <x v="1"/>
    <s v="ANNUAL INPSECTION DUE OCTOBER"/>
    <d v="2018-10-01T00:00:00"/>
    <n v="483"/>
  </r>
  <r>
    <n v="1823"/>
    <x v="14"/>
    <s v="CHECK ENGINE LIGHT IS ON AND STAYING ON."/>
    <d v="2018-10-25T00:00:00"/>
    <n v="459"/>
  </r>
  <r>
    <n v="1823"/>
    <x v="1"/>
    <s v="PLEASE PLACE SAFETY STICKER ON TRUCK AND UPDATE PAPERWORK - SAFETY FOR THIS TRUCK HAS ALREADY BEEN COMPLETED"/>
    <d v="2018-10-25T00:00:00"/>
    <n v="459"/>
  </r>
  <r>
    <n v="1823"/>
    <x v="6"/>
    <s v="Driver side stackmissing slider shaft on exhaust mounting assembly"/>
    <d v="2018-11-02T00:00:00"/>
    <n v="451"/>
  </r>
  <r>
    <n v="1823"/>
    <x v="14"/>
    <s v="engine light came on"/>
    <d v="2018-11-02T00:00:00"/>
    <n v="451"/>
  </r>
  <r>
    <n v="1823"/>
    <x v="14"/>
    <s v="CHECH ENGINE LIGHT ON AGAIN - OBD DIAGNOSTIC SUGGESTS AN ISSUE WITH THE INTAKE MANIFOLD"/>
    <d v="2018-11-05T00:00:00"/>
    <n v="448"/>
  </r>
  <r>
    <n v="1823"/>
    <x v="5"/>
    <s v="IN CAB (ESBAR) HEATER NOT WORKING"/>
    <d v="2018-11-28T00:00:00"/>
    <n v="425"/>
  </r>
  <r>
    <n v="1823"/>
    <x v="4"/>
    <s v="RIGHT SIDE HOOD CABLE NEEDS RE-ATTACHED"/>
    <d v="2018-12-04T00:00:00"/>
    <n v="419"/>
  </r>
  <r>
    <n v="1823"/>
    <x v="3"/>
    <s v="DRIVERS SIDE LOW BEAM OUT"/>
    <d v="2018-12-14T00:00:00"/>
    <n v="409"/>
  </r>
  <r>
    <n v="1823"/>
    <x v="3"/>
    <s v="BREATHER LIGHT OUT ON PASSENGER SIDE"/>
    <d v="2018-12-21T00:00:00"/>
    <n v="402"/>
  </r>
  <r>
    <n v="1823"/>
    <x v="3"/>
    <s v="RIGHT SIDE BREATHER LIGHT OUT"/>
    <d v="2018-12-17T00:00:00"/>
    <n v="406"/>
  </r>
  <r>
    <n v="1823"/>
    <x v="1"/>
    <s v="DRIVER'S SIDE DOOR HOLD BACK WILL NOT HOLD DOOR OPEN -  DRIVER MENTIONED THAT A MILD BREEZE WILL CLOSE THE DOOR."/>
    <d v="2018-12-19T00:00:00"/>
    <n v="404"/>
  </r>
  <r>
    <n v="1823"/>
    <x v="1"/>
    <s v="ABS AND ATC LIGHTS BACK ON "/>
    <d v="2019-01-03T00:00:00"/>
    <n v="389"/>
  </r>
  <r>
    <n v="1643"/>
    <x v="14"/>
    <s v="LEFT HEADLIGHT OUT"/>
    <d v="2019-01-15T00:00:00"/>
    <m/>
  </r>
  <r>
    <n v="1824"/>
    <x v="7"/>
    <s v="both doors will lock on their own - this has happened 4 times in the last 2 weeks. As of Jan 15 2018 this is a daily occurance"/>
    <d v="2018-01-09T00:00:00"/>
    <n v="748"/>
  </r>
  <r>
    <n v="1824"/>
    <x v="3"/>
    <s v="Please change headlights for a brighter type - driver has already checked with parts and they have a brighter bulb in stock"/>
    <d v="2018-01-12T00:00:00"/>
    <n v="745"/>
  </r>
  <r>
    <n v="1824"/>
    <x v="3"/>
    <s v="TOP RIGHT VISOR LIGHT ON TRACTOR IS OUT - THIS LIGHT HAS BEEN ON AND OFF FOR A COUPLE OF WEEKS AND MAY HAVE A BAD CONNECTION"/>
    <d v="2018-01-16T00:00:00"/>
    <n v="741"/>
  </r>
  <r>
    <n v="1824"/>
    <x v="0"/>
    <s v="could not get air into Primary air tank for 2.5hrs"/>
    <d v="2018-01-15T00:00:00"/>
    <m/>
  </r>
  <r>
    <n v="1824"/>
    <x v="16"/>
    <s v="Windshield wipers need replacing"/>
    <d v="2018-01-30T00:00:00"/>
    <m/>
  </r>
  <r>
    <n v="1824"/>
    <x v="1"/>
    <s v="FUEL PEDAL STARTING TO STICK"/>
    <d v="2018-02-13T00:00:00"/>
    <n v="713"/>
  </r>
  <r>
    <n v="1824"/>
    <x v="1"/>
    <s v="FM radio, Bluetooth and Sirius not working - this worked before being serviced at Peterbilt Ayrshop."/>
    <d v="2018-02-22T00:00:00"/>
    <n v="704"/>
  </r>
  <r>
    <n v="1824"/>
    <x v="11"/>
    <s v="heat not working on passenger side round mirror "/>
    <d v="2018-01-30T00:00:00"/>
    <m/>
  </r>
  <r>
    <n v="1824"/>
    <x v="11"/>
    <s v="POWER MIRRORS WILL OFTEN TIMES NOT WORK - DRIVERS FEELS THAT THERE IS NO POWER GOING TO THESE MIRRORS"/>
    <d v="2018-02-15T00:00:00"/>
    <n v="711"/>
  </r>
  <r>
    <n v="1824"/>
    <x v="20"/>
    <s v="YELLOW ELECTRICAL CORD IS WORN TO BARE WIRE"/>
    <d v="2018-03-05T00:00:00"/>
    <n v="693"/>
  </r>
  <r>
    <n v="1824"/>
    <x v="11"/>
    <s v="RIGHT SIDE HOOD MIRROR DAMAGED IN INCIDENT PLEASE REPLACE"/>
    <d v="2018-02-02T00:00:00"/>
    <n v="724"/>
  </r>
  <r>
    <n v="1824"/>
    <x v="4"/>
    <s v="CROWN DAMAGED IN INCIDENT PLEASE REPLACE"/>
    <d v="2018-02-02T00:00:00"/>
    <n v="724"/>
  </r>
  <r>
    <n v="1824"/>
    <x v="1"/>
    <s v="PIECE OF DECK PLATE DAMAGED PLEASE REPLACE"/>
    <d v="2018-02-02T00:00:00"/>
    <n v="724"/>
  </r>
  <r>
    <n v="1824"/>
    <x v="3"/>
    <s v="license plate light out"/>
    <d v="2018-03-27T00:00:00"/>
    <n v="671"/>
  </r>
  <r>
    <n v="1824"/>
    <x v="4"/>
    <s v="DRIVER SIDE DOOR LOCKS ON ITS OWN WHEN CLOSING DOOR - THIS HAS HAPPENED SEVERAL TIMES OVER THE LAST FEW DAYS."/>
    <d v="2018-03-13T00:00:00"/>
    <n v="685"/>
  </r>
  <r>
    <n v="1824"/>
    <x v="4"/>
    <s v="HOOD RELEASE LOCK INSIDE ENGINE COMPARTMENT IS MISSING C-CLIP AND WASHER - PIN IS STAYING IN PLACE BUT SHOULD REPLACE PARTS BEFORE IT FALLS OUT"/>
    <d v="2018-04-05T00:00:00"/>
    <n v="662"/>
  </r>
  <r>
    <n v="1824"/>
    <x v="1"/>
    <s v="STEP RIVETS MISSING"/>
    <d v="2018-04-07T00:00:00"/>
    <n v="660"/>
  </r>
  <r>
    <n v="1824"/>
    <x v="4"/>
    <s v="WATER, SALT AND SILT ENTERING CAB FROM BEHIND PASSEGER SEAT"/>
    <d v="2018-02-27T00:00:00"/>
    <n v="699"/>
  </r>
  <r>
    <n v="1824"/>
    <x v="3"/>
    <s v="CENTER VISOR LIGHT OUT"/>
    <d v="2018-04-09T00:00:00"/>
    <n v="658"/>
  </r>
  <r>
    <n v="1824"/>
    <x v="1"/>
    <s v="DRIVER SIDE DOOR WILL LOCK ON ITS OWN"/>
    <d v="2018-04-12T00:00:00"/>
    <n v="655"/>
  </r>
  <r>
    <n v="1824"/>
    <x v="4"/>
    <s v="DRIVERS SIDE DOOR LOCKING ON IT'S OWN - ACTUATOR AND LOCK MECHANISM HAVE BOTH ALREADY BEEN REPLACED"/>
    <d v="2018-04-23T00:00:00"/>
    <n v="644"/>
  </r>
  <r>
    <n v="1824"/>
    <x v="3"/>
    <s v="1 SKIRT LIGHT ON PASS SIDE IS MISSING A SCREW"/>
    <d v="2018-05-08T00:00:00"/>
    <n v="629"/>
  </r>
  <r>
    <n v="1824"/>
    <x v="1"/>
    <s v="PASSENGER'S SIDE DOOR LOCKING ON ITS OWN AND VERY DIFFICULT TO UNLOCK DOOR WITH KEY"/>
    <d v="2018-04-17T00:00:00"/>
    <n v="650"/>
  </r>
  <r>
    <n v="1824"/>
    <x v="14"/>
    <s v="CHECK ENGINE LIGHT IS ON."/>
    <d v="2018-05-17T00:00:00"/>
    <n v="620"/>
  </r>
  <r>
    <n v="1824"/>
    <x v="3"/>
    <s v="RIGHT SIDE HEAD LIGHT OUT - HIGH INTESITY BULB"/>
    <d v="2018-05-23T00:00:00"/>
    <n v="614"/>
  </r>
  <r>
    <n v="1824"/>
    <x v="3"/>
    <s v="LEFT SIDE HEAD LIGHT OUT - RIGHT SIDE WAS JUST REPLACED"/>
    <d v="2018-05-24T00:00:00"/>
    <n v="613"/>
  </r>
  <r>
    <n v="1824"/>
    <x v="1"/>
    <s v="CB RADIO NOT WORKING - HAS POWER BUT IS NOT SENDING OR RECEIVING A SIGNAL."/>
    <d v="2018-05-16T00:00:00"/>
    <n v="621"/>
  </r>
  <r>
    <n v="1824"/>
    <x v="7"/>
    <s v="driver's side top step rivets missing"/>
    <d v="2018-06-08T00:00:00"/>
    <n v="598"/>
  </r>
  <r>
    <n v="1824"/>
    <x v="1"/>
    <s v="signal lights flickering…seems to be in light chord"/>
    <d v="2018-06-15T00:00:00"/>
    <n v="591"/>
  </r>
  <r>
    <n v="1824"/>
    <x v="4"/>
    <s v="DRIVERS SIDE DOOR LOCKING ON IT OWN"/>
    <d v="2018-06-20T00:00:00"/>
    <n v="586"/>
  </r>
  <r>
    <n v="1824"/>
    <x v="3"/>
    <s v="DRIVER'S SIDE MIRROR TURN SIGNAL VIBRATES VIOLENTLY - SEEMS TIGHT COULD NOT LOCATE REASON"/>
    <d v="2018-06-22T00:00:00"/>
    <n v="584"/>
  </r>
  <r>
    <n v="1824"/>
    <x v="14"/>
    <s v="CHECK ENGINE LIGHT ON."/>
    <d v="2018-06-27T00:00:00"/>
    <n v="579"/>
  </r>
  <r>
    <n v="1824"/>
    <x v="3"/>
    <s v="DRIVER'S SIDE BREATHER LIGHT OUT"/>
    <d v="2018-06-28T00:00:00"/>
    <n v="578"/>
  </r>
  <r>
    <n v="1824"/>
    <x v="20"/>
    <s v="SUPPLY (RED) GLAD HAND HAS AIR LEAK AT TRAILER GLAD HAND."/>
    <d v="2018-07-25T00:00:00"/>
    <n v="551"/>
  </r>
  <r>
    <n v="1824"/>
    <x v="3"/>
    <s v="LEFT SIDE LOWER BREATHER LIGHT OUT"/>
    <d v="2018-07-27T00:00:00"/>
    <n v="549"/>
  </r>
  <r>
    <n v="1824"/>
    <x v="0"/>
    <s v="AUDIBLE AIR LEAK WHEN SERVICE BRAKE DEPRESSED"/>
    <d v="2018-08-10T00:00:00"/>
    <n v="535"/>
  </r>
  <r>
    <n v="1824"/>
    <x v="22"/>
    <s v="CHECK CROSS MEMBER AT BACK OF 5TH WHEEL FOR CRACKS IN STEEL."/>
    <d v="2018-07-03T00:00:00"/>
    <n v="573"/>
  </r>
  <r>
    <n v="1824"/>
    <x v="11"/>
    <s v="POWER MIRROS STICKING - DO NOT ROTATE SMOOTHLY"/>
    <d v="2018-08-10T00:00:00"/>
    <n v="535"/>
  </r>
  <r>
    <n v="1824"/>
    <x v="3"/>
    <s v="DRIVER'S SIDE HEAD LIGHT OUT"/>
    <d v="2018-09-18T00:00:00"/>
    <n v="496"/>
  </r>
  <r>
    <n v="1824"/>
    <x v="1"/>
    <s v="FUEL GAUGE READS FULL ALL THE TIME"/>
    <d v="2018-09-13T00:00:00"/>
    <n v="501"/>
  </r>
  <r>
    <n v="1824"/>
    <x v="4"/>
    <s v="DRIVER'S SIDE DOOR LOCKING ON IT'S OWN - HAPPENED SEVERAL TIMES TODAY"/>
    <d v="2018-09-19T00:00:00"/>
    <n v="495"/>
  </r>
  <r>
    <n v="1824"/>
    <x v="4"/>
    <s v="DRIVER SIDE DOOR WILL LOCK ON ITS OWN AND DOOR LATCH IS NOT WORKING PROPERLY"/>
    <d v="2018-10-26T00:00:00"/>
    <n v="458"/>
  </r>
  <r>
    <n v="1824"/>
    <x v="1"/>
    <s v="ANNUAL INPSPECTION DUE IN NOVEMBER"/>
    <d v="2018-11-01T00:00:00"/>
    <m/>
  </r>
  <r>
    <n v="1824"/>
    <x v="1"/>
    <s v="AIR LINE ON LEFT SIDE REAR BAG IS BROKEN OFF"/>
    <d v="2018-11-05T00:00:00"/>
    <n v="448"/>
  </r>
  <r>
    <n v="1824"/>
    <x v="3"/>
    <s v="DRIVERS SIDE HEAD LIGHT OUT - PLEASE REPLACE WITH NIGHTHAWK H11"/>
    <d v="2018-11-13T00:00:00"/>
    <n v="440"/>
  </r>
  <r>
    <n v="1824"/>
    <x v="23"/>
    <s v="SLOW COOLANT LEAK ON RIGHT SIDE OF ENGINE - DRIVER CAN SEE SMALL POOLING AFTER TRUCK HAS BEEN PARKED OVERNIGHT"/>
    <d v="2018-10-26T00:00:00"/>
    <n v="458"/>
  </r>
  <r>
    <n v="1824"/>
    <x v="2"/>
    <s v="DRIVER'S SIDE WINDOW SWITCH IS ONLY WORKING RANDOMLY"/>
    <d v="2018-10-26T00:00:00"/>
    <n v="458"/>
  </r>
  <r>
    <n v="1824"/>
    <x v="4"/>
    <s v="DOOR LOCK ACTUATOR NOT WORKING BOTH SIDE - DRIVER;S SIDE NOT WOKING AT ALL AND PASSENGER SIDE WILL ONLY UNLOCK"/>
    <d v="2018-12-20T00:00:00"/>
    <n v="403"/>
  </r>
  <r>
    <n v="1824"/>
    <x v="18"/>
    <s v="RE-TORQUE DRIVER'S SIDE REAR AXLE"/>
    <d v="2018-12-27T00:00:00"/>
    <n v="396"/>
  </r>
  <r>
    <n v="1643"/>
    <x v="28"/>
    <s v="FIRST AID KIT MISSING FROM TRUCK"/>
    <d v="2018-12-21T00:00:00"/>
    <n v="402"/>
  </r>
  <r>
    <n v="1643"/>
    <x v="1"/>
    <s v="LEAKING OIL"/>
    <d v="2019-06-10T00:00:00"/>
    <n v="231"/>
  </r>
  <r>
    <n v="1825"/>
    <x v="14"/>
    <s v="TURBO MAKING NEW NOISE AT HEAVY LOAD SOUNDS LIKE IT IS SUCKING OR BLOWING AIR - TRUCKS RUNS FINE AND HAS JUST CAME BACK FROM RAD REPLACEMENT AND OTHER MINOR REPAIRS"/>
    <d v="2017-12-18T00:00:00"/>
    <n v="770"/>
  </r>
  <r>
    <n v="1825"/>
    <x v="5"/>
    <s v="Driver side floor vents seem to blow very little to no heat - all other vents working fine"/>
    <d v="2017-12-28T00:00:00"/>
    <n v="760"/>
  </r>
  <r>
    <n v="1825"/>
    <x v="1"/>
    <s v="CB RADIO ONLY WORKING INTERMITTENLY"/>
    <d v="2018-01-08T00:00:00"/>
    <n v="749"/>
  </r>
  <r>
    <n v="1825"/>
    <x v="20"/>
    <s v="green electrical cord has broken wires"/>
    <d v="2018-01-31T00:00:00"/>
    <n v="726"/>
  </r>
  <r>
    <n v="1825"/>
    <x v="3"/>
    <s v="1 - visor light out"/>
    <d v="2018-01-31T00:00:00"/>
    <n v="726"/>
  </r>
  <r>
    <n v="1825"/>
    <x v="1"/>
    <s v="missing step rivets"/>
    <d v="2018-01-31T00:00:00"/>
    <n v="726"/>
  </r>
  <r>
    <n v="1825"/>
    <x v="5"/>
    <s v="Both ESBAR heaters failed to start - Cab heater seems to run in warmer Temps but Engine heater continuing to fail."/>
    <d v="2017-12-27T00:00:00"/>
    <n v="761"/>
  </r>
  <r>
    <n v="1825"/>
    <x v="3"/>
    <s v="LIC. PLATE LIGHT OUT"/>
    <d v="2018-01-22T00:00:00"/>
    <n v="735"/>
  </r>
  <r>
    <n v="1825"/>
    <x v="16"/>
    <s v="WINDSHIELD WASHER FLUID TANK CRACKED AND LEAKING"/>
    <d v="2018-01-25T00:00:00"/>
    <n v="732"/>
  </r>
  <r>
    <n v="1825"/>
    <x v="0"/>
    <s v="brake chamber leaking Air."/>
    <d v="2018-02-07T00:00:00"/>
    <n v="719"/>
  </r>
  <r>
    <n v="1825"/>
    <x v="5"/>
    <s v="ESBAR ENGINE HEATER NOT WORKING   "/>
    <d v="2018-02-05T00:00:00"/>
    <n v="721"/>
  </r>
  <r>
    <n v="1825"/>
    <x v="17"/>
    <s v="1/4 &quot; COOLANT LINE MOUNTED TO RIGHT SIDE OF RAD HAVE BROKEN CLAMP"/>
    <d v="2018-02-05T00:00:00"/>
    <n v="721"/>
  </r>
  <r>
    <n v="1825"/>
    <x v="0"/>
    <s v="STABILITY CONTROL LIGHT ON"/>
    <d v="2018-02-07T00:00:00"/>
    <n v="719"/>
  </r>
  <r>
    <n v="1825"/>
    <x v="1"/>
    <s v="CB RADIO HAS POWER BUT RECEPTION AND TRANSMISSION ONLY WORKING SOMETIMES"/>
    <d v="2018-02-08T00:00:00"/>
    <n v="718"/>
  </r>
  <r>
    <n v="1825"/>
    <x v="0"/>
    <s v="ATC LIGHT ON AND SWITCH ON - DRIVER COULD NOT DIS-ENGAUGE"/>
    <d v="2018-02-08T00:00:00"/>
    <n v="718"/>
  </r>
  <r>
    <n v="1825"/>
    <x v="0"/>
    <s v="ABS FAULT - DASH INDICATING A PRESSURE SENSOR ISSUE"/>
    <d v="2018-02-08T00:00:00"/>
    <n v="718"/>
  </r>
  <r>
    <n v="1825"/>
    <x v="19"/>
    <s v="lift axle will not go up or down - please check switch in truck"/>
    <d v="2018-02-20T00:00:00"/>
    <n v="706"/>
  </r>
  <r>
    <n v="1825"/>
    <x v="3"/>
    <s v="2x visor lights out"/>
    <d v="2018-02-28T00:00:00"/>
    <n v="698"/>
  </r>
  <r>
    <n v="1825"/>
    <x v="3"/>
    <s v="3 breather lights out..driver side"/>
    <d v="2018-03-27T00:00:00"/>
    <n v="671"/>
  </r>
  <r>
    <n v="1825"/>
    <x v="3"/>
    <s v="visor light out"/>
    <d v="2018-03-27T00:00:00"/>
    <n v="671"/>
  </r>
  <r>
    <n v="1825"/>
    <x v="25"/>
    <s v="CLUTCH ADJUSTMENT NEEDED"/>
    <d v="2018-04-07T00:00:00"/>
    <m/>
  </r>
  <r>
    <n v="1825"/>
    <x v="1"/>
    <s v="DRIVER SEAT HAS NO CUSION LEFT IN IT - PLEASE REPLACE"/>
    <d v="2018-04-06T00:00:00"/>
    <n v="661"/>
  </r>
  <r>
    <n v="1825"/>
    <x v="1"/>
    <s v="SERVICE DUE IN APRIL"/>
    <d v="2018-04-05T00:00:00"/>
    <n v="662"/>
  </r>
  <r>
    <n v="1825"/>
    <x v="1"/>
    <s v="Gouge in supply line ,threads visiable"/>
    <d v="2018-04-20T00:00:00"/>
    <n v="-2"/>
  </r>
  <r>
    <n v="1825"/>
    <x v="1"/>
    <s v="BOTH CB ANTENNA'S ARE BROKEN AND HAVE BEEN REMOVED"/>
    <d v="2018-04-24T00:00:00"/>
    <n v="643"/>
  </r>
  <r>
    <n v="1825"/>
    <x v="20"/>
    <s v="AIR AND ELECTRICAL LINES DRAGGING ON DECK (RECENTLY HAD SUPPLY LINE REPIAR COMPLETED)"/>
    <d v="2018-04-23T00:00:00"/>
    <n v="644"/>
  </r>
  <r>
    <n v="1825"/>
    <x v="16"/>
    <s v="PLEASE REPLACE BOTH WINDSHIELD WIPERS WITH A SUMMER STYLE."/>
    <d v="2018-04-25T00:00:00"/>
    <n v="642"/>
  </r>
  <r>
    <n v="1825"/>
    <x v="19"/>
    <s v="AIR LINE FOR LEVELING VALVE BROKEN"/>
    <d v="2018-06-11T00:00:00"/>
    <n v="595"/>
  </r>
  <r>
    <n v="1825"/>
    <x v="11"/>
    <s v="DRIVERS SIDE POWER MIRROR IS BROKEN INSIDE - IT SHAKES AND VIBRATES ALL THE TIME."/>
    <d v="2018-07-11T00:00:00"/>
    <n v="565"/>
  </r>
  <r>
    <n v="1825"/>
    <x v="29"/>
    <s v="DASH GAUGES NOT WORKING"/>
    <d v="2018-07-06T00:00:00"/>
    <n v="570"/>
  </r>
  <r>
    <n v="1825"/>
    <x v="1"/>
    <s v="CB RADIO DOES NOT WORKING MOST OF THE TIME"/>
    <d v="2018-07-10T00:00:00"/>
    <n v="566"/>
  </r>
  <r>
    <n v="1825"/>
    <x v="1"/>
    <s v="CB RADIO WORKING SPORATICALLY - CB MIC AND CABLE HAVE ALREADY BEEN REPLACED"/>
    <d v="2018-08-03T00:00:00"/>
    <n v="542"/>
  </r>
  <r>
    <n v="1825"/>
    <x v="25"/>
    <s v="CLUTCH NEEDS READJUSTED."/>
    <d v="2018-08-03T00:00:00"/>
    <n v="542"/>
  </r>
  <r>
    <n v="1825"/>
    <x v="1"/>
    <s v="ON/OFF SWITCH FOR BOSE SEAT NOT WORKING"/>
    <d v="2018-07-20T00:00:00"/>
    <n v="556"/>
  </r>
  <r>
    <n v="1825"/>
    <x v="4"/>
    <s v="DRIVER SIDE WINDOW NOT WORKING"/>
    <d v="2018-08-10T00:00:00"/>
    <n v="535"/>
  </r>
  <r>
    <n v="1825"/>
    <x v="3"/>
    <s v="VISOR LIGHT OUT"/>
    <d v="2018-08-16T00:00:00"/>
    <n v="529"/>
  </r>
  <r>
    <n v="1825"/>
    <x v="25"/>
    <s v="clutch adjusted too much….1'' from floor"/>
    <d v="2018-08-27T00:00:00"/>
    <n v="518"/>
  </r>
  <r>
    <n v="1825"/>
    <x v="1"/>
    <s v="am/fm has poor radio reception"/>
    <d v="2018-08-27T00:00:00"/>
    <n v="518"/>
  </r>
  <r>
    <n v="1825"/>
    <x v="19"/>
    <s v="driver complaining that this unit rides like a tank…..air bags under cab set too hard? "/>
    <d v="2018-08-27T00:00:00"/>
    <n v="518"/>
  </r>
  <r>
    <n v="1825"/>
    <x v="1"/>
    <s v="bose seat wont turn on"/>
    <d v="2018-08-27T00:00:00"/>
    <n v="518"/>
  </r>
  <r>
    <n v="1825"/>
    <x v="1"/>
    <s v="AIR TANKS DRAIN COMPLETELY WHEN PARKED OVER NIGHT"/>
    <d v="2018-09-05T00:00:00"/>
    <n v="509"/>
  </r>
  <r>
    <n v="1825"/>
    <x v="22"/>
    <s v="CROSS MEMBER ON 5TH WHEEL SLIDE RAIL IS CRACKED -- I HAVE ALREADY SENT PICS TO MATT ELLIOT"/>
    <d v="2018-09-27T00:00:00"/>
    <n v="487"/>
  </r>
  <r>
    <n v="1825"/>
    <x v="5"/>
    <s v="ESBAR ENGINE HEATER DISPLAY READS ERROR"/>
    <d v="2018-10-02T00:00:00"/>
    <n v="482"/>
  </r>
  <r>
    <n v="1825"/>
    <x v="3"/>
    <s v="WIRING ISSUE CAUSING LIGHTS TO STAY ON - CORRODED WIRE CAN BE SEEN INSIDE FUSE PANEL UNDER HOOD, RELAY MAKES CONTINOUS HUMMING NOISE"/>
    <d v="2018-11-12T00:00:00"/>
    <n v="441"/>
  </r>
  <r>
    <n v="1825"/>
    <x v="1"/>
    <s v="ANNUAL INPSPECTION DUE IN DECEMBER"/>
    <d v="2018-11-01T00:00:00"/>
    <n v="452"/>
  </r>
  <r>
    <n v="1825"/>
    <x v="1"/>
    <s v="SEVERE CORROSION ON MOUNTING CONNECTION FOR RADIO ANTENNA AT BACK OF CAB (OUTSIDE OF TRUCK)"/>
    <d v="2018-09-27T00:00:00"/>
    <n v="487"/>
  </r>
  <r>
    <n v="1825"/>
    <x v="5"/>
    <s v="ESBAR engine heater not working"/>
    <d v="2018-11-12T00:00:00"/>
    <n v="441"/>
  </r>
  <r>
    <n v="1825"/>
    <x v="16"/>
    <s v="need new wipers…washer fluid not spraying on entire window"/>
    <d v="2018-11-22T00:00:00"/>
    <n v="431"/>
  </r>
  <r>
    <n v="1825"/>
    <x v="5"/>
    <s v="left side floor vent not blowing heat…cold feet!"/>
    <d v="2018-11-22T00:00:00"/>
    <n v="431"/>
  </r>
  <r>
    <n v="1825"/>
    <x v="11"/>
    <s v="RIGHT SIDE HOOD MIRROR HAS BROKEN HOOD MOUNT."/>
    <d v="2018-12-10T00:00:00"/>
    <n v="413"/>
  </r>
  <r>
    <n v="1643"/>
    <x v="1"/>
    <s v="AIR CONDITIONER NOT BLOWING CORRECTLY THROUGH DASHBOARD VENTS 6/3/19  - AIR CONDITIONING NOW NO LONGER WORKING 7/3/19"/>
    <d v="2019-06-03T00:00:00"/>
    <n v="238"/>
  </r>
  <r>
    <n v="1643"/>
    <x v="1"/>
    <s v="FRONT END SHAKES AT 60-80km/h"/>
    <d v="2019-06-28T00:00:00"/>
    <n v="213"/>
  </r>
  <r>
    <n v="1643"/>
    <x v="13"/>
    <s v="STEERING PULLS RIGHT WHEN BRAKING"/>
    <d v="2019-06-28T00:00:00"/>
    <n v="518"/>
  </r>
  <r>
    <n v="1643"/>
    <x v="1"/>
    <s v="GEAR SHIFT MARKER IS OFF TRACK"/>
    <d v="2019-07-02T00:00:00"/>
    <n v="209"/>
  </r>
  <r>
    <n v="1643"/>
    <x v="4"/>
    <s v="NEEDS RIGHT SIDE DOCK BUMPER REPLACED - PLEASE REPLACE BOTH IF LEFT SIDE IS WORN"/>
    <d v="2019-09-09T00:00:00"/>
    <n v="140"/>
  </r>
  <r>
    <n v="1643"/>
    <x v="1"/>
    <s v="ROLL UP DOOR NEEDS 2 DOOR HINGES REPLACED - AS PER DYLAN'S PMA SERVICE"/>
    <d v="2019-09-09T00:00:00"/>
    <n v="140"/>
  </r>
  <r>
    <n v="1643"/>
    <x v="14"/>
    <s v="TXV VALVE LEAKING - AS PER DYLAN'S PMA SERVICE"/>
    <d v="2019-09-09T00:00:00"/>
    <n v="140"/>
  </r>
  <r>
    <n v="1643"/>
    <x v="14"/>
    <s v="DEF DOSER VALVE LEAKING - AS PER DYLAN'S PMA SERVICE"/>
    <d v="2019-09-09T00:00:00"/>
    <n v="140"/>
  </r>
  <r>
    <n v="1826"/>
    <x v="0"/>
    <s v="Brake pedal sticking"/>
    <d v="2018-01-11T00:00:00"/>
    <n v="746"/>
  </r>
  <r>
    <n v="1826"/>
    <x v="4"/>
    <s v="Passenger side door very difficult to close"/>
    <d v="2018-01-17T00:00:00"/>
    <n v="740"/>
  </r>
  <r>
    <n v="1826"/>
    <x v="3"/>
    <s v="LIC. PLATE LIGHT OUT"/>
    <d v="2018-01-22T00:00:00"/>
    <m/>
  </r>
  <r>
    <n v="1826"/>
    <x v="0"/>
    <s v="ABS LIGHT ON"/>
    <d v="2018-01-24T00:00:00"/>
    <n v="733"/>
  </r>
  <r>
    <n v="1826"/>
    <x v="22"/>
    <s v="FIFTH WHEEL SLIDE RAIL STOP BLOCKS MISSING FROM 5TH WHEEL REPLACEMENT ON OCT 20TH 2017"/>
    <d v="2018-01-24T00:00:00"/>
    <n v="733"/>
  </r>
  <r>
    <n v="1826"/>
    <x v="0"/>
    <s v="stability control light on."/>
    <d v="2018-02-01T00:00:00"/>
    <n v="725"/>
  </r>
  <r>
    <n v="1826"/>
    <x v="0"/>
    <s v="Brake pedal sticking"/>
    <d v="2018-01-11T00:00:00"/>
    <n v="20"/>
  </r>
  <r>
    <n v="1826"/>
    <x v="14"/>
    <s v="check engine light on"/>
    <d v="2018-02-01T00:00:00"/>
    <n v="725"/>
  </r>
  <r>
    <n v="1826"/>
    <x v="2"/>
    <s v="DRIVERS SIDE WINDOW SEEMS TO BE BINDING AND SLOW TO GO UP OR DOWN"/>
    <d v="2018-02-21T00:00:00"/>
    <n v="705"/>
  </r>
  <r>
    <n v="1826"/>
    <x v="3"/>
    <s v="Passenger side low beam out"/>
    <d v="2018-02-27T00:00:00"/>
    <n v="699"/>
  </r>
  <r>
    <n v="1826"/>
    <x v="3"/>
    <s v="2x VISOR LIGHTS OUT"/>
    <d v="2018-02-27T00:00:00"/>
    <n v="699"/>
  </r>
  <r>
    <n v="1826"/>
    <x v="1"/>
    <s v="SERVICE DUE IN APRIL"/>
    <d v="2018-04-05T00:00:00"/>
    <n v="662"/>
  </r>
  <r>
    <n v="1826"/>
    <x v="3"/>
    <s v="VISOR LIGHT OUT"/>
    <d v="2018-05-03T00:00:00"/>
    <m/>
  </r>
  <r>
    <n v="1826"/>
    <x v="4"/>
    <s v="FENDER BRAKET BROKEN ON DRIVERS SIDE."/>
    <d v="2018-05-03T00:00:00"/>
    <n v="634"/>
  </r>
  <r>
    <n v="1826"/>
    <x v="17"/>
    <s v="AIR LEAK ON TOP OF TRANSMISSION"/>
    <d v="2018-05-18T00:00:00"/>
    <n v="619"/>
  </r>
  <r>
    <n v="1826"/>
    <x v="1"/>
    <s v="OUTSIDE TEMP GAUGE NOT READING CORRECT TEMP."/>
    <d v="2018-05-24T00:00:00"/>
    <n v="613"/>
  </r>
  <r>
    <n v="1826"/>
    <x v="14"/>
    <s v="ENGINE FAN RUNNING ALMOST CONSTANTLY - ENGINE RUNS AT NORMAL TEMPERATURE - REPORTED AGAIN ON AUG 3 2018"/>
    <d v="2018-07-31T00:00:00"/>
    <n v="545"/>
  </r>
  <r>
    <n v="1826"/>
    <x v="1"/>
    <s v="DRIVERS SIDE DOOR HANDLE IS BROKEN - STEEL RETURN SPRING HAS BROKEN AND FALLEN OUT "/>
    <d v="2018-09-13T00:00:00"/>
    <n v="501"/>
  </r>
  <r>
    <n v="1826"/>
    <x v="15"/>
    <s v="air leak top of transmission"/>
    <d v="2018-10-12T00:00:00"/>
    <n v="472"/>
  </r>
  <r>
    <n v="1826"/>
    <x v="3"/>
    <s v="LICENCE PLATE LIGHT OUT"/>
    <d v="2018-10-24T00:00:00"/>
    <n v="460"/>
  </r>
  <r>
    <n v="1826"/>
    <x v="14"/>
    <s v="ENGINE FAN KICKING IN AND OUT REGULARILY"/>
    <d v="2018-10-26T00:00:00"/>
    <n v="458"/>
  </r>
  <r>
    <n v="1826"/>
    <x v="1"/>
    <s v="ANNUAL INPSPECTION DUE IN NOVEMBER"/>
    <d v="2018-11-01T00:00:00"/>
    <n v="452"/>
  </r>
  <r>
    <n v="1826"/>
    <x v="3"/>
    <s v="ALL SKIRT LIGHTS, UNDER CAB LIGHTS AND BREATHER LIGHTS ARE NOT WORKING. DRIVER THINKS THIS IS LIKELY AN ISSUE WITH BROKEN WIRING BLOWING FUSES"/>
    <d v="2018-12-04T00:00:00"/>
    <n v="419"/>
  </r>
  <r>
    <n v="1643"/>
    <x v="13"/>
    <s v="TRUCK SHAKES EXCESSIVELY BETWEEN 80-100 KM/HR"/>
    <d v="2019-09-26T00:00:00"/>
    <n v="123"/>
  </r>
  <r>
    <n v="1643"/>
    <x v="10"/>
    <s v="TIRE ON DRIVERS SIDE NEED TO BE REMOVED AND REPLACED AS PER DYLAN - TIRE DID NOT SIT PROPERLY ON RIM CAUSING TRUCK TO WOBBLE BETWEEN 75 AND 80 KPH"/>
    <d v="2019-09-30T00:00:00"/>
    <n v="119"/>
  </r>
  <r>
    <n v="1827"/>
    <x v="3"/>
    <s v="BRACKET FOR PASSENGER SIDE MIRROR SIGNAL LIGHT BROKEN - CURRENTLY CABLE TIED TOGETHER"/>
    <d v="2017-12-20T00:00:00"/>
    <n v="768"/>
  </r>
  <r>
    <n v="1827"/>
    <x v="14"/>
    <s v="Yellow Check engine light on. Our Fault Code Report indicates Low Voltage. This did not start first thing in the morning on a cold day it came on near the end of the drivers day"/>
    <d v="2018-01-08T00:00:00"/>
    <n v="749"/>
  </r>
  <r>
    <n v="1827"/>
    <x v="3"/>
    <s v="TAIL LIGHTS NOT WORKING ON TRAILER - NEEDS TRL FUSE REPLACED"/>
    <d v="2018-01-23T00:00:00"/>
    <n v="734"/>
  </r>
  <r>
    <n v="1827"/>
    <x v="3"/>
    <s v="VISOR LIGHT OUT"/>
    <d v="2018-01-24T00:00:00"/>
    <n v="733"/>
  </r>
  <r>
    <n v="1827"/>
    <x v="14"/>
    <s v="CEL LIGHT ON - TRUCK NOT RUNNING AT PEAK POWER AND NOT GETTING REGULAR BOOST FROM TURBO."/>
    <d v="2018-01-24T00:00:00"/>
    <n v="733"/>
  </r>
  <r>
    <n v="1827"/>
    <x v="3"/>
    <s v="left rear parking light not working…signal works"/>
    <d v="2018-01-30T00:00:00"/>
    <m/>
  </r>
  <r>
    <n v="1827"/>
    <x v="3"/>
    <s v="2 right side skirt lights out"/>
    <d v="2018-01-30T00:00:00"/>
    <m/>
  </r>
  <r>
    <n v="1827"/>
    <x v="4"/>
    <s v="2x STEP RIVETS"/>
    <d v="2018-02-03T00:00:00"/>
    <m/>
  </r>
  <r>
    <n v="1827"/>
    <x v="3"/>
    <s v="2 x UTILITY LIGHT ON BACK OF CAB IS OUT"/>
    <d v="2018-02-06T00:00:00"/>
    <n v="720"/>
  </r>
  <r>
    <n v="1827"/>
    <x v="18"/>
    <s v="retorque both rear drive axles on both sides"/>
    <d v="2018-03-12T00:00:00"/>
    <n v="686"/>
  </r>
  <r>
    <n v="1827"/>
    <x v="5"/>
    <s v="Esbar Cab heater exhausting thick smoke ( Outside of Cab ) and will not stay running"/>
    <d v="2018-03-06T00:00:00"/>
    <n v="692"/>
  </r>
  <r>
    <n v="1827"/>
    <x v="14"/>
    <s v="CEL LIGHT ON"/>
    <d v="2018-02-08T00:00:00"/>
    <n v="718"/>
  </r>
  <r>
    <n v="1827"/>
    <x v="3"/>
    <s v="LIC. PLATE LIGHT OUT"/>
    <d v="2018-04-24T00:00:00"/>
    <m/>
  </r>
  <r>
    <n v="1827"/>
    <x v="3"/>
    <s v="VISOR LIGHT OUT"/>
    <d v="2018-05-02T00:00:00"/>
    <n v="635"/>
  </r>
  <r>
    <n v="1827"/>
    <x v="1"/>
    <s v="WINDSHIELD WASHER RESIVIOR CRACKED AND LEAKING"/>
    <d v="2018-05-03T00:00:00"/>
    <n v="634"/>
  </r>
  <r>
    <n v="1827"/>
    <x v="4"/>
    <s v="SAFTETY CABLE UNDER HOOD HAS CORREDED AND SNAPPED"/>
    <d v="2018-05-03T00:00:00"/>
    <s v=" "/>
  </r>
  <r>
    <n v="1827"/>
    <x v="4"/>
    <s v="FENDER SUPPORTS ON BOTH SIDES ARE BROKEN"/>
    <d v="2018-05-10T00:00:00"/>
    <n v="627"/>
  </r>
  <r>
    <n v="1827"/>
    <x v="22"/>
    <s v="CROSS MEMBER BEHIND 5TH WHEEL HAS BRIKEN WELDS ON BOTH SIDES"/>
    <d v="2018-05-15T00:00:00"/>
    <n v="622"/>
  </r>
  <r>
    <n v="1827"/>
    <x v="22"/>
    <s v="AIR LEAK AT 5TH WHEEL CYLINDER"/>
    <d v="2018-05-28T00:00:00"/>
    <n v="609"/>
  </r>
  <r>
    <n v="1827"/>
    <x v="3"/>
    <s v="BREATHER LIGHT OUT ON DRIVERS SIDE"/>
    <d v="2018-05-28T00:00:00"/>
    <n v="609"/>
  </r>
  <r>
    <n v="1827"/>
    <x v="20"/>
    <s v="TRUCK NOT POWERING REVERS-O-MATIC"/>
    <d v="2018-05-06T00:00:00"/>
    <n v="631"/>
  </r>
  <r>
    <n v="1827"/>
    <x v="14"/>
    <s v="3 engine codes have come up"/>
    <d v="2018-06-15T00:00:00"/>
    <n v="591"/>
  </r>
  <r>
    <n v="1827"/>
    <x v="14"/>
    <s v="CEL LIGHT ON"/>
    <d v="2018-07-16T00:00:00"/>
    <n v="560"/>
  </r>
  <r>
    <n v="1827"/>
    <x v="4"/>
    <s v="MAJOR DEFECT** DRIVER SIDE DOOR NOT LATCHING PROPERLY"/>
    <d v="2018-08-03T00:00:00"/>
    <n v="542"/>
  </r>
  <r>
    <n v="1827"/>
    <x v="3"/>
    <s v="BREATHER LIGHT OUT ON PASSENGER SIDE"/>
    <d v="2018-08-09T00:00:00"/>
    <n v="536"/>
  </r>
  <r>
    <n v="1827"/>
    <x v="3"/>
    <s v="license plate light out"/>
    <d v="2018-08-30T00:00:00"/>
    <n v="515"/>
  </r>
  <r>
    <n v="1827"/>
    <x v="0"/>
    <s v="BRAKE PEDAL IS STICKING"/>
    <d v="2018-09-11T00:00:00"/>
    <n v="503"/>
  </r>
  <r>
    <n v="1827"/>
    <x v="3"/>
    <s v="LICENSE PLATE LIGHT OUT"/>
    <d v="2018-10-16T00:00:00"/>
    <n v="468"/>
  </r>
  <r>
    <n v="1827"/>
    <x v="1"/>
    <s v="ANNUAL INPSECTION DUE OCTOBER"/>
    <d v="2018-10-01T00:00:00"/>
    <n v="483"/>
  </r>
  <r>
    <n v="1827"/>
    <x v="23"/>
    <s v="COOLANT LEAK FROM UPPER RAD HOSE AT BLUE RUBBER PIPE CONNECTION"/>
    <d v="2018-10-26T00:00:00"/>
    <n v="458"/>
  </r>
  <r>
    <n v="1827"/>
    <x v="14"/>
    <s v="LIGHT WHISTLE SOUND COMING FROM ENGINEWHILE TURBO IS AT FULL BOOST"/>
    <d v="2018-11-02T00:00:00"/>
    <n v="451"/>
  </r>
  <r>
    <n v="1827"/>
    <x v="19"/>
    <s v="AIR LEAK ON DRIVERS SIDE REARMOST AIR BAG - WE THINK IT IS THE FITTING BUT COULD NOT PIN POINT"/>
    <d v="2018-11-09T00:00:00"/>
    <n v="444"/>
  </r>
  <r>
    <n v="1827"/>
    <x v="6"/>
    <s v="MOUNTING BOLT BROKEN FOR EXHAUST STACK ON PASSENGER SIDE "/>
    <d v="2018-11-22T00:00:00"/>
    <n v="431"/>
  </r>
  <r>
    <n v="1827"/>
    <x v="1"/>
    <s v="ATC LIGHT ON, ABS LIGHT ON AND CHECK ENGINE LIGHT ON."/>
    <d v="2018-11-26T00:00:00"/>
    <n v="427"/>
  </r>
  <r>
    <n v="1827"/>
    <x v="1"/>
    <s v="WATER LEAKING INTO TRUCK WHERE AC EVAPORATOR IS - FLOOR VERY WET AROUND PASSENGER SIDE."/>
    <d v="2018-11-26T00:00:00"/>
    <n v="427"/>
  </r>
  <r>
    <n v="1827"/>
    <x v="3"/>
    <s v="PASSENGER SIDE SKIRT LIGHTS OUT - DRIVER CAN SEE A SPLIT WIRE"/>
    <d v="2018-11-29T00:00:00"/>
    <n v="424"/>
  </r>
  <r>
    <n v="1827"/>
    <x v="3"/>
    <s v="LIC PLATE LIGHT OUT"/>
    <d v="2018-12-05T00:00:00"/>
    <n v="418"/>
  </r>
  <r>
    <n v="1827"/>
    <x v="25"/>
    <s v="CLUTCH OUT OF ADJUSTMENT  - HAS NO FREE PLAY AT TOP OF CLUTCH DRIVER WOULD PREFER TO HAVE 1.5 - 2 INCHES OF FREE TRAVEL BEFORE ENGAUGING CLUTCH."/>
    <d v="2018-12-06T00:00:00"/>
    <n v="417"/>
  </r>
  <r>
    <n v="1827"/>
    <x v="3"/>
    <s v="LIC PLATE LIGHT OUT"/>
    <d v="2018-12-11T00:00:00"/>
    <n v="412"/>
  </r>
  <r>
    <n v="1827"/>
    <x v="3"/>
    <s v="BREATHER LIGHT OUT ON DRIVER'S SIDE"/>
    <d v="2018-12-11T00:00:00"/>
    <n v="412"/>
  </r>
  <r>
    <n v="1827"/>
    <x v="3"/>
    <s v="ALL ACCESSORY LIGHTS OUT ON BOTH SIDE - BREATHER, SKIRT AND UNDER CAB"/>
    <d v="2018-12-14T00:00:00"/>
    <n v="409"/>
  </r>
  <r>
    <n v="1643"/>
    <x v="18"/>
    <s v="PASSENGER SIDE HUB IS TOO TIGHT AS PER DYLAN - TIRE HAS NO FREE SPIN AND THERE IS NO BRAKE GRAB"/>
    <d v="2019-09-30T00:00:00"/>
    <n v="119"/>
  </r>
  <r>
    <n v="1643"/>
    <x v="23"/>
    <s v="LOWER RAD PIPE NEEDS REPLACED AS PER DYLAN - HEAVY CORROSION"/>
    <d v="2019-09-30T00:00:00"/>
    <n v="119"/>
  </r>
  <r>
    <n v="1643"/>
    <x v="19"/>
    <s v="MAY NEED AN ALIGNMENT - TIRES ON BOTH SIDES WEARING ON OUTER EDGES"/>
    <d v="2019-09-30T00:00:00"/>
    <n v="119"/>
  </r>
  <r>
    <n v="1643"/>
    <x v="18"/>
    <s v="RETORQUE STEER AXLE BOTH SIDES"/>
    <d v="2019-10-08T00:00:00"/>
    <n v="111"/>
  </r>
  <r>
    <n v="1828"/>
    <x v="21"/>
    <s v="fluid leaking at rear of front diff. near drive shaft "/>
    <d v="2017-11-24T00:00:00"/>
    <n v="794"/>
  </r>
  <r>
    <n v="1828"/>
    <x v="21"/>
    <s v="please check ride height truck vibrates after having rear drive tires replaced"/>
    <d v="2017-12-04T00:00:00"/>
    <n v="784"/>
  </r>
  <r>
    <n v="1828"/>
    <x v="21"/>
    <s v="VIBRATION UNDER PULL"/>
    <d v="2017-12-08T00:00:00"/>
    <n v="780"/>
  </r>
  <r>
    <n v="1828"/>
    <x v="4"/>
    <s v="rattling noise from inside driver side door."/>
    <d v="2018-01-10T00:00:00"/>
    <n v="747"/>
  </r>
  <r>
    <n v="1828"/>
    <x v="5"/>
    <s v="ESBAR CAB AND ENGINE HEATERS WOULD NOT START - DRIVER HAS ADDED CONDITIONER"/>
    <d v="2017-12-21T00:00:00"/>
    <n v="767"/>
  </r>
  <r>
    <n v="1828"/>
    <x v="21"/>
    <s v="DIFF LOCK AIR LINE BROKEN, REAR DIFF WILL NOT LOCK - DRIVER ADDED GREEN ZIP TIE FOR EASY IDENTIFICATION"/>
    <d v="2018-01-16T00:00:00"/>
    <n v="741"/>
  </r>
  <r>
    <n v="1828"/>
    <x v="19"/>
    <s v="Air line from leveling valve to top of left rear air bag keeps falliang out of fitting - driver has taped together and added green zip tie to help identify the line"/>
    <d v="2018-01-18T00:00:00"/>
    <n v="739"/>
  </r>
  <r>
    <n v="1828"/>
    <x v="1"/>
    <s v="DRIVERS SIDE STEP MISSING RIVETS"/>
    <d v="2018-01-22T00:00:00"/>
    <n v="735"/>
  </r>
  <r>
    <n v="1828"/>
    <x v="3"/>
    <s v="TAIL LIGHTS NOT WORKING ON TRAILER - NEEDS TRL FUSE REPLACED"/>
    <d v="2018-01-23T00:00:00"/>
    <n v="734"/>
  </r>
  <r>
    <n v="1828"/>
    <x v="5"/>
    <s v="engine heater FAILING WHEN TEMP BELOW -11"/>
    <d v="2018-01-25T00:00:00"/>
    <n v="732"/>
  </r>
  <r>
    <n v="1643"/>
    <x v="16"/>
    <s v="DRIVER SIDE WIPER BLADE DAMAGED"/>
    <d v="2019-12-04T00:00:00"/>
    <n v="54"/>
  </r>
  <r>
    <n v="1828"/>
    <x v="3"/>
    <s v="RIGHT REAR TAIL LIGHT OUT"/>
    <d v="2018-02-12T00:00:00"/>
    <n v="714"/>
  </r>
  <r>
    <n v="1828"/>
    <x v="3"/>
    <s v="RIGHT SIDE FENDER CLUSTER LIGHT OUT"/>
    <d v="2018-02-15T00:00:00"/>
    <n v="711"/>
  </r>
  <r>
    <n v="1828"/>
    <x v="3"/>
    <s v="visor light out"/>
    <d v="2018-02-20T00:00:00"/>
    <n v="706"/>
  </r>
  <r>
    <n v="1828"/>
    <x v="23"/>
    <s v="COOLANT PIPE LEAKING ON LOWER RIGHT SIDE OF ENGINE - WHERE RUBBER HOSE MEETS STEEL PIPE.  "/>
    <d v="2018-03-21T00:00:00"/>
    <n v="677"/>
  </r>
  <r>
    <n v="1828"/>
    <x v="1"/>
    <s v="DASH LIGHTS SOMETIMES NOT WORKING"/>
    <d v="2018-04-02T00:00:00"/>
    <n v="665"/>
  </r>
  <r>
    <n v="1828"/>
    <x v="20"/>
    <s v="YELLOW CORD HAS NO POWER"/>
    <d v="2018-04-02T00:00:00"/>
    <n v="665"/>
  </r>
  <r>
    <n v="1828"/>
    <x v="3"/>
    <s v="LIC. PLATE LIGHT OUT"/>
    <d v="2018-04-02T00:00:00"/>
    <n v="665"/>
  </r>
  <r>
    <n v="1828"/>
    <x v="14"/>
    <s v="ENGINE FAN COMES ON FIRST THING IN THE MORNING AND STAYS UNTIL TRUCK CAN REACH 180 DEGREES  WITH THE FAN RUNNING"/>
    <d v="2018-04-09T00:00:00"/>
    <n v="658"/>
  </r>
  <r>
    <n v="1828"/>
    <x v="1"/>
    <s v="SERVICE DUE IN APRIL"/>
    <d v="2018-04-05T00:00:00"/>
    <m/>
  </r>
  <r>
    <n v="1828"/>
    <x v="3"/>
    <s v="VISOR LIGHT OUT"/>
    <d v="2018-04-19T00:00:00"/>
    <n v="648"/>
  </r>
  <r>
    <n v="1828"/>
    <x v="3"/>
    <s v="2X LIGHTS OUT ON RIGHT SIDE BREATHER"/>
    <d v="2018-04-27T00:00:00"/>
    <n v="640"/>
  </r>
  <r>
    <n v="1828"/>
    <x v="3"/>
    <s v="VISOR LIGHT OUT"/>
    <d v="2018-05-02T00:00:00"/>
    <n v="635"/>
  </r>
  <r>
    <n v="1828"/>
    <x v="1"/>
    <s v="LEAK AT TOP OF FUEL TANK ON DRIVERS SIDE - COULD NOT LOCATE BUT MIGHT BE A LOOSE FITTING."/>
    <d v="2018-05-14T00:00:00"/>
    <n v="623"/>
  </r>
  <r>
    <n v="1828"/>
    <x v="1"/>
    <s v="REVERSE ALARM NOT WORKING"/>
    <d v="2018-05-18T00:00:00"/>
    <n v="619"/>
  </r>
  <r>
    <n v="1828"/>
    <x v="3"/>
    <s v="LIGHT OUT IN DRIVERS SIDE AIR BREATHER"/>
    <d v="2018-05-18T00:00:00"/>
    <n v="619"/>
  </r>
  <r>
    <n v="1828"/>
    <x v="18"/>
    <s v="RETORQUE DRIVE TIRES FROM REPLACEMENT"/>
    <d v="2018-06-04T00:00:00"/>
    <n v="602"/>
  </r>
  <r>
    <n v="1828"/>
    <x v="10"/>
    <s v="RETORQUE REAR DRIVES BOTH SIDES FROM TIRE REPAIR OR SERVICE COMPLETED JUNE 2, 2018"/>
    <d v="2018-06-04T00:00:00"/>
    <n v="602"/>
  </r>
  <r>
    <n v="1828"/>
    <x v="4"/>
    <s v="CAB HAS LEAK IN FLOOR - SEEMS TO BE MOSTLY WET AROUND THE PASSENGER SEAT."/>
    <d v="2018-05-18T00:00:00"/>
    <n v="619"/>
  </r>
  <r>
    <n v="1828"/>
    <x v="23"/>
    <s v="COOLANT LEAK - COULD NOT LOCATE LEAK BUT COULD SEE POOLING ON 2 SEPARATE MORNING AND IT IS WET INSIDE ENGINE COMPARTMENT"/>
    <d v="2018-06-22T00:00:00"/>
    <n v="584"/>
  </r>
  <r>
    <n v="1828"/>
    <x v="23"/>
    <s v="NEW RAD CAP DID NOT FIX COOLANT LEAK. THIS TRUCK IS STILL LEAKING COOLANT AND DRIVER HAS MENTIONED ABOUT A SLIGHT WHINE AT THE WATERPUMP"/>
    <d v="2018-06-26T00:00:00"/>
    <n v="580"/>
  </r>
  <r>
    <n v="1828"/>
    <x v="1"/>
    <s v="RUBBER STRIP AT TOP OF FIREWALL THAT HOOD RESTS ON WHEN CLOSED KEEPS FALLING OFF - COULD YOU PLEASE USE AN ADHEISIVE AND STICK THIS BACK ON."/>
    <d v="2018-06-28T00:00:00"/>
    <n v="578"/>
  </r>
  <r>
    <n v="1828"/>
    <x v="1"/>
    <s v="FITTINGS AT TOP OF DRIVERS SIDE FUEL TANK ARE LEAKING FLUID"/>
    <d v="2018-07-04T00:00:00"/>
    <n v="572"/>
  </r>
  <r>
    <n v="1828"/>
    <x v="3"/>
    <s v="SKIRT LIGHT OUT ON DRIVER SIDE"/>
    <d v="2018-07-13T00:00:00"/>
    <n v="563"/>
  </r>
  <r>
    <n v="1828"/>
    <x v="1"/>
    <s v="GPS NOT CONNECTING WITH SIGNAL - CONSTANTLY AQUIRING SIGNAL"/>
    <d v="2018-07-10T00:00:00"/>
    <n v="566"/>
  </r>
  <r>
    <n v="1828"/>
    <x v="1"/>
    <s v="DRIVERS SIDE FUEL TANKS STILL LEAKING FROM FITTINGS AT TOP OF TANK - THESE WERE RE-SEALED ON JULY 14 2018 BUT DID NOT FIX LEAK"/>
    <d v="2018-07-18T00:00:00"/>
    <n v="558"/>
  </r>
  <r>
    <n v="1828"/>
    <x v="19"/>
    <s v="ALL AIR TANKS COMPLETELY DRAINED BY MORNING."/>
    <d v="2018-07-26T00:00:00"/>
    <n v="550"/>
  </r>
  <r>
    <n v="1828"/>
    <x v="1"/>
    <s v="drivers door latch not working properly"/>
    <d v="2018-07-27T00:00:00"/>
    <n v="549"/>
  </r>
  <r>
    <n v="1828"/>
    <x v="4"/>
    <s v="MAJOR DEFECT** DRIVER SIDE DOOR NOT LATCHNIG PROPERLY - DOOR HANDLE REPLACED ALREADY"/>
    <d v="2018-08-03T00:00:00"/>
    <n v="542"/>
  </r>
  <r>
    <n v="1828"/>
    <x v="20"/>
    <s v="engine heater failed again ( AFTER FUEL PICK UP REPLACED ) this morning temp is -15 degrees"/>
    <d v="2018-02-13T00:00:00"/>
    <n v="713"/>
  </r>
  <r>
    <n v="1828"/>
    <x v="1"/>
    <s v="FITTING AT TOP OF TANK ON DRIVER'S SIDE STILL LEAKING. SENDING UNIT HAS NEW SEAL AND FITTINGS HAVE BEEN RE-SEALED"/>
    <d v="2018-08-08T00:00:00"/>
    <n v="537"/>
  </r>
  <r>
    <n v="1828"/>
    <x v="3"/>
    <s v="LIC. PLATE LIGHT OUT"/>
    <d v="2018-09-05T00:00:00"/>
    <n v="509"/>
  </r>
  <r>
    <n v="1828"/>
    <x v="1"/>
    <s v="BOSE SEAT TURNING ON AND OFF"/>
    <d v="2018-09-05T00:00:00"/>
    <n v="509"/>
  </r>
  <r>
    <n v="1828"/>
    <x v="1"/>
    <s v="ANNUAL INSPECTION DUE"/>
    <d v="2018-09-21T00:00:00"/>
    <n v="493"/>
  </r>
  <r>
    <n v="1828"/>
    <x v="18"/>
    <s v="RETORQUE ALL AXLES BOTH SIDE FROM SAFETY"/>
    <d v="2018-10-01T00:00:00"/>
    <n v="483"/>
  </r>
  <r>
    <n v="1828"/>
    <x v="1"/>
    <s v="DRIVERS SIDE FUEL TANK STILL HAS LEAK FROM FITTINGS AT TOP OF TANK - DAVE PARSON HAS REQUESTED THAT THE FEUL CAP GET REPLACED"/>
    <d v="2018-10-05T00:00:00"/>
    <n v="479"/>
  </r>
  <r>
    <n v="1828"/>
    <x v="20"/>
    <s v="AUDIBLE AIR LEAK IN SUPPLY LINE JUST BELOW RED GLAD HAND."/>
    <d v="2018-10-16T00:00:00"/>
    <n v="468"/>
  </r>
  <r>
    <n v="1828"/>
    <x v="1"/>
    <s v="DRIVERS SIDE DOOR WILL NOT UNLOCK FROM THE OUTSIDE"/>
    <d v="2018-10-16T00:00:00"/>
    <n v="468"/>
  </r>
  <r>
    <n v="1828"/>
    <x v="23"/>
    <s v="COOLANT LEAK BEHIND OIL PAN - DRIVER COULD NOT LOCATE BUT VISIBLE POOLING UNDER TRUCK"/>
    <m/>
    <m/>
  </r>
  <r>
    <n v="1828"/>
    <x v="3"/>
    <s v="BREATHER LIGHT ON THE PASSENGER SIDE"/>
    <d v="2018-11-14T00:00:00"/>
    <n v="439"/>
  </r>
  <r>
    <n v="1828"/>
    <x v="3"/>
    <s v="BACK OF CAB LIGHT OUT"/>
    <d v="2018-11-14T00:00:00"/>
    <n v="439"/>
  </r>
  <r>
    <n v="1828"/>
    <x v="1"/>
    <s v="CARPET AT REAR OF CAB ON PASSENGER SIDE IS VERY WET - DRIVER COULD NOT LOCATE SOURCE."/>
    <d v="2018-10-03T00:00:00"/>
    <n v="481"/>
  </r>
  <r>
    <n v="1828"/>
    <x v="2"/>
    <s v="NEW WINDSHIELD DID NOT SEAL WELL - NO WATER COMING IN BUT HAS CREATED A LOT OF WIND NOISE."/>
    <d v="2018-10-05T00:00:00"/>
    <n v="479"/>
  </r>
  <r>
    <n v="1828"/>
    <x v="1"/>
    <s v="DRIVER WAS ABLE TO CONFIRM THAT FUEL IS STILL LEAKING ON THE DRIVERS SIDE FUEL TANK - PLEASE CHECK HISTORY FOR THIS ISSUE"/>
    <d v="2018-11-12T00:00:00"/>
    <n v="441"/>
  </r>
  <r>
    <n v="1828"/>
    <x v="23"/>
    <s v="COOLANT LEAK, SUSTANTIAL LEAK BEHIND ENGINE/OIL PAN. "/>
    <d v="2018-11-19T00:00:00"/>
    <n v="434"/>
  </r>
  <r>
    <n v="1828"/>
    <x v="18"/>
    <s v="LEFT STEERING AXLE LEAKING HUB OIL"/>
    <d v="2018-11-30T00:00:00"/>
    <n v="423"/>
  </r>
  <r>
    <n v="1828"/>
    <x v="6"/>
    <s v="RUBBER BUSHING MISSING FROM EXHAUST MOUNT ON TOP OF CAB ON DRIVER'S SIDE"/>
    <d v="2018-12-03T00:00:00"/>
    <n v="420"/>
  </r>
  <r>
    <n v="1828"/>
    <x v="3"/>
    <s v="BACK OF CAB LIGHTS NOT WORKING"/>
    <d v="2018-12-11T00:00:00"/>
    <n v="412"/>
  </r>
  <r>
    <n v="1828"/>
    <x v="3"/>
    <s v="2 LIGHTS OUT ON DRIVER'S SIDE BREATHER"/>
    <d v="2018-12-13T00:00:00"/>
    <n v="410"/>
  </r>
  <r>
    <n v="1828"/>
    <x v="23"/>
    <s v="COOLANT LEAK WHEN ENGINE COLD. - DRIVER THINKS THE LEAK IS COMING FROM THE DRIVER'S SIDE."/>
    <d v="2018-12-18T00:00:00"/>
    <n v="405"/>
  </r>
  <r>
    <n v="1828"/>
    <x v="1"/>
    <s v="CHECK ENGINE LIGHT IS ON, ATC LIGHT IS ON, ABS LIGHT IS ON, TRUCKS IS RUNNING VERY ROUGH. TRUCK BROKE DOWN IN LONDON"/>
    <d v="2018-11-26T00:00:00"/>
    <n v="427"/>
  </r>
  <r>
    <n v="1828"/>
    <x v="3"/>
    <s v="2 BREATHER LIGHTS OUT ON DRIVER'S SIDE"/>
    <d v="2018-12-21T00:00:00"/>
    <n v="402"/>
  </r>
  <r>
    <n v="1828"/>
    <x v="23"/>
    <s v="COLD COOLANT LEAK"/>
    <d v="2018-12-27T00:00:00"/>
    <n v="396"/>
  </r>
  <r>
    <n v="1828"/>
    <x v="14"/>
    <s v="MINOR OIL LEAK"/>
    <d v="2018-12-27T00:00:00"/>
    <n v="396"/>
  </r>
  <r>
    <n v="1643"/>
    <x v="0"/>
    <s v="ABS LIGHT ON"/>
    <d v="2019-12-03T00:00:00"/>
    <n v="55"/>
  </r>
  <r>
    <n v="1644"/>
    <x v="15"/>
    <s v="AIR BAGS LEAKING OUT OVERNIGHT"/>
    <d v="2019-06-05T00:00:00"/>
    <n v="236"/>
  </r>
  <r>
    <n v="1644"/>
    <x v="1"/>
    <s v="REAR LISENCE PLATE DE-LAMINATED"/>
    <d v="2019-02-14T00:00:00"/>
    <n v="347"/>
  </r>
  <r>
    <n v="1829"/>
    <x v="3"/>
    <s v="middle visor light out"/>
    <d v="2017-12-28T00:00:00"/>
    <n v="760"/>
  </r>
  <r>
    <n v="1829"/>
    <x v="3"/>
    <s v="RIGHT TAIL LIGHT OUT THIS SEEMS TO BE WIRING LIGHT IS NOW CAUSING LEFT SIDE TO FLICKER AND TRAILER TAIL LIGHTS AS WELL."/>
    <d v="2018-01-23T00:00:00"/>
    <n v="734"/>
  </r>
  <r>
    <n v="1829"/>
    <x v="3"/>
    <s v="2 BREATHER LIGHTS OUT ONE - ON EACH SIDE"/>
    <d v="2017-05-19T00:00:00"/>
    <n v="983"/>
  </r>
  <r>
    <n v="1829"/>
    <x v="3"/>
    <s v="1 visor light out  "/>
    <d v="2018-01-29T00:00:00"/>
    <m/>
  </r>
  <r>
    <n v="1829"/>
    <x v="3"/>
    <s v="Skirt light out on pass. Side "/>
    <d v="2018-01-29T00:00:00"/>
    <n v="728"/>
  </r>
  <r>
    <n v="1829"/>
    <x v="17"/>
    <s v="AIR LINE AT SHIFTER LEAKING WHEN SHIFTEING BETWEEN LOW AND HIGH RANGE"/>
    <d v="2018-02-01T00:00:00"/>
    <n v="725"/>
  </r>
  <r>
    <n v="1829"/>
    <x v="0"/>
    <s v="RIGHT REAR BRAKE CHAMBER REPLACED"/>
    <d v="2018-02-01T00:00:00"/>
    <n v="725"/>
  </r>
  <r>
    <n v="1829"/>
    <x v="3"/>
    <s v="PLEASE UPGRADE TO BRIGHTER HEADLIGHTS - PLEASE USE SAME AS UNIT 1824"/>
    <d v="2018-02-06T00:00:00"/>
    <n v="720"/>
  </r>
  <r>
    <n v="1829"/>
    <x v="3"/>
    <s v="multiple visor lights out - ALL VISOR LIGHTS OUT AS OF 2/28/18"/>
    <d v="2018-02-20T00:00:00"/>
    <n v="706"/>
  </r>
  <r>
    <n v="1829"/>
    <x v="3"/>
    <s v="left side skirt light out"/>
    <d v="2018-02-27T00:00:00"/>
    <n v="699"/>
  </r>
  <r>
    <n v="1829"/>
    <x v="3"/>
    <s v="LIC. PLATE LIGHT OUT"/>
    <d v="2018-03-08T00:00:00"/>
    <m/>
  </r>
  <r>
    <n v="1829"/>
    <x v="20"/>
    <s v="red glad hand leaking at at threads on trailer side"/>
    <d v="2018-03-14T00:00:00"/>
    <n v="684"/>
  </r>
  <r>
    <n v="1829"/>
    <x v="4"/>
    <s v="lower step missing rivets and falling off"/>
    <d v="2018-03-14T00:00:00"/>
    <n v="684"/>
  </r>
  <r>
    <n v="1829"/>
    <x v="1"/>
    <s v="heated seat not working"/>
    <d v="2017-05-19T00:00:00"/>
    <n v="983"/>
  </r>
  <r>
    <n v="1829"/>
    <x v="21"/>
    <s v="DIFF LOCK LEAKS AIR WHEN ENGAGED"/>
    <d v="2018-04-02T00:00:00"/>
    <n v="665"/>
  </r>
  <r>
    <n v="1829"/>
    <x v="16"/>
    <s v="PLEASE REPLACED BOTH WIPERS"/>
    <d v="2018-04-02T00:00:00"/>
    <n v="665"/>
  </r>
  <r>
    <n v="1829"/>
    <x v="14"/>
    <s v="CEL LIGHT ON - ONBOARD DIAGNOSTIC SAYS EGR VALVE LEAKAGE"/>
    <d v="2018-05-25T00:00:00"/>
    <n v="612"/>
  </r>
  <r>
    <n v="1829"/>
    <x v="3"/>
    <s v="visor light out"/>
    <d v="2018-05-30T00:00:00"/>
    <n v="607"/>
  </r>
  <r>
    <n v="1829"/>
    <x v="3"/>
    <s v="2 RIGHT SIDE VISOR LIGHTS VERY DIM"/>
    <d v="2018-06-04T00:00:00"/>
    <n v="602"/>
  </r>
  <r>
    <n v="1829"/>
    <x v="7"/>
    <s v="driver's side top step rivets missing"/>
    <d v="2018-06-08T00:00:00"/>
    <n v="598"/>
  </r>
  <r>
    <n v="1829"/>
    <x v="3"/>
    <s v="visor lights shorting out - multiple lights dim"/>
    <d v="2018-06-12T00:00:00"/>
    <n v="594"/>
  </r>
  <r>
    <n v="1829"/>
    <x v="14"/>
    <s v="engine light on"/>
    <d v="2018-06-15T00:00:00"/>
    <n v="591"/>
  </r>
  <r>
    <n v="1829"/>
    <x v="0"/>
    <s v="LEFT FRONT BRAKE CHAMBER LEAKING"/>
    <d v="2018-07-20T00:00:00"/>
    <n v="556"/>
  </r>
  <r>
    <n v="1829"/>
    <x v="3"/>
    <s v="LEFT SIDE LOW BEAM HEAD LIGHT IS OUT - THIS IS AN H11 NIGHTHAWK BULB"/>
    <d v="2018-07-26T00:00:00"/>
    <n v="550"/>
  </r>
  <r>
    <n v="1829"/>
    <x v="3"/>
    <s v="RIGHT SIDE BACK OF CAB LIGHT"/>
    <d v="2018-07-26T00:00:00"/>
    <n v="550"/>
  </r>
  <r>
    <n v="1829"/>
    <x v="14"/>
    <s v="CHECK ENGINE LIGHT "/>
    <d v="2018-08-03T00:00:00"/>
    <n v="542"/>
  </r>
  <r>
    <n v="1829"/>
    <x v="3"/>
    <s v="RIGHT SIDE LOW BEAM OUT - H11 NIGHTHAWK"/>
    <d v="2018-08-16T00:00:00"/>
    <n v="529"/>
  </r>
  <r>
    <n v="1829"/>
    <x v="5"/>
    <s v="ESBAR CAB HEATER NOT WORKING - HAS FAILED 4 TIMES IN THE LAST WEEK OF JANUARY - WORKS FINE IN WARMER TEMPERATURES"/>
    <d v="2018-02-02T00:00:00"/>
    <n v="724"/>
  </r>
  <r>
    <n v="1829"/>
    <x v="3"/>
    <s v="LEFT SIDE BREATHER LIGHT OUT"/>
    <d v="2018-09-13T00:00:00"/>
    <n v="501"/>
  </r>
  <r>
    <n v="1829"/>
    <x v="2"/>
    <s v="DRIVER'S SIDE WINDSHIELD NEEDS REPLACED - CRACKED"/>
    <d v="2018-09-27T00:00:00"/>
    <n v="487"/>
  </r>
  <r>
    <n v="1829"/>
    <x v="1"/>
    <s v="ANNUAL INPSECTION DUE OCTOBER"/>
    <d v="2018-10-01T00:00:00"/>
    <n v="483"/>
  </r>
  <r>
    <n v="1829"/>
    <x v="16"/>
    <s v="PLEASE REPLACE WIPER BLADES - GOOD IDEA TO PUT WINTER'S ON NOW."/>
    <d v="2018-10-01T00:00:00"/>
    <n v="483"/>
  </r>
  <r>
    <n v="1829"/>
    <x v="15"/>
    <s v="tractor looses air overnight"/>
    <d v="2018-10-12T00:00:00"/>
    <n v="472"/>
  </r>
  <r>
    <n v="1829"/>
    <x v="4"/>
    <s v="door latch does not close properly"/>
    <d v="2018-10-12T00:00:00"/>
    <n v="472"/>
  </r>
  <r>
    <n v="1829"/>
    <x v="3"/>
    <s v="Low beam out on left side - installed a regular low beam headlamp himself but needs it replaced with an H11 Nighthawk."/>
    <d v="2018-11-01T00:00:00"/>
    <n v="452"/>
  </r>
  <r>
    <n v="1829"/>
    <x v="1"/>
    <s v="DRIVER'S SIDE FUEL TANK EMPTIES FASTER THAN PASSENGER SIDE"/>
    <d v="2018-11-08T00:00:00"/>
    <n v="445"/>
  </r>
  <r>
    <n v="1829"/>
    <x v="1"/>
    <s v="TRACTOR LOSES ALL AIR WHEN PARKED OVERNIGHT - THIS WAS LOOKED AT ON NOV 9 - 10 2018 BUT ISSUE WAS NOT RESOLVED"/>
    <d v="2018-11-13T00:00:00"/>
    <n v="440"/>
  </r>
  <r>
    <n v="1829"/>
    <x v="5"/>
    <s v="IN CAB (ESBAR) HEATER DOES WORK IF YOU JUST TURN IT ON BUT WHEN PROGRAMMED TO RUN AT A CERTAIN TIME IT DOES NOT RUN AND DISPLAY READS ERROR."/>
    <d v="2018-11-20T00:00:00"/>
    <n v="433"/>
  </r>
  <r>
    <n v="1829"/>
    <x v="6"/>
    <s v="UPPER STACK MOUNT IS BROKEN ON PASSENGER SIDE - MISSING PIN."/>
    <d v="2018-12-06T00:00:00"/>
    <n v="417"/>
  </r>
  <r>
    <n v="1829"/>
    <x v="4"/>
    <s v="DRIVERS SIDE LOWER STEP TRIM IS FALLING OFF"/>
    <d v="2018-12-07T00:00:00"/>
    <n v="416"/>
  </r>
  <r>
    <n v="1829"/>
    <x v="1"/>
    <s v="AIR TANK DRAIN CORD BROKEN ON DRIVER'S SIDE "/>
    <d v="2018-12-14T00:00:00"/>
    <n v="409"/>
  </r>
  <r>
    <n v="1829"/>
    <x v="4"/>
    <s v="LEFT SIDE HOOD CABLE IS BROKEN"/>
    <d v="2018-12-17T00:00:00"/>
    <n v="406"/>
  </r>
  <r>
    <n v="1829"/>
    <x v="19"/>
    <s v="TRUCK LOSES ALL AIR WHEN PARKED OVERNINGHT "/>
    <d v="2019-01-03T00:00:00"/>
    <n v="389"/>
  </r>
  <r>
    <n v="1644"/>
    <x v="10"/>
    <s v="DRIVER SIDE STEER TIRE HAS A NAIL THROUGH THE SIDEWALL AND NEED TO BE REPLACED TIRES ARE AT 9/32NDS(I THINK) - PLEASE REPLACE BOTH STEER TIRES"/>
    <d v="2019-01-03T00:00:00"/>
    <n v="389"/>
  </r>
  <r>
    <n v="1830"/>
    <x v="19"/>
    <s v="TRACTOR SUSPENSION NOT AIRING UP"/>
    <d v="2018-01-15T00:00:00"/>
    <n v="742"/>
  </r>
  <r>
    <n v="1830"/>
    <x v="20"/>
    <s v="Air leak in supply ( RED ) air line near spring on glad hand"/>
    <d v="2018-01-02T00:00:00"/>
    <n v="755"/>
  </r>
  <r>
    <n v="1830"/>
    <x v="14"/>
    <s v="Yellow CEL light on."/>
    <d v="2017-12-28T00:00:00"/>
    <n v="760"/>
  </r>
  <r>
    <n v="1830"/>
    <x v="25"/>
    <s v="GREEN ELECTRICAL CORD MAY HAVE LOOSE OR BROKEN WIRE IF CORD IS WIGGLED LIGHTS FLICKER"/>
    <d v="2018-01-05T00:00:00"/>
    <n v="752"/>
  </r>
  <r>
    <n v="1830"/>
    <x v="16"/>
    <s v="passenger side spray nozzle not working"/>
    <d v="2018-01-16T00:00:00"/>
    <n v="741"/>
  </r>
  <r>
    <n v="1830"/>
    <x v="3"/>
    <s v="Running board lights on passeger side not working"/>
    <d v="2018-01-16T00:00:00"/>
    <n v="741"/>
  </r>
  <r>
    <n v="1830"/>
    <x v="3"/>
    <s v="VISOR LIGHT OUT ON RIGHT SIDE"/>
    <d v="2018-01-22T00:00:00"/>
    <n v="735"/>
  </r>
  <r>
    <n v="1644"/>
    <x v="14"/>
    <s v="SERPRNTINE BELT REPLACED BUT PULLEY MAKING A LOUD SQUEAL"/>
    <d v="2019-01-25T00:00:00"/>
    <n v="367"/>
  </r>
  <r>
    <n v="1644"/>
    <x v="18"/>
    <s v="RE-TORQUE STEER AXLE FROM TIRE REPLACEMENT"/>
    <d v="2019-01-03T00:00:00"/>
    <m/>
  </r>
  <r>
    <n v="1830"/>
    <x v="4"/>
    <s v="DRIVER'S SIDE DOOR NOT LATCHING PROPERLY AGAIN"/>
    <d v="2018-01-25T00:00:00"/>
    <n v="732"/>
  </r>
  <r>
    <n v="1830"/>
    <x v="1"/>
    <s v="drivers side fuel tank is full and passenger side is half full but gauge reads full"/>
    <d v="2018-01-16T00:00:00"/>
    <n v="741"/>
  </r>
  <r>
    <n v="1830"/>
    <x v="4"/>
    <s v="DRIVER'S SIDE DOOR WIL NOT OPEN OR CLOSE PROERLY DUE TO BROKEN SPRING"/>
    <d v="2018-02-05T00:00:00"/>
    <n v="721"/>
  </r>
  <r>
    <n v="1830"/>
    <x v="3"/>
    <s v="VISOR LIGHTS HAVE LOOSE CONNECTION AND ARE FLICKERING"/>
    <d v="2018-02-12T00:00:00"/>
    <n v="714"/>
  </r>
  <r>
    <n v="1830"/>
    <x v="15"/>
    <s v="AUDIBLE AIR LEAK FROM UNDER CAB - EXCEEDS AIR LOSS RATE"/>
    <d v="2018-02-12T00:00:00"/>
    <n v="714"/>
  </r>
  <r>
    <n v="1830"/>
    <x v="14"/>
    <s v="CHECK ENGINE LIGHT ON"/>
    <d v="2018-02-06T00:00:00"/>
    <n v="720"/>
  </r>
  <r>
    <n v="1830"/>
    <x v="1"/>
    <s v="Air tanks drain completely when parked overnight"/>
    <d v="2018-02-20T00:00:00"/>
    <n v="706"/>
  </r>
  <r>
    <n v="1830"/>
    <x v="3"/>
    <s v="2 visor lights out - which lights are out changes from day to day this may be wiring"/>
    <d v="2018-02-20T00:00:00"/>
    <n v="706"/>
  </r>
  <r>
    <n v="1830"/>
    <x v="6"/>
    <s v="EXHAUST STACK ON DRIVER'S SIDE LOOSE"/>
    <d v="2018-03-05T00:00:00"/>
    <n v="693"/>
  </r>
  <r>
    <n v="1830"/>
    <x v="19"/>
    <s v="tractoR loses all air when parked overnight"/>
    <d v="2018-03-06T00:00:00"/>
    <m/>
  </r>
  <r>
    <n v="1830"/>
    <x v="3"/>
    <s v="VISOR LIGHT OUT ON LEFT SIDE"/>
    <d v="2018-03-07T00:00:00"/>
    <m/>
  </r>
  <r>
    <n v="1830"/>
    <x v="14"/>
    <s v="check engine light on"/>
    <d v="2018-02-21T00:00:00"/>
    <n v="705"/>
  </r>
  <r>
    <n v="1830"/>
    <x v="3"/>
    <s v="LIC PLATE LIGHT OUT"/>
    <d v="2018-04-03T00:00:00"/>
    <n v="664"/>
  </r>
  <r>
    <n v="1830"/>
    <x v="3"/>
    <s v="TAIL LIGHTS NOT WORKING  "/>
    <d v="2018-04-03T00:00:00"/>
    <n v="664"/>
  </r>
  <r>
    <n v="1830"/>
    <x v="20"/>
    <s v="YELLOW CORD HAS BROKEN END - CORD STILL WORKING BUT HANDLE AT TRAILER END IS BROKEN"/>
    <d v="2018-04-04T00:00:00"/>
    <n v="663"/>
  </r>
  <r>
    <n v="1830"/>
    <x v="3"/>
    <s v="1 VISOR LIGHT NOT WORKING"/>
    <d v="2018-04-07T00:00:00"/>
    <m/>
  </r>
  <r>
    <n v="1830"/>
    <x v="0"/>
    <s v="BRAKE PEDAL STICKING  - PEDAL NOT RETURNING TO DISENGAGED POSITION"/>
    <d v="2018-04-10T00:00:00"/>
    <n v="657"/>
  </r>
  <r>
    <n v="1830"/>
    <x v="4"/>
    <s v="DRIVERS SIDE DOOR LOCK HARD TO LOCK/UNLOCK WITH KEY - TRIED SEVERAL KEYS WITH SAME RESULT"/>
    <d v="2018-04-10T00:00:00"/>
    <n v="657"/>
  </r>
  <r>
    <n v="1830"/>
    <x v="14"/>
    <s v="CHECK ENGINE LIGHT ON"/>
    <d v="2018-04-10T00:00:00"/>
    <n v="657"/>
  </r>
  <r>
    <n v="1830"/>
    <x v="14"/>
    <s v="DELAY BETWEEN THROTTLE AND TURBO ACTIVATION"/>
    <d v="2018-04-10T00:00:00"/>
    <n v="657"/>
  </r>
  <r>
    <n v="1830"/>
    <x v="20"/>
    <s v="GREEN POWER CORD HAS BROKEN WIRE - CAUSES LEFT SIGNAL TO CUT OUT"/>
    <d v="2018-05-23T00:00:00"/>
    <n v="614"/>
  </r>
  <r>
    <n v="1644"/>
    <x v="14"/>
    <s v="CHECK ENGINE LIGHT ON"/>
    <d v="2019-01-31T00:00:00"/>
    <n v="361"/>
  </r>
  <r>
    <n v="1830"/>
    <x v="14"/>
    <s v="CEL LIGHT ON"/>
    <d v="2018-05-24T00:00:00"/>
    <n v="613"/>
  </r>
  <r>
    <n v="1644"/>
    <x v="14"/>
    <s v="CHECK ENGINE LIGHT ON WITH 2 WARNINGS - DRIVER FEELS TRUCK HAS LOSS OF POWER GOING UP HILLS"/>
    <d v="2018-12-21T00:00:00"/>
    <n v="402"/>
  </r>
  <r>
    <n v="1644"/>
    <x v="14"/>
    <s v="CHECK ENGINE LIGHT IS ON"/>
    <d v="2019-06-25T00:00:00"/>
    <n v="216"/>
  </r>
  <r>
    <n v="1644"/>
    <x v="19"/>
    <s v="AIR BAGS LEAKING"/>
    <d v="2019-07-09T00:00:00"/>
    <n v="202"/>
  </r>
  <r>
    <n v="1644"/>
    <x v="14"/>
    <s v="CHECK ENGINE LIGHT ON"/>
    <d v="2019-07-22T00:00:00"/>
    <m/>
  </r>
  <r>
    <n v="1644"/>
    <x v="14"/>
    <s v="CHECK ENGINE LIGHT ON"/>
    <d v="2019-08-15T00:00:00"/>
    <n v="165"/>
  </r>
  <r>
    <n v="1644"/>
    <x v="4"/>
    <s v="HOOD RESTRAINT CABLES BROKEN - BOTH SIDES"/>
    <d v="2019-09-10T00:00:00"/>
    <n v="139"/>
  </r>
  <r>
    <n v="1644"/>
    <x v="4"/>
    <s v="THRESHOLD PLATE IS LIFTING"/>
    <d v="2019-10-21T00:00:00"/>
    <n v="98"/>
  </r>
  <r>
    <n v="1830"/>
    <x v="4"/>
    <s v="Floor wet behind passenger seat"/>
    <d v="2018-04-25T00:00:00"/>
    <n v="642"/>
  </r>
  <r>
    <n v="1644"/>
    <x v="14"/>
    <s v="CHECK ENGINE LIGHT ON"/>
    <d v="2019-10-21T00:00:00"/>
    <n v="98"/>
  </r>
  <r>
    <n v="1645"/>
    <x v="16"/>
    <s v="DRIVER SIDE WIPER BROKEN"/>
    <d v="2019-05-30T00:00:00"/>
    <n v="242"/>
  </r>
  <r>
    <n v="1645"/>
    <x v="1"/>
    <s v="LICENSE PLATE PEELING - NEEDS REPLACED"/>
    <d v="2019-04-08T00:00:00"/>
    <n v="294"/>
  </r>
  <r>
    <n v="1645"/>
    <x v="14"/>
    <s v="OIL LINE NEEDS REPLACED - AS PER MATT ELLIOT"/>
    <d v="2019-03-20T00:00:00"/>
    <n v="313"/>
  </r>
  <r>
    <n v="1645"/>
    <x v="3"/>
    <s v="REVERSE LIGHT OUT"/>
    <d v="2019-01-25T00:00:00"/>
    <n v="367"/>
  </r>
  <r>
    <n v="1830"/>
    <x v="14"/>
    <s v="ENGINE HESITATES AND SURGES ON EXCELLERATION"/>
    <d v="2018-05-30T00:00:00"/>
    <n v="607"/>
  </r>
  <r>
    <n v="1830"/>
    <x v="3"/>
    <s v="passenger low beam out"/>
    <d v="2018-06-01T00:00:00"/>
    <n v="605"/>
  </r>
  <r>
    <n v="1830"/>
    <x v="14"/>
    <s v="engine light on again…particulate trap 1 pressure?"/>
    <d v="2018-06-01T00:00:00"/>
    <n v="605"/>
  </r>
  <r>
    <n v="1830"/>
    <x v="15"/>
    <s v="tractor loosing air overnight"/>
    <d v="2018-06-08T00:00:00"/>
    <n v="598"/>
  </r>
  <r>
    <n v="1830"/>
    <x v="14"/>
    <s v="CHECK ENGINE LIGHT ON"/>
    <d v="2018-06-22T00:00:00"/>
    <n v="584"/>
  </r>
  <r>
    <n v="1830"/>
    <x v="1"/>
    <s v="SERVICE DUE IN APRIL"/>
    <d v="2018-04-05T00:00:00"/>
    <n v="662"/>
  </r>
  <r>
    <n v="1830"/>
    <x v="28"/>
    <s v="SEAT BELT IS TWISTED - DRIVER THINKS THIS MAY HAVE HAPPENED WHEN THE SEAT WAS REPLACED"/>
    <d v="2018-07-06T00:00:00"/>
    <n v="570"/>
  </r>
  <r>
    <n v="1830"/>
    <x v="22"/>
    <s v="cross member behind 5th wheel is cracked…almost all the way through"/>
    <d v="2018-06-08T00:00:00"/>
    <n v="598"/>
  </r>
  <r>
    <n v="1830"/>
    <x v="18"/>
    <s v="RETORQUE BOTH DRIVE AXLES BOTH SIDES"/>
    <d v="2018-07-23T00:00:00"/>
    <n v="553"/>
  </r>
  <r>
    <n v="1830"/>
    <x v="14"/>
    <s v="CHECK ENGINE LIGHT ON - ENGINE STILL LOSING POWER - RED STOP ENGINE LIGHT HAS COME ON - REPORTED AGAIN ON AUG 3 2018"/>
    <d v="2018-07-30T00:00:00"/>
    <n v="546"/>
  </r>
  <r>
    <n v="1830"/>
    <x v="14"/>
    <s v="CHECK ENGINE LIGHT ON AGAIN"/>
    <d v="2018-08-14T00:00:00"/>
    <n v="531"/>
  </r>
  <r>
    <n v="1830"/>
    <x v="3"/>
    <s v="DRIVER'S SIDE SIGNAL LIGHT ON MIRROR HAS FALLEN OFF. THE BRACKET HAS ROTTED OUT. THE LIGHT IS INSIDE THE CAB."/>
    <d v="2018-09-07T00:00:00"/>
    <n v="507"/>
  </r>
  <r>
    <n v="1830"/>
    <x v="18"/>
    <s v="FRONT PASSENGER SIDE HUB SEAL IS LEAKING"/>
    <d v="2018-09-24T00:00:00"/>
    <n v="490"/>
  </r>
  <r>
    <n v="1830"/>
    <x v="14"/>
    <s v="CHECK ENGINE LIGHT ON"/>
    <d v="2018-10-12T00:00:00"/>
    <n v="472"/>
  </r>
  <r>
    <n v="1830"/>
    <x v="28"/>
    <s v="BOTH HOOD RESTRAINTS ARE BROKEN"/>
    <d v="2018-10-01T00:00:00"/>
    <n v="483"/>
  </r>
  <r>
    <n v="1830"/>
    <x v="2"/>
    <s v="DRIVER'S SIDE WINDSHIELD CHIPED AND CRACKED"/>
    <d v="2018-10-01T00:00:00"/>
    <n v="483"/>
  </r>
  <r>
    <n v="1645"/>
    <x v="1"/>
    <s v="ANNUAL SAFTEY DUE IN FEB"/>
    <d v="2019-02-08T00:00:00"/>
    <m/>
  </r>
  <r>
    <n v="1645"/>
    <x v="3"/>
    <s v="DRIVER SIDE REAR SIGNAL NOT WORKING"/>
    <d v="2019-06-18T00:00:00"/>
    <m/>
  </r>
  <r>
    <n v="1645"/>
    <x v="3"/>
    <s v="REAR FACING DRIVER SIDE SIGNAL NOT WORKING"/>
    <d v="2019-07-04T00:00:00"/>
    <n v="207"/>
  </r>
  <r>
    <n v="1645"/>
    <x v="1"/>
    <s v="AIR CONDITIONER NOT WORKING PROPERLY 7/12/19 - NOW IS CUTTING IN AND OUT - MOSLY OUT 7/17/19"/>
    <d v="2019-07-12T00:00:00"/>
    <n v="199"/>
  </r>
  <r>
    <n v="1645"/>
    <x v="14"/>
    <s v="TRUCK CODING NOX SENSOR"/>
    <d v="2019-07-22T00:00:00"/>
    <n v="189"/>
  </r>
  <r>
    <n v="1645"/>
    <x v="14"/>
    <s v="TRUCK NEEDS NEW SERPINTINE BELT"/>
    <d v="2019-07-22T00:00:00"/>
    <n v="189"/>
  </r>
  <r>
    <n v="1645"/>
    <x v="6"/>
    <s v="DEF NOT WORKING - DRIVER IS GOING TO MONITOR FOR TIME BEING"/>
    <d v="2019-08-07T00:00:00"/>
    <n v="173"/>
  </r>
  <r>
    <n v="1645"/>
    <x v="17"/>
    <s v="WRENCH LIGHT ON IN DASH, FAULT CODE READS TRANSMISSION ISSUE"/>
    <d v="2019-09-05T00:00:00"/>
    <n v="144"/>
  </r>
  <r>
    <n v="1830"/>
    <x v="14"/>
    <s v="CEL LIGHT ON, RED STOP ENGINE LIGHT AND RE-GEN NEEDED WARNING WERE ON BUT WENT OUT ON THEIR OWN."/>
    <d v="2018-12-10T00:00:00"/>
    <n v="413"/>
  </r>
  <r>
    <n v="1830"/>
    <x v="4"/>
    <s v="PASSEGER SIDE DOOR LATCH NOT WORKING PROPERLY - DRIVER HAS TO SLAM DOOR SEVERAL TIMES IN OREDR FOR THE LATCH TOP CATCH."/>
    <d v="2018-10-23T00:00:00"/>
    <n v="461"/>
  </r>
  <r>
    <n v="1830"/>
    <x v="1"/>
    <s v="ANNUAL INPSPECTION DUE IN NOVEMBER"/>
    <d v="2018-11-01T00:00:00"/>
    <n v="452"/>
  </r>
  <r>
    <n v="1830"/>
    <x v="16"/>
    <s v="PLEASE REPLACE WIPER BLADES - THEY LEAVE STREAKS AND DO NOT CLEAR DRIVERS FIELD OF VISION"/>
    <d v="2018-11-07T00:00:00"/>
    <n v="446"/>
  </r>
  <r>
    <n v="1645"/>
    <x v="13"/>
    <s v="TRUCK PULLS TO RIGHT WHEN BRAKING AT HIGHWAY SPEEDS"/>
    <d v="2019-09-17T00:00:00"/>
    <n v="132"/>
  </r>
  <r>
    <n v="1645"/>
    <x v="1"/>
    <s v="A/C BLOWS HOT AIR ONLY"/>
    <d v="2019-09-25T00:00:00"/>
    <m/>
  </r>
  <r>
    <n v="1645"/>
    <x v="1"/>
    <s v="WASHER FLUID TANK LEAKING"/>
    <d v="2019-10-10T00:00:00"/>
    <n v="109"/>
  </r>
  <r>
    <n v="1645"/>
    <x v="13"/>
    <s v="TRUCK PULLS TO THE RIGHT WHEN DRIVING AND TO THE LEFT WHEN BRAKING"/>
    <d v="2019-10-15T00:00:00"/>
    <n v="104"/>
  </r>
  <r>
    <n v="1830"/>
    <x v="19"/>
    <s v="NO POWER TO REVERS - O - MATIC "/>
    <d v="2018-12-10T00:00:00"/>
    <n v="413"/>
  </r>
  <r>
    <n v="1645"/>
    <x v="1"/>
    <s v="TRUCK WILL NOT START    "/>
    <d v="2019-11-15T00:00:00"/>
    <n v="73"/>
  </r>
  <r>
    <n v="1645"/>
    <x v="1"/>
    <s v="REAR BOX STEPS HAS A BROKEN WELD ON PASSENGER SIDE"/>
    <d v="2019-12-12T00:00:00"/>
    <n v="46"/>
  </r>
  <r>
    <n v="1646"/>
    <x v="19"/>
    <s v="NEEDS FRONT STRUTS REPLACED"/>
    <d v="2019-05-02T00:00:00"/>
    <n v="270"/>
  </r>
  <r>
    <n v="1646"/>
    <x v="17"/>
    <s v="SERVICE WRENCH ON"/>
    <d v="2019-05-14T00:00:00"/>
    <n v="258"/>
  </r>
  <r>
    <n v="1646"/>
    <x v="17"/>
    <s v="TRUCK WILL NOT HOLD REVERSE"/>
    <d v="2019-05-09T00:00:00"/>
    <n v="263"/>
  </r>
  <r>
    <n v="1646"/>
    <x v="1"/>
    <s v="BACK UP CAMERA ONLY WORKING SPORATICALLY"/>
    <d v="2019-04-30T00:00:00"/>
    <n v="272"/>
  </r>
  <r>
    <n v="1646"/>
    <x v="3"/>
    <s v="PASSENGER SIDE MIRROR CRACKED"/>
    <d v="2019-02-06T00:00:00"/>
    <n v="355"/>
  </r>
  <r>
    <n v="1646"/>
    <x v="28"/>
    <s v="REVERSE CAMERA NOT WORKING"/>
    <d v="2019-02-21T00:00:00"/>
    <n v="340"/>
  </r>
  <r>
    <n v="1646"/>
    <x v="1"/>
    <s v="STAIRS AT THE BACK OF THE TRUCK HAVE A BROKEN WELD"/>
    <d v="2019-03-27T00:00:00"/>
    <n v="306"/>
  </r>
  <r>
    <n v="1646"/>
    <x v="28"/>
    <s v="RED/SILVER REFLECTIVE STICKERS MISSING FROM BUMPER"/>
    <d v="2019-01-02T00:00:00"/>
    <n v="390"/>
  </r>
  <r>
    <n v="1646"/>
    <x v="1"/>
    <s v="DOOR CHIME SOUNDS WHEN TRUCK IS OFF WITH NO KEY IN THE IGNITION"/>
    <d v="2019-01-02T00:00:00"/>
    <n v="390"/>
  </r>
  <r>
    <n v="1646"/>
    <x v="11"/>
    <s v="DRIVER'S SIDE CONVEX MIRROR DOES NOT DEFROST "/>
    <d v="2019-01-02T00:00:00"/>
    <n v="390"/>
  </r>
  <r>
    <n v="1646"/>
    <x v="1"/>
    <s v="AIR CONDITIONER DOES NOT BLOW COLD AIR"/>
    <d v="2019-04-23T00:00:00"/>
    <n v="279"/>
  </r>
  <r>
    <n v="1646"/>
    <x v="4"/>
    <s v="ROLL UP DOOR SEAL BROKEN ALL THE WAY AROUND"/>
    <d v="2019-07-17T00:00:00"/>
    <n v="194"/>
  </r>
  <r>
    <n v="1646"/>
    <x v="16"/>
    <s v="WASHER FLUID RESEVOIR LEAKING"/>
    <d v="2019-08-21T00:00:00"/>
    <n v="159"/>
  </r>
  <r>
    <n v="1646"/>
    <x v="1"/>
    <s v="WASHER FLUID RESIVOR LEAKING"/>
    <d v="2019-08-21T00:00:00"/>
    <n v="159"/>
  </r>
  <r>
    <n v="1646"/>
    <x v="19"/>
    <s v="AIR LINE LEAKING AT BRASS FITTING ON TOP OF LEVELING VALVE"/>
    <d v="2019-08-29T00:00:00"/>
    <n v="151"/>
  </r>
  <r>
    <n v="1646"/>
    <x v="19"/>
    <s v="AIR BAGS VERY SLOW TO FILL"/>
    <d v="2019-09-03T00:00:00"/>
    <n v="146"/>
  </r>
  <r>
    <n v="1646"/>
    <x v="0"/>
    <s v="TRACTOR ABS LIGHT ON"/>
    <d v="1949-09-04T00:00:00"/>
    <n v="25712"/>
  </r>
  <r>
    <n v="1646"/>
    <x v="4"/>
    <s v="PASSENGER SIDE DOOR LOCK IS STICKING - WILL STICK OPEN OR LOCKED"/>
    <d v="2019-09-11T00:00:00"/>
    <n v="138"/>
  </r>
  <r>
    <n v="1646"/>
    <x v="3"/>
    <s v="DRIVER'S SIDE HEAD LIGHT OUT"/>
    <d v="2019-10-09T00:00:00"/>
    <n v="110"/>
  </r>
  <r>
    <n v="1646"/>
    <x v="1"/>
    <s v="STAILESS STEEL PROTRUSION ON REAR DOOR FRAME THAT IS DESIGNED TO PROTECT LIGHTS IS BENT"/>
    <d v="2019-10-15T00:00:00"/>
    <n v="104"/>
  </r>
  <r>
    <n v="1646"/>
    <x v="5"/>
    <s v="PASSENGER SIDE INTERIOR DEFROST NOT WORKING PROPERLY"/>
    <d v="2019-10-31T00:00:00"/>
    <n v="88"/>
  </r>
  <r>
    <n v="1646"/>
    <x v="1"/>
    <s v="FRONT PASSENGER SIDE BUMPER AND BUMPER BRACKET DAMAGED - PLEASE SEND REPAIR QUOTE BEFORE REPAIRING"/>
    <d v="2019-11-14T00:00:00"/>
    <n v="74"/>
  </r>
  <r>
    <n v="1646"/>
    <x v="16"/>
    <s v="WIPERS ARE STARTING TO WEAR, PLEASE REPLACE WITH WINTER BLADES"/>
    <d v="2019-11-26T00:00:00"/>
    <m/>
  </r>
  <r>
    <n v="1646"/>
    <x v="3"/>
    <s v="PASSENGER SIDE HEADLIGHT OUT - NEEDS WIRING RELACED BETWEEN HARNESS AND HEADLIGHT"/>
    <d v="2019-12-06T00:00:00"/>
    <n v="52"/>
  </r>
  <r>
    <n v="1646"/>
    <x v="11"/>
    <s v="LEFT SIDE HOOD MIRROR BROKEN"/>
    <d v="2019-12-17T00:00:00"/>
    <n v="41"/>
  </r>
  <r>
    <n v="1647"/>
    <x v="7"/>
    <s v="TRUCK WILL NOT START - BATTRERIES CHANGED 5/13/19 - TRUCK STILL NEEDS AN ALTERNATOR"/>
    <d v="2019-05-10T00:00:00"/>
    <n v="262"/>
  </r>
  <r>
    <n v="1647"/>
    <x v="4"/>
    <s v="CAB ROOF LEAKING INTO CAB"/>
    <d v="2019-05-03T00:00:00"/>
    <n v="269"/>
  </r>
  <r>
    <n v="1647"/>
    <x v="3"/>
    <s v="4 WAY FLASHER  LIGHT OUT ON REAR "/>
    <d v="2019-02-26T00:00:00"/>
    <n v="335"/>
  </r>
  <r>
    <n v="1647"/>
    <x v="3"/>
    <s v="DAY TIME RUNNING LIGHT OUT"/>
    <d v="2019-03-05T00:00:00"/>
    <n v="328"/>
  </r>
  <r>
    <n v="1647"/>
    <x v="4"/>
    <s v="ROOF IS LEAKING  - DRIPS ARE COMING IN FROM AROUND THE CENTER INTERIOR LIGHT AREA"/>
    <d v="2019-03-22T00:00:00"/>
    <n v="311"/>
  </r>
  <r>
    <n v="1647"/>
    <x v="16"/>
    <s v="DRIVERS SIDE WINDSHIELD WIPER ONLY TRAVELS HALF WAY UP THE WINDOW - NO LONGER CLEARS FIELD OF VISON"/>
    <d v="2019-03-18T00:00:00"/>
    <n v="315"/>
  </r>
  <r>
    <n v="1647"/>
    <x v="0"/>
    <s v="PARKING BRAKE IS STICKING"/>
    <d v="2019-03-18T00:00:00"/>
    <n v="315"/>
  </r>
  <r>
    <n v="1647"/>
    <x v="3"/>
    <s v="DAYTIME RUNNING LIGHT OUT ON PASSENGER SIDE"/>
    <d v="2019-02-20T00:00:00"/>
    <n v="341"/>
  </r>
  <r>
    <n v="1647"/>
    <x v="3"/>
    <s v="4 LIGHTS OUT ON REAR OF TRUCK - MAY BE A WIRING ISSUE"/>
    <d v="2019-02-20T00:00:00"/>
    <n v="341"/>
  </r>
  <r>
    <n v="1647"/>
    <x v="14"/>
    <s v="CHECK ENGINE LIGHT ON - SERVICE WRENCH ALSO DISPLAYED"/>
    <d v="2019-02-26T00:00:00"/>
    <n v="335"/>
  </r>
  <r>
    <n v="1647"/>
    <x v="1"/>
    <s v="DRIVER CAN SEE FLUID BUILD ON CROSS MEMBER ENGINE MOUNT ON DRIVERS SIDE - DRIVER IS NOT SURE WHAT TYPE OF FLUID THIS IS."/>
    <d v="2018-12-13T00:00:00"/>
    <n v="410"/>
  </r>
  <r>
    <n v="1647"/>
    <x v="18"/>
    <s v="FRONT DRIVER SIDE HAS A SCREW IN SHOULDER"/>
    <d v="2019-06-19T00:00:00"/>
    <m/>
  </r>
  <r>
    <n v="1647"/>
    <x v="4"/>
    <s v="DRIVER'S SIDE DOOR LATCH IS STICKING - DOOR IS DIFFICULT TO CLOSE PROPERLY"/>
    <d v="2019-05-31T00:00:00"/>
    <n v="241"/>
  </r>
  <r>
    <n v="1647"/>
    <x v="28"/>
    <s v="PARKING BRAKE SENSOR GOES OFF CONSTANTLY EVEN WITH NO KEY IN THE IGNITION"/>
    <d v="2019-05-31T00:00:00"/>
    <n v="241"/>
  </r>
  <r>
    <n v="1647"/>
    <x v="6"/>
    <s v="CRACKED BRACKET"/>
    <d v="2019-06-19T00:00:00"/>
    <m/>
  </r>
  <r>
    <n v="1647"/>
    <x v="30"/>
    <s v="CRACKED MUFFLER"/>
    <d v="2019-06-24T00:00:00"/>
    <m/>
  </r>
  <r>
    <n v="1647"/>
    <x v="0"/>
    <s v="PARKING BRAKE CABLE IS WORN DOWN"/>
    <d v="2019-06-25T00:00:00"/>
    <n v="216"/>
  </r>
  <r>
    <n v="1647"/>
    <x v="3"/>
    <s v="LIGHT CORNER BRACKET BROKEN OFF"/>
    <d v="2019-07-02T00:00:00"/>
    <n v="209"/>
  </r>
  <r>
    <n v="1647"/>
    <x v="1"/>
    <s v="AIR CONDITIONING NOT WORKING"/>
    <d v="2019-07-05T00:00:00"/>
    <n v="206"/>
  </r>
  <r>
    <n v="1647"/>
    <x v="4"/>
    <s v="DRIVERS SIDE DOOR WILL NOT OPEN FROM THE INSIDE OF THE TRUCK - DOOR LATCH HAS RECENTLY BEEN REPLACED."/>
    <d v="2019-07-05T00:00:00"/>
    <n v="206"/>
  </r>
  <r>
    <n v="1647"/>
    <x v="18"/>
    <s v="RETORQUE ALL WHEELS FROM BRAKE SERVICE"/>
    <d v="2019-07-15T00:00:00"/>
    <n v="196"/>
  </r>
  <r>
    <n v="1647"/>
    <x v="14"/>
    <s v="CHECK ENGINE LIGHT ON"/>
    <d v="2019-07-16T00:00:00"/>
    <n v="195"/>
  </r>
  <r>
    <n v="1647"/>
    <x v="1"/>
    <s v="A/C NOT WORKING"/>
    <d v="2019-08-02T00:00:00"/>
    <n v="178"/>
  </r>
  <r>
    <n v="1647"/>
    <x v="28"/>
    <s v="BACK-UP CAMERA BROKEN"/>
    <d v="2019-08-13T00:00:00"/>
    <n v="167"/>
  </r>
  <r>
    <n v="1647"/>
    <x v="1"/>
    <s v="A/C NOT WORKING"/>
    <d v="2019-08-14T00:00:00"/>
    <n v="166"/>
  </r>
  <r>
    <n v="1647"/>
    <x v="0"/>
    <s v="DASHBOARD ABS LIGHT IS ON"/>
    <d v="2019-08-13T00:00:00"/>
    <n v="167"/>
  </r>
  <r>
    <n v="1647"/>
    <x v="19"/>
    <s v="STEER AXLE SHOCKS NEED REPLACED"/>
    <d v="2019-09-09T00:00:00"/>
    <m/>
  </r>
  <r>
    <n v="1647"/>
    <x v="4"/>
    <s v="ROLL UP DOOR NEEDS 2 DOOR HINGES REPLACED - AS PER DYLAN'S PMA SERVICE"/>
    <d v="2019-09-09T00:00:00"/>
    <n v="140"/>
  </r>
  <r>
    <n v="1647"/>
    <x v="3"/>
    <s v="BOTH FENDER MARKER LIGHTS NOT WORKING - AS PER DYLAN'S PMA SERVICE"/>
    <d v="2019-09-09T00:00:00"/>
    <n v="140"/>
  </r>
  <r>
    <n v="1647"/>
    <x v="16"/>
    <s v="SPRAYER NOZZLE ON RIGHT SIDE IS CRACKED - AS PER DYLAN'S PMA SERVICE"/>
    <d v="2019-09-09T00:00:00"/>
    <n v="140"/>
  </r>
  <r>
    <n v="1647"/>
    <x v="3"/>
    <s v="RIGHT SIDE HEADLIGHT OUT"/>
    <d v="2019-11-13T00:00:00"/>
    <m/>
  </r>
  <r>
    <n v="1647"/>
    <x v="4"/>
    <s v="STEEL PLATE ON FLOOR PEELING UP"/>
    <d v="2019-12-02T00:00:00"/>
    <n v="56"/>
  </r>
  <r>
    <n v="1647"/>
    <x v="4"/>
    <s v="THRESHOLD PLATE IS LIFTING"/>
    <d v="2019-12-06T00:00:00"/>
    <n v="52"/>
  </r>
  <r>
    <n v="1647"/>
    <x v="3"/>
    <s v="RIGHT SIDE HEADLIGHT OUT - PLEASE CHECK WIRING"/>
    <d v="2019-12-11T00:00:00"/>
    <n v="47"/>
  </r>
  <r>
    <n v="1647"/>
    <x v="3"/>
    <s v="TAIL LIGHT OUT - BRAKE AND TURN SIGNAL WORKING"/>
    <d v="2019-12-19T00:00:00"/>
    <n v="39"/>
  </r>
  <r>
    <n v="1647"/>
    <x v="16"/>
    <s v="PLEASE REPLACED WIPERS WITH WINTER BLADES"/>
    <d v="2019-12-20T00:00:00"/>
    <n v="38"/>
  </r>
  <r>
    <n v="1647"/>
    <x v="14"/>
    <s v="CHECK ENGINE LIGHT ON"/>
    <d v="2019-12-28T00:00:00"/>
    <n v="30"/>
  </r>
  <r>
    <n v="1816"/>
    <x v="1"/>
    <s v="A/C NOT WORKING"/>
    <d v="2019-04-30T00:00:00"/>
    <n v="272"/>
  </r>
  <r>
    <n v="1816"/>
    <x v="6"/>
    <s v="RIGHT SIDE UPPED STACK MOUNT BROKEN"/>
    <d v="2019-04-30T00:00:00"/>
    <n v="272"/>
  </r>
  <r>
    <n v="1816"/>
    <x v="25"/>
    <s v="CLUTCH NEEDS ADJUSTMENT"/>
    <d v="2019-04-30T00:00:00"/>
    <n v="272"/>
  </r>
  <r>
    <n v="1816"/>
    <x v="22"/>
    <s v="NEEDS ADJUSTMENT - HAS EXCESSIVE PLAY"/>
    <d v="2019-04-30T00:00:00"/>
    <n v="272"/>
  </r>
  <r>
    <n v="1816"/>
    <x v="14"/>
    <s v="ENGINE HEATER NOT WORKING"/>
    <d v="2019-04-30T00:00:00"/>
    <n v="272"/>
  </r>
  <r>
    <n v="1816"/>
    <x v="5"/>
    <s v="BRACKET FOR DRAIN VALVE ON SECONDARY AIR TANK HAS FALLEN OFF AND BEEN ZIP TIED TO PRIMARY AIR TANK BRACKET."/>
    <d v="2019-03-04T00:00:00"/>
    <n v="329"/>
  </r>
  <r>
    <n v="1816"/>
    <x v="1"/>
    <s v="NOISE OF SOMETHING LOOSE UNDER CAB OR FIREWALL, YELLOW WARNING MESSAGE OF LOW COOLANT CAME ON AND OFF, FLUID CONTAINER IS FULL - TRUCK NEEDS TO BE SERVICED"/>
    <d v="2019-02-20T00:00:00"/>
    <n v="341"/>
  </r>
  <r>
    <n v="1816"/>
    <x v="20"/>
    <s v="HOLD BACK FLAP ON RECEPTICLE FOR GREEN POWER CORD ON TRACTOR IS MISSING"/>
    <d v="2019-02-22T00:00:00"/>
    <n v="339"/>
  </r>
  <r>
    <n v="1816"/>
    <x v="17"/>
    <s v="TRUCK SLIPS OUT OF 6TH GEAR IF TRUCK HITS A BUMP"/>
    <d v="2019-02-22T00:00:00"/>
    <n v="339"/>
  </r>
  <r>
    <n v="1816"/>
    <x v="1"/>
    <s v="DRIVER SIDE SEAT BASE IS SEPARATED AND WILL NOT CLOSE PROPERLY - IT WILL GET BROKEN IF IT STAYS LIKE THIS FOR TOO LONG"/>
    <d v="2019-02-22T00:00:00"/>
    <n v="339"/>
  </r>
  <r>
    <n v="1816"/>
    <x v="1"/>
    <s v="DRIVER SIDE BOSE SEAT HAS NO POWER AT ON OFF OR HEAT SWITCHES - THERE IS POWER GOING TO THE SEAT ITSELF"/>
    <d v="2019-02-22T00:00:00"/>
    <n v="339"/>
  </r>
  <r>
    <n v="1816"/>
    <x v="3"/>
    <s v="VISOR LIGHT OUT"/>
    <d v="2019-03-12T00:00:00"/>
    <n v="321"/>
  </r>
  <r>
    <n v="1816"/>
    <x v="3"/>
    <s v="SKIRT LIGHT OUT ON LEFT SIDE"/>
    <d v="2019-03-12T00:00:00"/>
    <n v="321"/>
  </r>
  <r>
    <n v="1816"/>
    <x v="3"/>
    <s v="NO TAIL LIGHTS ON BACK OF TRUCK"/>
    <d v="2019-02-07T00:00:00"/>
    <n v="354"/>
  </r>
  <r>
    <n v="1816"/>
    <x v="1"/>
    <s v="STABILITY CONTROL LIGHT ON"/>
    <d v="2019-02-05T00:00:00"/>
    <n v="356"/>
  </r>
  <r>
    <n v="1816"/>
    <x v="24"/>
    <s v="STEERING WHEEEL HORN NOT WORKING"/>
    <d v="2019-01-31T00:00:00"/>
    <n v="361"/>
  </r>
  <r>
    <n v="1816"/>
    <x v="18"/>
    <s v="RE-TORQUE DRIVE AXLES - FROM TIRE REPAIR JAN 26TH 2019"/>
    <d v="2019-01-28T00:00:00"/>
    <n v="364"/>
  </r>
  <r>
    <n v="1816"/>
    <x v="3"/>
    <s v="LIC. PLATE LIGHT OUT"/>
    <d v="2019-01-31T00:00:00"/>
    <n v="361"/>
  </r>
  <r>
    <n v="1816"/>
    <x v="3"/>
    <s v="LIC. PLATE LIGHT OUT"/>
    <d v="2019-01-11T00:00:00"/>
    <n v="381"/>
  </r>
  <r>
    <n v="1816"/>
    <x v="14"/>
    <s v="RED STOP ENGINE LIGHT ON, AMBER CEL LIGHT ON AND DEF INDICATOR LIGHT FLASHING RED "/>
    <d v="2019-01-15T00:00:00"/>
    <n v="377"/>
  </r>
  <r>
    <n v="1816"/>
    <x v="25"/>
    <s v="CLUTCH BRAKE NEEDS ADJUSTMENT..CLUTCH PEDAL SQUEAKS"/>
    <d v="2019-06-14T00:00:00"/>
    <n v="227"/>
  </r>
  <r>
    <n v="1816"/>
    <x v="3"/>
    <s v="SCREWS SEIZED AND BROKEN OFF IN LIGHTS ON BACK OF CAB…CANNOT REPLACE BULBS OR LENSES"/>
    <d v="2019-06-14T00:00:00"/>
    <n v="227"/>
  </r>
  <r>
    <n v="1816"/>
    <x v="3"/>
    <s v="BREATHER LIGHT OUT ON PASS SIDE - THIS IS A RED REAR FACING LIGHT 2ND FROM THE BOTTOM"/>
    <d v="2019-07-09T00:00:00"/>
    <n v="202"/>
  </r>
  <r>
    <n v="1816"/>
    <x v="1"/>
    <s v="PLEASE REPLACE POGO STICK"/>
    <d v="2019-07-25T00:00:00"/>
    <n v="186"/>
  </r>
  <r>
    <n v="1816"/>
    <x v="2"/>
    <s v="DRIVER'S SIDE WINDOW VERY SLOW TO GO UP"/>
    <d v="2019-08-08T00:00:00"/>
    <n v="172"/>
  </r>
  <r>
    <n v="1816"/>
    <x v="4"/>
    <s v="RIGHT HOOD CABLE BROKEN"/>
    <d v="2019-08-19T00:00:00"/>
    <n v="161"/>
  </r>
  <r>
    <n v="1816"/>
    <x v="4"/>
    <s v="DRIVER'S SIDE TANK STEP BROKEN AT REAR BRACKET"/>
    <d v="2019-09-18T00:00:00"/>
    <n v="131"/>
  </r>
  <r>
    <n v="1816"/>
    <x v="14"/>
    <s v="ENGINE AND CAB HEATERS NOT WORKING"/>
    <d v="2019-09-25T00:00:00"/>
    <n v="124"/>
  </r>
  <r>
    <n v="1816"/>
    <x v="28"/>
    <s v="REVERSE BEEPER NOT WORKING"/>
    <d v="2019-10-10T00:00:00"/>
    <n v="109"/>
  </r>
  <r>
    <n v="1816"/>
    <x v="13"/>
    <s v="POWER STEERING FLUID LEAK AT HOSE"/>
    <d v="2019-10-28T00:00:00"/>
    <n v="91"/>
  </r>
  <r>
    <n v="1816"/>
    <x v="25"/>
    <s v="CLUTCH SWITCH WORKS INTERMITTENTLY"/>
    <d v="2019-11-06T00:00:00"/>
    <n v="82"/>
  </r>
  <r>
    <n v="1816"/>
    <x v="24"/>
    <s v="ELECTRIC (CITY) HORN NOT WORKING"/>
    <d v="2019-11-12T00:00:00"/>
    <n v="76"/>
  </r>
  <r>
    <n v="1816"/>
    <x v="3"/>
    <s v="ALL BREATER AND SKIRT LIGHTS NOT WORKING - TRIED REPLACING 15AMP FUSE BUT BLEW IMMEDIATELY"/>
    <d v="2019-11-26T00:00:00"/>
    <n v="62"/>
  </r>
  <r>
    <n v="1816"/>
    <x v="1"/>
    <s v="DUE FOR ANNUAL INSPECTION IN NOVEMBER"/>
    <d v="2019-11-01T00:00:00"/>
    <n v="87"/>
  </r>
  <r>
    <n v="1816"/>
    <x v="5"/>
    <s v="ESBAR ENGINE HEATER WORKS BUT SMOKES"/>
    <d v="2019-11-02T00:00:00"/>
    <n v="86"/>
  </r>
  <r>
    <n v="1816"/>
    <x v="5"/>
    <s v="ESBAR CAB HEATER NOT WORKING"/>
    <d v="2019-11-02T00:00:00"/>
    <n v="86"/>
  </r>
  <r>
    <n v="1816"/>
    <x v="14"/>
    <s v="ENGINE LIGHT ON"/>
    <d v="2019-11-29T00:00:00"/>
    <n v="59"/>
  </r>
  <r>
    <n v="1816"/>
    <x v="1"/>
    <s v="DASH HEATER NOT REGULATING PROPERLY"/>
    <d v="2019-11-29T00:00:00"/>
    <n v="59"/>
  </r>
  <r>
    <n v="1816"/>
    <x v="4"/>
    <s v="WATER BEHIND SEATS"/>
    <d v="2019-11-29T00:00:00"/>
    <n v="59"/>
  </r>
  <r>
    <n v="1817"/>
    <x v="20"/>
    <s v="GREEN POWER CORD HAS A CRACKED CASING"/>
    <d v="2019-05-03T00:00:00"/>
    <n v="269"/>
  </r>
  <r>
    <n v="1817"/>
    <x v="3"/>
    <s v="BREATHER LIGHT OUT ON RIGHT SIDE"/>
    <d v="2019-03-22T00:00:00"/>
    <n v="311"/>
  </r>
  <r>
    <n v="1817"/>
    <x v="3"/>
    <s v="SKIRT LIGHT OUT ON RIGHT SIDE"/>
    <d v="2019-03-22T00:00:00"/>
    <n v="311"/>
  </r>
  <r>
    <n v="1817"/>
    <x v="1"/>
    <s v="AIR CONDITIONER NOT WORKING"/>
    <d v="2019-03-29T00:00:00"/>
    <n v="304"/>
  </r>
  <r>
    <n v="1817"/>
    <x v="25"/>
    <s v="CLUTCH NEEDS ADJUSTMENT"/>
    <d v="2019-03-29T00:00:00"/>
    <n v="304"/>
  </r>
  <r>
    <n v="1817"/>
    <x v="29"/>
    <s v="TACHOMETER, SPEEDOMETER AND ODOMETER NOT WORKING"/>
    <d v="2019-04-02T00:00:00"/>
    <n v="300"/>
  </r>
  <r>
    <n v="1817"/>
    <x v="4"/>
    <s v="BOTH DOOR LATCHES JAMMED"/>
    <d v="2019-04-04T00:00:00"/>
    <n v="298"/>
  </r>
  <r>
    <n v="1817"/>
    <x v="3"/>
    <s v="ONLY 5 DIODES WORKING ON RIGHT TURN SIGNAL"/>
    <d v="2019-04-04T00:00:00"/>
    <n v="298"/>
  </r>
  <r>
    <n v="1817"/>
    <x v="3"/>
    <s v="NO PARKING LIGHTS, VISOR LIGHTS NOT WORKING…NO LIGHTS TO TRAILER"/>
    <d v="2019-04-05T00:00:00"/>
    <n v="297"/>
  </r>
  <r>
    <n v="1817"/>
    <x v="7"/>
    <s v="TRACTOR WILL NOT START"/>
    <d v="2019-04-05T00:00:00"/>
    <n v="297"/>
  </r>
  <r>
    <n v="1817"/>
    <x v="3"/>
    <s v="LICENSE PLATE LIGHT OUT"/>
    <d v="2019-04-09T00:00:00"/>
    <n v="293"/>
  </r>
  <r>
    <n v="1817"/>
    <x v="4"/>
    <s v="BOTTOM STEP FELL OF DRIVERS SIDE FUEL TANK - BROKEN AT THE WELDS."/>
    <d v="2019-04-16T00:00:00"/>
    <n v="286"/>
  </r>
  <r>
    <n v="1817"/>
    <x v="14"/>
    <s v="ENGINE FAN IS ALWAYS ON……WILL NOT SHUT OFF"/>
    <d v="2019-01-25T00:00:00"/>
    <n v="367"/>
  </r>
  <r>
    <n v="1817"/>
    <x v="3"/>
    <s v="LIGHT OUT ON DRIVERS SIDE UNDER DOOR"/>
    <d v="2019-01-17T00:00:00"/>
    <n v="375"/>
  </r>
  <r>
    <n v="1817"/>
    <x v="3"/>
    <s v="BREATHER LIGHT FLICKRING ON DRIVER'S SIDE"/>
    <d v="2019-01-03T00:00:00"/>
    <n v="389"/>
  </r>
  <r>
    <n v="1817"/>
    <x v="3"/>
    <s v="UNDER CAB LIGHT OUT ON DRIVER'S SIDE"/>
    <d v="2019-01-08T00:00:00"/>
    <n v="384"/>
  </r>
  <r>
    <n v="1817"/>
    <x v="25"/>
    <s v="CLUTCH BRAKE NEEDS ADJUSTED - WONT STOP 1ST GEAR"/>
    <d v="2019-06-21T00:00:00"/>
    <n v="220"/>
  </r>
  <r>
    <n v="1817"/>
    <x v="1"/>
    <s v="A/C WORKING INTERMITTENLY - SOMETIMES CUTS OUT"/>
    <d v="2019-06-24T00:00:00"/>
    <n v="217"/>
  </r>
  <r>
    <n v="1817"/>
    <x v="3"/>
    <s v="DRIVER'S SIDE MIRROE SIGNAL LIGHT HAS MULTIPLE BURNT OUT DIODES"/>
    <d v="2019-07-15T00:00:00"/>
    <n v="196"/>
  </r>
  <r>
    <n v="1817"/>
    <x v="3"/>
    <s v="LIC. PLATE LIGHT OUT"/>
    <d v="2019-07-26T00:00:00"/>
    <n v="185"/>
  </r>
  <r>
    <n v="1817"/>
    <x v="14"/>
    <s v="BPV VALVE STICKING - CEL LIGHT ON"/>
    <d v="2019-09-09T00:00:00"/>
    <n v="140"/>
  </r>
  <r>
    <n v="1817"/>
    <x v="1"/>
    <s v="ANNUAL INSPECTION DUE IN SEPT."/>
    <d v="2019-09-01T00:00:00"/>
    <n v="148"/>
  </r>
  <r>
    <n v="1817"/>
    <x v="18"/>
    <s v="RETORQUE ALL AXLES BOTH SIDES FROM SAFETY"/>
    <d v="2019-09-19T00:00:00"/>
    <n v="130"/>
  </r>
  <r>
    <n v="1817"/>
    <x v="6"/>
    <s v="UPPER STACK MOUNTS ON CAB ARE BROKEN OR WORN ON BOTH SIDES - THE EXHAUST PIPE NEEDS TO MOVE UP A BIT TO GIVE THE BOLT MORE ROOM TO SLIDE."/>
    <d v="2019-09-25T00:00:00"/>
    <n v="124"/>
  </r>
  <r>
    <n v="1817"/>
    <x v="5"/>
    <s v="ESBAR ENGINE HEATER NOT WORKING"/>
    <d v="2019-11-02T00:00:00"/>
    <n v="86"/>
  </r>
  <r>
    <n v="1817"/>
    <x v="1"/>
    <s v="BLUETOOTH IN TRUCK NOT WORKING"/>
    <d v="2019-12-30T00:00:00"/>
    <n v="28"/>
  </r>
  <r>
    <n v="1818"/>
    <x v="17"/>
    <s v="TRANSMISSION LEAKING AT OUTPUT SEAL"/>
    <d v="2019-04-18T00:00:00"/>
    <n v="284"/>
  </r>
  <r>
    <n v="1818"/>
    <x v="1"/>
    <s v="A/C NOT WORKING PROPERLY - BLOWS WARM AIR"/>
    <d v="2019-04-18T00:00:00"/>
    <n v="284"/>
  </r>
  <r>
    <n v="1818"/>
    <x v="17"/>
    <s v="AIR LEAKING FROM RED SPLITTER ON SHIFTER"/>
    <d v="2019-04-18T00:00:00"/>
    <n v="284"/>
  </r>
  <r>
    <n v="1818"/>
    <x v="0"/>
    <s v="RIGHT SIDE FRONT DRIVE AXLE HAS BLOWN BRAKE CHAMBER"/>
    <d v="2019-03-15T00:00:00"/>
    <n v="318"/>
  </r>
  <r>
    <n v="1818"/>
    <x v="25"/>
    <s v="CLUTCH NEEDS ADJUSTED"/>
    <d v="2019-04-18T00:00:00"/>
    <n v="284"/>
  </r>
  <r>
    <n v="1818"/>
    <x v="17"/>
    <s v="AIR LEAK AT HIGH RANGE SPLITTER "/>
    <d v="2019-02-26T00:00:00"/>
    <n v="335"/>
  </r>
  <r>
    <n v="1818"/>
    <x v="1"/>
    <s v="STABILITY CONTROL LIGHT ON"/>
    <d v="2019-01-16T00:00:00"/>
    <n v="376"/>
  </r>
  <r>
    <n v="1818"/>
    <x v="3"/>
    <s v="PASSENGER SIDE SKIRT LIGHT OUT"/>
    <d v="2019-01-22T00:00:00"/>
    <n v="370"/>
  </r>
  <r>
    <n v="1818"/>
    <x v="20"/>
    <s v="NO POWER GOING TO CENTER PIN OF GREEN CORD"/>
    <d v="2019-02-22T00:00:00"/>
    <n v="339"/>
  </r>
  <r>
    <n v="1818"/>
    <x v="19"/>
    <s v="LEVELING VALVE LEAKING"/>
    <d v="2019-02-19T00:00:00"/>
    <n v="342"/>
  </r>
  <r>
    <n v="1818"/>
    <x v="19"/>
    <s v="AIR LINE GOING TO LEVELING VALVE BROKEN - DRIVER THINKS LEVELING VALVE MAY HAVE BEEN FROZEN OR NOT WORKING BEFORE THE LINE BROKE. "/>
    <d v="2019-01-10T00:00:00"/>
    <n v="382"/>
  </r>
  <r>
    <n v="1818"/>
    <x v="17"/>
    <s v="OIL IS SEEPING OUT OF AIR LINES AT TOP OF SHIFTER "/>
    <d v="2019-06-17T00:00:00"/>
    <n v="224"/>
  </r>
  <r>
    <n v="1818"/>
    <x v="17"/>
    <s v="SHIFT SPLITTER MAKES GRINDING NOISE ON DOWN SHIFT"/>
    <d v="2019-06-17T00:00:00"/>
    <n v="224"/>
  </r>
  <r>
    <n v="1818"/>
    <x v="1"/>
    <s v="FRAME AND CHASIS SQUEEK LOUDLY - SHAKE CAB TO HEAR SQUEEK - DRIVER COULD NOT PINPOINT BUT HAS SPRAYED LUBRICANT ON LEAF SPRINGS "/>
    <d v="2019-06-18T00:00:00"/>
    <n v="223"/>
  </r>
  <r>
    <n v="1818"/>
    <x v="6"/>
    <s v="DRIVERS SIDE EXHAUST MOUNT ON TOP OF CAB NEEDS NEW BUSHING"/>
    <d v="2019-06-19T00:00:00"/>
    <n v="222"/>
  </r>
  <r>
    <n v="1818"/>
    <x v="3"/>
    <s v="TAIL LIGHTS NOT WORKING  "/>
    <d v="2019-08-01T00:00:00"/>
    <n v="179"/>
  </r>
  <r>
    <n v="1818"/>
    <x v="3"/>
    <s v="LICENSE PLATE LIGHT OUT"/>
    <d v="2019-08-01T00:00:00"/>
    <n v="179"/>
  </r>
  <r>
    <n v="1818"/>
    <x v="3"/>
    <s v="LIC. PLATE LIGHT OUT"/>
    <d v="2019-08-02T00:00:00"/>
    <n v="178"/>
  </r>
  <r>
    <n v="1818"/>
    <x v="6"/>
    <s v="DRIVER SIDE UPPER STACK MOUNT IS LOOSE AND NOISEY…BOTH SIDES"/>
    <d v="2019-08-23T00:00:00"/>
    <n v="157"/>
  </r>
  <r>
    <n v="1818"/>
    <x v="1"/>
    <s v="WHITE AIR LINE ON DRIVERS SIDE OF ENGINE HAS AN AIR LEAK AT UNION IN LINE"/>
    <d v="2019-09-06T00:00:00"/>
    <n v="143"/>
  </r>
  <r>
    <n v="1818"/>
    <x v="10"/>
    <s v="FRONT RIGHT SIDE STEER TIRE HAS UNEVEN WEAR  - ROUNDING ON THE OUTSIDE EDGE"/>
    <d v="2019-09-17T00:00:00"/>
    <n v="132"/>
  </r>
  <r>
    <n v="1818"/>
    <x v="5"/>
    <s v="BOTH ESBAR HEATERS ARE NOT WORKING - ENGINE AND CAB"/>
    <d v="2019-09-19T00:00:00"/>
    <n v="130"/>
  </r>
  <r>
    <n v="1818"/>
    <x v="18"/>
    <s v="RETORQUE ALL AXLES BOTH SIDES"/>
    <d v="2019-09-30T00:00:00"/>
    <n v="119"/>
  </r>
  <r>
    <n v="1818"/>
    <x v="25"/>
    <s v="CLUTCH SWITCH NOT DE-ACTIVATING ENGINE BRAKE OR CRUISE CONTROL"/>
    <d v="2019-10-09T00:00:00"/>
    <n v="110"/>
  </r>
  <r>
    <n v="1818"/>
    <x v="5"/>
    <s v="ESBAR CAB HEATER NOT WORKING"/>
    <d v="2019-11-02T00:00:00"/>
    <n v="86"/>
  </r>
  <r>
    <n v="1818"/>
    <x v="16"/>
    <s v="PLEASE REPLACE WIPERS BLADES WITH WINTER BLADES"/>
    <d v="2019-12-12T00:00:00"/>
    <n v="46"/>
  </r>
  <r>
    <n v="1818"/>
    <x v="20"/>
    <s v="PLEASE CHECK GREEN TRIALER POWER SUPPLY CORD FOR BROKEN OR LOOSE WIRES - TRAILER LIGHTS FLICKER ON AND OFF"/>
    <d v="2019-12-12T00:00:00"/>
    <n v="46"/>
  </r>
  <r>
    <n v="1818"/>
    <x v="1"/>
    <s v="FUEL GAUGE NOT ACCURATE - NEEDLE BOUNCES ALL OVER GAUGE"/>
    <d v="2019-11-12T00:00:00"/>
    <n v="76"/>
  </r>
  <r>
    <n v="1818"/>
    <x v="5"/>
    <s v="ESBAR ENGINE HEATER NOT WORKING"/>
    <d v="2019-11-02T00:00:00"/>
    <n v="86"/>
  </r>
  <r>
    <n v="1818"/>
    <x v="1"/>
    <s v="PLEASE REPLACE POGO STICK"/>
    <d v="2019-12-17T00:00:00"/>
    <n v="41"/>
  </r>
  <r>
    <n v="1818"/>
    <x v="20"/>
    <s v="WIRING ISSUE IN POWER SUPPLY FOR TRAILER - ISSUE STARTS BEFORE THE TRACTOR SIDE 7 WAY RECEPTICALS - THIS SHORT HAS BLOW SEVERAL 30AMP FUSES"/>
    <d v="2019-12-18T00:00:00"/>
    <n v="40"/>
  </r>
  <r>
    <n v="1818"/>
    <x v="5"/>
    <s v="CAB ESBAR HEATER NOT WORKING"/>
    <d v="2019-12-30T00:00:00"/>
    <n v="28"/>
  </r>
  <r>
    <n v="1819"/>
    <x v="1"/>
    <s v="AIR CONDITIONING NOT WORKING"/>
    <d v="2019-05-06T00:00:00"/>
    <n v="266"/>
  </r>
  <r>
    <n v="1819"/>
    <x v="14"/>
    <s v="FUEL LINES BECOMING HARD AND BRITTLE AS PER DYLAN 5/21/19 - MAY BE CAUSING HARD STARTING ISSUE  DUE TO AIR IN LINES -  SHOULD BE REPLACED AT NEXT SERVICE"/>
    <d v="2019-05-21T00:00:00"/>
    <n v="251"/>
  </r>
  <r>
    <n v="1819"/>
    <x v="14"/>
    <s v="CHECK ENGINE LIGHT ON"/>
    <d v="2019-05-23T00:00:00"/>
    <n v="249"/>
  </r>
  <r>
    <n v="1819"/>
    <x v="3"/>
    <s v="ALL VISOR LIGHTS ARE DIM - PLEASE CHECK WIRING AND VOLTAGE"/>
    <d v="2019-05-28T00:00:00"/>
    <n v="244"/>
  </r>
  <r>
    <n v="1819"/>
    <x v="0"/>
    <s v="TRACTOR SPRING BRAK VALVE LEAKS AIR WHEN SPRING BRAKES ARE RELEASED"/>
    <d v="2019-05-29T00:00:00"/>
    <n v="243"/>
  </r>
  <r>
    <n v="1819"/>
    <x v="1"/>
    <s v="PMB SERVICE DUE"/>
    <d v="2019-05-29T00:00:00"/>
    <n v="243"/>
  </r>
  <r>
    <n v="1819"/>
    <x v="1"/>
    <s v="PLEASE ADJUST SETTING TO ALLOW INTERIOR LIGHTS TO FUNCTION WHETHER TRAILER BRAKES ARE ENGAGED OR NOT - CURRENTLY WILL NOT WORK IF TRAILER SPRING BRAKES ARE ENGAGED"/>
    <d v="2019-05-21T00:00:00"/>
    <n v="251"/>
  </r>
  <r>
    <n v="1819"/>
    <x v="3"/>
    <s v="BREATHER LIGHT OUT ON PASSENGER SIDE"/>
    <d v="2019-05-07T00:00:00"/>
    <n v="265"/>
  </r>
  <r>
    <n v="1819"/>
    <x v="3"/>
    <s v="GROMETS FOR BREATHER AND VISOR LIGHTS ARE DAMAGED AND LIGHTS ARE POPPING OUT OF STAINLESS MOUNTS"/>
    <d v="2019-05-09T00:00:00"/>
    <n v="263"/>
  </r>
  <r>
    <n v="1819"/>
    <x v="14"/>
    <s v="EXCESSIVELY COLD CRANKS WHEN FIRST STARTIN UP IN MORNING"/>
    <d v="2019-05-13T00:00:00"/>
    <n v="259"/>
  </r>
  <r>
    <n v="1819"/>
    <x v="1"/>
    <s v="STEER AXLE MISSING LUG COVERS AND HUB COVERS ON BOTH SIDES"/>
    <d v="2019-05-09T00:00:00"/>
    <n v="263"/>
  </r>
  <r>
    <n v="1819"/>
    <x v="0"/>
    <s v="PRIMARY AIR TANK DRAIN CORD BRACKET MISSING MOUNTING BOLT - CURRENTLY ZIP TIED TO  AIR TANK U-BOLT THAT IS VISIBLE UNDER DRIVERS SIDE DOOR."/>
    <d v="2019-05-08T00:00:00"/>
    <n v="264"/>
  </r>
  <r>
    <n v="1819"/>
    <x v="19"/>
    <s v="RIGHT SIDE REAR DRIVE AIR BAG POPPED"/>
    <d v="2019-05-03T00:00:00"/>
    <n v="269"/>
  </r>
  <r>
    <n v="1819"/>
    <x v="0"/>
    <s v="TRUCK LOSES ALL AIR WHEN PARKED FOR 30MIN"/>
    <d v="2019-03-26T00:00:00"/>
    <n v="307"/>
  </r>
  <r>
    <n v="1819"/>
    <x v="3"/>
    <s v="VISOR LIGHT OUT"/>
    <d v="2019-03-27T00:00:00"/>
    <n v="306"/>
  </r>
  <r>
    <n v="1819"/>
    <x v="3"/>
    <s v="BREATHER LIGHTS OUT ON BOTH SIDES"/>
    <d v="2019-03-11T00:00:00"/>
    <n v="322"/>
  </r>
  <r>
    <n v="1819"/>
    <x v="3"/>
    <s v="VISOR LIGHT OUT - MIDDLE"/>
    <d v="2019-03-11T00:00:00"/>
    <n v="322"/>
  </r>
  <r>
    <n v="1819"/>
    <x v="15"/>
    <s v="TRUCK LOSES ALL AIR WHEN PARKED OVERNIGHT - AUDIBLE AIR LEAK UNDER CAB "/>
    <d v="2019-03-12T00:00:00"/>
    <n v="321"/>
  </r>
  <r>
    <n v="1819"/>
    <x v="3"/>
    <s v="VISOR LIGHT OUT"/>
    <d v="2019-03-20T00:00:00"/>
    <n v="313"/>
  </r>
  <r>
    <n v="1819"/>
    <x v="3"/>
    <s v="2X VISOR LIGHT OUT"/>
    <d v="2019-01-18T00:00:00"/>
    <n v="374"/>
  </r>
  <r>
    <n v="1819"/>
    <x v="5"/>
    <s v="ESBAR ENGINE HEATER NOT WORKING"/>
    <d v="2019-01-28T00:00:00"/>
    <n v="364"/>
  </r>
  <r>
    <n v="1819"/>
    <x v="18"/>
    <s v="RE-TORQUE DRIVE AXLES - FROM TIRE REPAIR JAN 26TH 2019"/>
    <d v="2019-01-28T00:00:00"/>
    <n v="364"/>
  </r>
  <r>
    <n v="1819"/>
    <x v="3"/>
    <s v="2X SKIRT LIGHTS OUT ON RIGHT SIDE"/>
    <d v="2019-02-01T00:00:00"/>
    <n v="360"/>
  </r>
  <r>
    <n v="1819"/>
    <x v="20"/>
    <s v="NO POWER GOING TO TRAILER LIGHTS - NOT SURE IF FUSE OR PLUG"/>
    <d v="2019-02-19T00:00:00"/>
    <n v="342"/>
  </r>
  <r>
    <n v="1819"/>
    <x v="16"/>
    <s v="PLEASE REPLACE WINDSHIELD WIPERS"/>
    <d v="2019-01-08T00:00:00"/>
    <n v="384"/>
  </r>
  <r>
    <n v="1819"/>
    <x v="19"/>
    <s v="RIDE HEIGHT TOO HIGH"/>
    <d v="2019-06-14T00:00:00"/>
    <n v="227"/>
  </r>
  <r>
    <n v="1819"/>
    <x v="1"/>
    <s v="ALUMINUM MOUNTING PLATE FOR AIR AND ELECTRICAL LINES BEHIND CAB IS LOOSE"/>
    <d v="2019-06-17T00:00:00"/>
    <n v="224"/>
  </r>
  <r>
    <n v="1819"/>
    <x v="20"/>
    <s v="NO POWER GOING TO CENTER PIN ON GREEN POWER SUPPLY CORD"/>
    <d v="2019-06-18T00:00:00"/>
    <n v="223"/>
  </r>
  <r>
    <n v="1819"/>
    <x v="3"/>
    <s v="NO POWER THROUGH GREEN CORD FOR TRAILER LIGHTS - ALL FUSES ARE GOOD"/>
    <d v="2019-06-25T00:00:00"/>
    <n v="216"/>
  </r>
  <r>
    <n v="1819"/>
    <x v="3"/>
    <s v="VISOR LIGHT BURNT ON PASSENGER SIDE"/>
    <d v="2019-07-29T00:00:00"/>
    <n v="182"/>
  </r>
  <r>
    <n v="1819"/>
    <x v="3"/>
    <s v="LIC. PLATE LIGHT OUT"/>
    <d v="2019-07-31T00:00:00"/>
    <n v="180"/>
  </r>
  <r>
    <n v="1819"/>
    <x v="3"/>
    <s v="BACK UP LIGHT ON TOP OF DRIVER'S SIDE MIRROR IS NOT WORKING"/>
    <d v="2019-08-08T00:00:00"/>
    <n v="172"/>
  </r>
  <r>
    <n v="1819"/>
    <x v="4"/>
    <s v="PASSENGER SIDE DOOR HARD TO CLOSE AND LOCK"/>
    <d v="2019-08-12T00:00:00"/>
    <n v="168"/>
  </r>
  <r>
    <n v="1819"/>
    <x v="14"/>
    <s v="OIL DRIPPING FROM OIL PAN"/>
    <d v="2019-08-13T00:00:00"/>
    <n v="167"/>
  </r>
  <r>
    <n v="1819"/>
    <x v="5"/>
    <s v="ESBAR CAB HEATER EXHAUST TUBE NEEDS REPLACED"/>
    <d v="2019-08-13T00:00:00"/>
    <n v="167"/>
  </r>
  <r>
    <n v="1819"/>
    <x v="4"/>
    <s v="BUMPER IS BENT"/>
    <d v="2019-08-29T00:00:00"/>
    <n v="151"/>
  </r>
  <r>
    <n v="1819"/>
    <x v="1"/>
    <s v="POGO STICK NEEDS REPLACED"/>
    <d v="2019-08-13T00:00:00"/>
    <m/>
  </r>
  <r>
    <n v="1819"/>
    <x v="1"/>
    <s v="FUEL GAUGE NOT WORKING"/>
    <d v="2019-08-21T00:00:00"/>
    <n v="159"/>
  </r>
  <r>
    <n v="1819"/>
    <x v="1"/>
    <s v="ANNUAL INSPECTION DUE IN SEPT."/>
    <d v="2019-09-01T00:00:00"/>
    <n v="148"/>
  </r>
  <r>
    <n v="1819"/>
    <x v="3"/>
    <s v="LIGHT OUT ON PASSENGER SIDE BREATHER"/>
    <d v="2019-10-07T00:00:00"/>
    <n v="112"/>
  </r>
  <r>
    <n v="1819"/>
    <x v="23"/>
    <s v="LOW COOLANT WARNING, AMBER CHECK ENGINE LIGHT, RED STOP ENGINE LIGHT AND SERVICE WRENCH APPEARED ON DASH - TRUCK RUNNING FINE, COOLANT FULL - MAY NEED COOLANT TANK REPLACED "/>
    <d v="2019-10-07T00:00:00"/>
    <n v="112"/>
  </r>
  <r>
    <n v="1819"/>
    <x v="5"/>
    <s v="ESBAR ENGINE HEATER DISPLAYS ERROR MESSAGE"/>
    <d v="2019-10-07T00:00:00"/>
    <n v="112"/>
  </r>
  <r>
    <n v="1819"/>
    <x v="5"/>
    <s v="ESBAR ENGINE HEATER WORKS BUT SMOKES"/>
    <d v="2019-11-02T00:00:00"/>
    <n v="86"/>
  </r>
  <r>
    <n v="1819"/>
    <x v="4"/>
    <s v="BUMPER BENT"/>
    <d v="2019-12-03T00:00:00"/>
    <n v="55"/>
  </r>
  <r>
    <n v="1819"/>
    <x v="3"/>
    <s v="VISOR LIGHT OUT "/>
    <d v="2019-12-11T00:00:00"/>
    <n v="47"/>
  </r>
  <r>
    <n v="1819"/>
    <x v="22"/>
    <s v="ADJUSTMENT PIN AT FRONT OF 5TH WHELL DOES NOT SIT FLUSH AGAINST 5TH WHEEL WHEN JAWS ARE CLOSED AROUND KING PIN. - HAS MORE THAT 3/16 OF PLAY"/>
    <d v="2019-12-12T00:00:00"/>
    <n v="46"/>
  </r>
  <r>
    <n v="1819"/>
    <x v="3"/>
    <s v="DRIVER'S SIDE HEAD LIGHT OUT"/>
    <d v="2019-12-17T00:00:00"/>
    <n v="41"/>
  </r>
  <r>
    <n v="1819"/>
    <x v="20"/>
    <s v="SUPPLY LINE LEAKING AIR AT TRAILER SIDE GLAD HAND"/>
    <d v="2019-12-19T00:00:00"/>
    <n v="39"/>
  </r>
  <r>
    <n v="1819"/>
    <x v="14"/>
    <s v="AMBER CHECK ENGINE LIGHT ON"/>
    <d v="2020-01-02T00:00:00"/>
    <n v="25"/>
  </r>
  <r>
    <n v="1820"/>
    <x v="3"/>
    <s v="LICENSE PLATE LIGHT OUT."/>
    <d v="2019-05-27T00:00:00"/>
    <n v="245"/>
  </r>
  <r>
    <n v="1820"/>
    <x v="20"/>
    <s v="PLEASE REPLACE AIR AND ELECTRICLE LINES 0 THEY HAVE BEEN REPAIRED A COUPLE OF TIMES NOW AND ARE TOO SHORT."/>
    <d v="2019-05-01T00:00:00"/>
    <n v="271"/>
  </r>
  <r>
    <n v="1820"/>
    <x v="14"/>
    <s v="ESBAR ENGINE HEATER NOT WORKING - THIS WAS SERVICED IN EARLY FEB"/>
    <d v="2019-02-07T00:00:00"/>
    <n v="354"/>
  </r>
  <r>
    <n v="1820"/>
    <x v="3"/>
    <s v="AUXILLARY LIGHT OUT ON RIGHT SIDE OF TRUCK"/>
    <d v="2019-01-28T00:00:00"/>
    <n v="364"/>
  </r>
  <r>
    <n v="1820"/>
    <x v="20"/>
    <s v="YELLOW CORD WAS CUT FOR REPAIRS AND IS NOW TOO SHORT - PLEASE REPLACE CORD AND BRAID THROUGH PROTECTIVE COVER - PLEASE ALSO REPLACE THE CLAMPS"/>
    <d v="2019-03-19T00:00:00"/>
    <n v="314"/>
  </r>
  <r>
    <n v="1820"/>
    <x v="3"/>
    <s v="BACK OF CAB LIGHT OUT"/>
    <d v="2019-03-19T00:00:00"/>
    <n v="314"/>
  </r>
  <r>
    <n v="1820"/>
    <x v="1"/>
    <s v="ANTENNA FOR CB RADIO ON LEFT HAND SIDE IS BROKEN"/>
    <d v="2019-03-19T00:00:00"/>
    <n v="314"/>
  </r>
  <r>
    <n v="1820"/>
    <x v="1"/>
    <s v="RADIO ANTEENA ON BACK OF CAB IS LOOSE AND HAS POOR RECEPTION - PLEASE CLEAN CONNECTIONS, REPALCE IF NEEDED AND TIGHTEN DOWN"/>
    <d v="2019-03-19T00:00:00"/>
    <n v="314"/>
  </r>
  <r>
    <n v="1820"/>
    <x v="20"/>
    <s v="GREEN ELECTRICAL CORD END BROKEN"/>
    <d v="2019-03-12T00:00:00"/>
    <n v="321"/>
  </r>
  <r>
    <n v="1820"/>
    <x v="3"/>
    <s v="BACK OF CAB LIGHT OUT"/>
    <d v="2019-02-07T00:00:00"/>
    <n v="354"/>
  </r>
  <r>
    <n v="1820"/>
    <x v="3"/>
    <s v="LISENCE PLATE LIGHT OUT"/>
    <d v="2019-02-13T00:00:00"/>
    <n v="348"/>
  </r>
  <r>
    <n v="1820"/>
    <x v="3"/>
    <s v="2 VISOR LIGHTS OUT"/>
    <d v="2019-01-30T00:00:00"/>
    <n v="362"/>
  </r>
  <r>
    <n v="1820"/>
    <x v="25"/>
    <s v="PLEASE ADJUST CLUTCH"/>
    <d v="2019-01-31T00:00:00"/>
    <n v="361"/>
  </r>
  <r>
    <n v="1820"/>
    <x v="5"/>
    <s v="ESBAR ENGINE HEATER FAILED TO START"/>
    <d v="2019-01-31T00:00:00"/>
    <n v="361"/>
  </r>
  <r>
    <n v="1820"/>
    <x v="14"/>
    <s v="CHECK ENGINE LIGHT ON"/>
    <d v="2019-01-31T00:00:00"/>
    <n v="361"/>
  </r>
  <r>
    <n v="1820"/>
    <x v="14"/>
    <s v="ENGINE CHARGE AIR COOLER LEAKING  - HAS A HOLE IN IT"/>
    <d v="2019-01-25T00:00:00"/>
    <n v="367"/>
  </r>
  <r>
    <n v="1820"/>
    <x v="3"/>
    <s v="LOWER AUXILLARY LIGHT OUT ON LEFT SIDE"/>
    <d v="2018-12-11T00:00:00"/>
    <n v="412"/>
  </r>
  <r>
    <n v="1820"/>
    <x v="1"/>
    <s v="AIR CONDITIONING NOT WORKING"/>
    <d v="2019-06-06T00:00:00"/>
    <n v="235"/>
  </r>
  <r>
    <n v="1820"/>
    <x v="3"/>
    <s v="2X VISOR LIGHT OUT"/>
    <d v="2019-06-06T00:00:00"/>
    <n v="235"/>
  </r>
  <r>
    <n v="1820"/>
    <x v="4"/>
    <s v="BROKEN HOOD CABLE"/>
    <d v="2019-06-07T00:00:00"/>
    <n v="234"/>
  </r>
  <r>
    <n v="1820"/>
    <x v="1"/>
    <s v="CB RADIO NOT WORKING"/>
    <d v="2019-06-19T00:00:00"/>
    <m/>
  </r>
  <r>
    <n v="1820"/>
    <x v="3"/>
    <s v="REAR CAB LIGHT OUT"/>
    <d v="2019-08-27T00:00:00"/>
    <n v="153"/>
  </r>
  <r>
    <n v="1820"/>
    <x v="4"/>
    <s v="SPRING BROKE IN DRIVERS DOOR LATCH"/>
    <d v="2019-08-28T00:00:00"/>
    <n v="152"/>
  </r>
  <r>
    <n v="1820"/>
    <x v="1"/>
    <s v="DRIVERS SIDE DOOR HANDLE LOOSE"/>
    <d v="2019-09-16T00:00:00"/>
    <n v="133"/>
  </r>
  <r>
    <n v="1820"/>
    <x v="14"/>
    <s v="OIL PAN HAS SLOW DRIP FROM THE DRAIN PLUG"/>
    <d v="2019-09-17T00:00:00"/>
    <n v="132"/>
  </r>
  <r>
    <n v="1822"/>
    <x v="23"/>
    <s v="FLOAT FOR COOLANT RESIVIOR IS BROKEN INSIDE OF TANK - DRIVER HAS TAPED A MAGNET TO THE SENSOR  "/>
    <d v="2019-01-18T00:00:00"/>
    <n v="374"/>
  </r>
  <r>
    <n v="1820"/>
    <x v="21"/>
    <s v="RIDE HEIGHT TOO HIGH - TRUCK RUMBLES AND VIBRATES AT HIGHER RMP'S"/>
    <d v="2019-09-25T00:00:00"/>
    <n v="124"/>
  </r>
  <r>
    <n v="1820"/>
    <x v="4"/>
    <s v="ONE HOOD CABLE BROKEN"/>
    <d v="2019-09-30T00:00:00"/>
    <n v="119"/>
  </r>
  <r>
    <n v="1820"/>
    <x v="1"/>
    <s v="FUEL GAUGE NOT ACCURATE - NEEDLE BOUNCES ALL OVER GAUGE"/>
    <d v="2019-10-25T00:00:00"/>
    <n v="94"/>
  </r>
  <r>
    <n v="1820"/>
    <x v="3"/>
    <s v="DRIVER'S SIDE HEAD LIGHT OUT"/>
    <d v="2019-11-21T00:00:00"/>
    <n v="67"/>
  </r>
  <r>
    <n v="1820"/>
    <x v="14"/>
    <s v="AMBER CHECK ENGINE LIGHT ON"/>
    <d v="2019-11-21T00:00:00"/>
    <n v="67"/>
  </r>
  <r>
    <n v="1820"/>
    <x v="5"/>
    <s v="ENGINE HEATER NOT WORKING"/>
    <d v="2019-10-18T00:00:00"/>
    <n v="101"/>
  </r>
  <r>
    <n v="1820"/>
    <x v="1"/>
    <s v="DUE FOR ANNUAL INSPECTION IN NOVEMBER"/>
    <d v="2019-11-01T00:00:00"/>
    <n v="87"/>
  </r>
  <r>
    <n v="1821"/>
    <x v="3"/>
    <s v="PASSENGER SIDE LOW BEAM HEADLIGHT OUT"/>
    <d v="2019-04-09T00:00:00"/>
    <n v="293"/>
  </r>
  <r>
    <n v="1821"/>
    <x v="3"/>
    <s v="LIGHT OUT UNDER DRIVER'S SIDE DOOR"/>
    <d v="2019-01-18T00:00:00"/>
    <n v="374"/>
  </r>
  <r>
    <n v="1821"/>
    <x v="4"/>
    <s v="DRIVERS SIDE DOOR LOCK WILL NOT UNLOCK OR LOCK WITH KEY - KEY WILL NOT TURN IN LOCK"/>
    <d v="2019-02-04T00:00:00"/>
    <n v="357"/>
  </r>
  <r>
    <n v="1821"/>
    <x v="1"/>
    <s v="INTERIOR LIGHTS COME ON WHILE DRIVING FOR NO REASON - IN THE RAIN"/>
    <d v="2019-02-04T00:00:00"/>
    <n v="357"/>
  </r>
  <r>
    <n v="1821"/>
    <x v="1"/>
    <s v="PARKING BRAKE INDICATOR FLASHES ON AND OFF AND FLICKERS WHILE DRIVING - IN THE RAIN"/>
    <d v="2019-02-04T00:00:00"/>
    <n v="357"/>
  </r>
  <r>
    <n v="1821"/>
    <x v="1"/>
    <s v="CRUISE CONTROL SPEED INDICATOR FLASHED RED AND ORANGE ON DASH DISPLAYWHILE CRUISE IS ENGAGED - IN THE RAIN"/>
    <d v="2019-02-04T00:00:00"/>
    <n v="357"/>
  </r>
  <r>
    <n v="1821"/>
    <x v="1"/>
    <s v="BACK OF CAB LIGHT OUT ON PASSENGER SIDE"/>
    <d v="2019-02-04T00:00:00"/>
    <n v="357"/>
  </r>
  <r>
    <n v="1821"/>
    <x v="4"/>
    <s v="DRIVERS SIDE DOOR WILL NOT OPEN"/>
    <d v="2019-01-04T00:00:00"/>
    <n v="388"/>
  </r>
  <r>
    <n v="1821"/>
    <x v="1"/>
    <s v="DRIVER'S SIDE DOOR LATCH NOT WORKING PROPERLY -- STILL DOES NOT CATCH ALL THE TIME"/>
    <d v="2019-01-02T00:00:00"/>
    <m/>
  </r>
  <r>
    <n v="1821"/>
    <x v="22"/>
    <s v="FIFTH WHEEL ITSELF SHIFTS INSIDE THE TRACK - CYLINDER PINS MIGHT BE SEIZED"/>
    <d v="2019-06-06T00:00:00"/>
    <n v="235"/>
  </r>
  <r>
    <n v="1821"/>
    <x v="20"/>
    <s v="BLUE AIR LINE CHAFFED THROUGH OUTER LAYER - PLEASE ASSESS ALL LINES FOR DAMAGE"/>
    <d v="2019-06-07T00:00:00"/>
    <n v="234"/>
  </r>
  <r>
    <n v="1821"/>
    <x v="6"/>
    <s v="PASSENGER SIDE UPPER EXHAUST STACK MOUNT IN BROKEN"/>
    <d v="2019-07-30T00:00:00"/>
    <n v="181"/>
  </r>
  <r>
    <n v="1821"/>
    <x v="1"/>
    <s v="A/C BLOWS COOL BUT NOT COLD AIR"/>
    <d v="2019-08-02T00:00:00"/>
    <n v="178"/>
  </r>
  <r>
    <n v="1821"/>
    <x v="3"/>
    <s v="LIC. PLATE LIGHT OUT"/>
    <d v="2019-09-04T00:00:00"/>
    <n v="145"/>
  </r>
  <r>
    <n v="1821"/>
    <x v="4"/>
    <s v="PASSENGER SIDE DOOR LATCH STICKING"/>
    <d v="2019-09-27T00:00:00"/>
    <n v="122"/>
  </r>
  <r>
    <n v="1821"/>
    <x v="4"/>
    <s v="DRIVERS SIDE HOOD RESTRAINT CABLE IS BROKEN"/>
    <d v="2019-09-23T00:00:00"/>
    <n v="126"/>
  </r>
  <r>
    <n v="1821"/>
    <x v="23"/>
    <s v="TRACTOR IS SLOWLY USING COOLANT - COULD NOT FIND LEAK AND NO POOLING"/>
    <d v="2019-09-04T00:00:00"/>
    <n v="145"/>
  </r>
  <r>
    <n v="1821"/>
    <x v="23"/>
    <s v="LOW COOLANT WARNING, AMBER CHECK ENGINE LIGHT, RED STOP ENGINE LIGHT AND SERVICE WRENCH APPEARED ON DASH - TRUCK RUNNING FINE, COOLANT FULL - MAY NEED COOLANT TANK REPLACED "/>
    <d v="2019-10-07T00:00:00"/>
    <n v="112"/>
  </r>
  <r>
    <n v="1821"/>
    <x v="3"/>
    <s v="TWO BREATHER LIGHTS OUT ON PASSENGER SIDE"/>
    <d v="2019-10-09T00:00:00"/>
    <n v="110"/>
  </r>
  <r>
    <n v="1821"/>
    <x v="3"/>
    <s v="SKIRT LIGHT OUT ON PASSENGER SIDE"/>
    <d v="2019-10-09T00:00:00"/>
    <n v="110"/>
  </r>
  <r>
    <n v="1821"/>
    <x v="3"/>
    <s v="2 BREATHER LIGHTS OUT ON DRIVER'S SIDE"/>
    <d v="2019-10-30T00:00:00"/>
    <n v="89"/>
  </r>
  <r>
    <n v="1821"/>
    <x v="14"/>
    <s v="CHECK ENGINE LIGHT ON - PEOPLENET REPORT INDICATES EGR VALVE ISSUE"/>
    <d v="2019-11-01T00:00:00"/>
    <n v="87"/>
  </r>
  <r>
    <n v="1821"/>
    <x v="22"/>
    <s v="AIR LEAK IN THE LINE GOING TO THE 5TH WHEEL CYLINDER - AIR LEAK IS IN THE FITTING AT THE BRACKET THAT IS MOUNTED TO THE 5TH WHEEL CROSS MEMBER "/>
    <d v="2019-11-01T00:00:00"/>
    <n v="87"/>
  </r>
  <r>
    <n v="1821"/>
    <x v="3"/>
    <s v="SKIRT LIGHTS OUT ON BOTH SIDES"/>
    <d v="2019-12-06T00:00:00"/>
    <n v="52"/>
  </r>
  <r>
    <n v="1821"/>
    <x v="6"/>
    <s v="EXHAUST MOUNT SLIDE BOLT AT TOP OF CAB ON DRIVERS SIDE IS MISSING - CURRENTLY BEING HELD TOGETHER WITH ZIP TIES"/>
    <d v="2019-12-12T00:00:00"/>
    <n v="46"/>
  </r>
  <r>
    <n v="1821"/>
    <x v="1"/>
    <s v="DUE FOR ANNUAL INSPECTION IN DECEMBER"/>
    <d v="2019-12-01T00:00:00"/>
    <n v="57"/>
  </r>
  <r>
    <n v="1821"/>
    <x v="20"/>
    <s v="TRAILER INTERIOR LIGHTS NOT WORKING - PLEASE CHECK YELLOW POWER CORD AND FUSES RELATED TO IT POWER SUPPLY"/>
    <d v="2019-12-13T00:00:00"/>
    <n v="45"/>
  </r>
  <r>
    <n v="1822"/>
    <x v="22"/>
    <s v="LOCKING JAWS WILL NOT LOCK TIGHT AROUND PIN - DRIVER HAS TO TAP PIN TO SECURE JAWS"/>
    <d v="2019-03-08T00:00:00"/>
    <n v="325"/>
  </r>
  <r>
    <n v="1822"/>
    <x v="22"/>
    <s v="FIFTH WHEEL HAS EXCESSIVE PLAY"/>
    <d v="2019-03-08T00:00:00"/>
    <n v="325"/>
  </r>
  <r>
    <n v="1822"/>
    <x v="1"/>
    <s v="AIR CONDITIONING NOT WORKING"/>
    <d v="2019-04-08T00:00:00"/>
    <n v="294"/>
  </r>
  <r>
    <n v="1822"/>
    <x v="3"/>
    <s v="VISOR LIGHT OUT"/>
    <d v="2019-04-08T00:00:00"/>
    <n v="294"/>
  </r>
  <r>
    <n v="1822"/>
    <x v="3"/>
    <s v="REAR PARKING LIGHTS NOT WORKING"/>
    <d v="2019-04-12T00:00:00"/>
    <n v="290"/>
  </r>
  <r>
    <n v="1822"/>
    <x v="18"/>
    <s v="RE-TORQUE DRIVE AXLES ON BOTH SIDES"/>
    <d v="2019-04-11T00:00:00"/>
    <n v="291"/>
  </r>
  <r>
    <n v="1822"/>
    <x v="5"/>
    <s v="ENGINE HEATER NOT WORKING"/>
    <d v="2019-07-12T00:00:00"/>
    <n v="199"/>
  </r>
  <r>
    <n v="1822"/>
    <x v="0"/>
    <s v="AIR LEAK UNDER CAB ON PASSENGER SIDE - DRIVER CAN HEAR BUT NOT FIND"/>
    <d v="2019-07-12T00:00:00"/>
    <n v="199"/>
  </r>
  <r>
    <n v="1822"/>
    <x v="4"/>
    <s v="TORSION BARS HAVE WORN RUBBERS - BARS HAVE SLID TO FRONT OF BRACKET"/>
    <d v="2019-07-12T00:00:00"/>
    <n v="199"/>
  </r>
  <r>
    <n v="1822"/>
    <x v="1"/>
    <s v="AIR CONDITIONING IS COOL BUT NOT COLD"/>
    <d v="2019-07-12T00:00:00"/>
    <n v="199"/>
  </r>
  <r>
    <n v="1822"/>
    <x v="22"/>
    <s v="PLEASE CHECK 5TH WHEEL FOR EXCESSIVE PLAY"/>
    <d v="2019-07-12T00:00:00"/>
    <n v="199"/>
  </r>
  <r>
    <n v="1822"/>
    <x v="1"/>
    <s v="DUE FOR ANNUAL INSPECTION IN OCTOBER"/>
    <d v="2019-10-01T00:00:00"/>
    <n v="118"/>
  </r>
  <r>
    <n v="1822"/>
    <x v="5"/>
    <s v="ESBAR ENGINE HEATER NOT WORKING"/>
    <d v="2019-10-23T00:00:00"/>
    <n v="96"/>
  </r>
  <r>
    <n v="1822"/>
    <x v="1"/>
    <s v="DRIVER HAD ISSUE WITH CRUISE CONTROL NOT WORKING"/>
    <d v="2019-11-25T00:00:00"/>
    <n v="63"/>
  </r>
  <r>
    <n v="1822"/>
    <x v="4"/>
    <s v="ONE BROKEN HOOD CABLE"/>
    <d v="2019-12-13T00:00:00"/>
    <n v="45"/>
  </r>
  <r>
    <n v="1822"/>
    <x v="3"/>
    <s v="MULTIPLE SKIRT LIGHTS OUT"/>
    <d v="2019-12-13T00:00:00"/>
    <n v="45"/>
  </r>
  <r>
    <n v="1822"/>
    <x v="25"/>
    <s v="NEEDS CLUTCH"/>
    <d v="2019-12-30T00:00:00"/>
    <n v="28"/>
  </r>
  <r>
    <n v="1823"/>
    <x v="4"/>
    <s v="PASSENGER SIDE MUDFLAP BRACKET BROKEN"/>
    <d v="2019-05-08T00:00:00"/>
    <n v="264"/>
  </r>
  <r>
    <n v="1823"/>
    <x v="3"/>
    <s v="LIC. PLATE LIGHT NOT WORKING"/>
    <d v="2019-05-08T00:00:00"/>
    <n v="264"/>
  </r>
  <r>
    <n v="1823"/>
    <x v="4"/>
    <s v="CAB HAS BANGING NOISE COMING FROM PASSENGER SIDE - DRIVER SUSPECTS IT MIGHT BE COMING FROM EXHAUST STACK ON THAT SIDE BUT COULD NOT CONFIRM"/>
    <d v="2019-04-25T00:00:00"/>
    <n v="277"/>
  </r>
  <r>
    <n v="1823"/>
    <x v="4"/>
    <s v="LIGHTNG PANEL UNDER CAB IS LOOSE AND HAS LOOSE WIRING"/>
    <d v="2019-04-30T00:00:00"/>
    <n v="272"/>
  </r>
  <r>
    <n v="1823"/>
    <x v="3"/>
    <s v="RUBBER GROMETS HOLDING BREATHER LIGHTS IN PLACE ARE DETERIORATED AND NO LONGER HOLD LIGHTS IN PLACE"/>
    <d v="2019-05-06T00:00:00"/>
    <n v="266"/>
  </r>
  <r>
    <n v="1823"/>
    <x v="25"/>
    <s v="CLUTCH SWITCH DOES NOT DE-ACTIVATE CRUISE CONTROL OR ENGINE BRAKES"/>
    <d v="2019-04-15T00:00:00"/>
    <n v="287"/>
  </r>
  <r>
    <n v="1823"/>
    <x v="3"/>
    <s v="LIC. PLATE LIGHT OUT"/>
    <d v="2019-04-23T00:00:00"/>
    <n v="279"/>
  </r>
  <r>
    <n v="1823"/>
    <x v="1"/>
    <s v="BACK UP BEEPER WILL SOUND SPORATICALLY, EVEN WHEN DRIVING FORWARD"/>
    <d v="2019-04-25T00:00:00"/>
    <n v="277"/>
  </r>
  <r>
    <n v="1823"/>
    <x v="6"/>
    <s v="FLEX PIPE CRACKED AT BOTTOM OF THE STACK ON THE RIGHT SIDE"/>
    <d v="2019-02-08T00:00:00"/>
    <n v="353"/>
  </r>
  <r>
    <n v="1823"/>
    <x v="20"/>
    <s v="PLEASE CHECK POWER AT ELECTRICAL CORDS AND FUSES FOR INTERIOR TRAILER LIGHTS - LIGHTS NOT WORKING ON MULTIPLE TRIALERS"/>
    <d v="2019-03-08T00:00:00"/>
    <n v="325"/>
  </r>
  <r>
    <n v="1823"/>
    <x v="28"/>
    <s v="REVERSE BEEPER WILL GO OFF WHEN DRIVING FORWARD - SOMETIMES"/>
    <d v="2019-03-14T00:00:00"/>
    <n v="319"/>
  </r>
  <r>
    <n v="1823"/>
    <x v="16"/>
    <s v="PLEASE REPLACE WINDSHIELD WIPERS"/>
    <d v="2019-03-14T00:00:00"/>
    <n v="319"/>
  </r>
  <r>
    <n v="1823"/>
    <x v="11"/>
    <s v="PLEASE RE-INSTALL THE FRONT FENDER MIRRORS - HARDWARE AND MIRRORS ARE IN TRUCK"/>
    <d v="2019-03-28T00:00:00"/>
    <n v="305"/>
  </r>
  <r>
    <n v="1823"/>
    <x v="14"/>
    <s v="OIL COOLER LINE NEEDS TO BE INSTALLED AS PER MATT ELLIOT"/>
    <d v="2019-03-29T00:00:00"/>
    <n v="304"/>
  </r>
  <r>
    <n v="1823"/>
    <x v="18"/>
    <s v="RE-TORQUE DRIVE AXLES - FROM TIRE REPAIR JAN 26TH 2019"/>
    <d v="2019-01-28T00:00:00"/>
    <n v="364"/>
  </r>
  <r>
    <n v="1823"/>
    <x v="1"/>
    <s v="THE SWITCH ON THE DRIVER'S SIDE FOR THE PASSENGER SIDE WINDOW DOES NOT LIGHT UP "/>
    <d v="2019-01-07T00:00:00"/>
    <n v="385"/>
  </r>
  <r>
    <n v="1823"/>
    <x v="20"/>
    <s v="SERVICE GLAD HAND (BLUE) ON TRACTOR NEEDS REPLACED"/>
    <d v="2019-02-06T00:00:00"/>
    <n v="355"/>
  </r>
  <r>
    <n v="1823"/>
    <x v="3"/>
    <s v="BACK OF CAB LIGHT OUT LEFT SIDE"/>
    <d v="2019-01-04T00:00:00"/>
    <n v="388"/>
  </r>
  <r>
    <n v="1823"/>
    <x v="1"/>
    <s v="LIGHT ON TRAILER CONTROL SWITCH IS CONSTANTLY LIT"/>
    <d v="2019-01-07T00:00:00"/>
    <n v="385"/>
  </r>
  <r>
    <n v="1823"/>
    <x v="3"/>
    <s v="VISOR LIGHT OUT"/>
    <d v="2019-01-18T00:00:00"/>
    <n v="374"/>
  </r>
  <r>
    <n v="1823"/>
    <x v="3"/>
    <s v="SKIRT LIGHT OUT ON THE DRIVER SIDE"/>
    <d v="2019-01-18T00:00:00"/>
    <n v="374"/>
  </r>
  <r>
    <n v="1823"/>
    <x v="1"/>
    <s v="DRIVER'S SIDE DOOR WILL LOCK ON IT'S OWN (SOMETIMES) WHEN YOU CLOSE THE DOOR - DRIVER DID LOCK HIMSELF OUT OF TRUCK"/>
    <d v="2019-07-10T00:00:00"/>
    <n v="201"/>
  </r>
  <r>
    <n v="1823"/>
    <x v="3"/>
    <s v="BACK OF CAB LIGHT NOT WORKING ON PASSENGER SIDE"/>
    <d v="2019-07-29T00:00:00"/>
    <n v="182"/>
  </r>
  <r>
    <n v="1823"/>
    <x v="23"/>
    <s v="BOTTOM OF RAD IS WET, DRIVER ADDED 1 GALLON OF FLUID"/>
    <d v="2019-08-02T00:00:00"/>
    <n v="178"/>
  </r>
  <r>
    <n v="1823"/>
    <x v="3"/>
    <s v="LEFT SIDE BREATHER LIGHT NOT WORKING"/>
    <d v="2019-08-20T00:00:00"/>
    <n v="160"/>
  </r>
  <r>
    <n v="1823"/>
    <x v="1"/>
    <s v="TRUCK LOOSES ALL AIR WHEN PARKED OVERNIGHT"/>
    <d v="2019-10-02T00:00:00"/>
    <n v="117"/>
  </r>
  <r>
    <n v="1823"/>
    <x v="3"/>
    <s v="PLEASE REPLACE BUMPER LIGHTS - DRIVER HAS PLACED NEW LIGHTS INSIDE CAB"/>
    <d v="2019-10-02T00:00:00"/>
    <n v="117"/>
  </r>
  <r>
    <n v="1823"/>
    <x v="1"/>
    <s v="DUE FOR ANNUAL INSPECTION IN OCTOBER"/>
    <d v="2019-10-01T00:00:00"/>
    <n v="118"/>
  </r>
  <r>
    <n v="1823"/>
    <x v="17"/>
    <s v="AUDIBLE AIR LEAK FROM RANGE SELECTOR SOLENOID"/>
    <d v="2019-10-09T00:00:00"/>
    <n v="110"/>
  </r>
  <r>
    <n v="1823"/>
    <x v="21"/>
    <s v="BOTTOM OF REAR DIFF WET WITH OIL, PLEASE CHECK FOR LEAK."/>
    <d v="2019-10-10T00:00:00"/>
    <n v="109"/>
  </r>
  <r>
    <n v="1823"/>
    <x v="18"/>
    <s v="RE-TORQUE ALL AXLES BOTH SIDES"/>
    <d v="2019-10-21T00:00:00"/>
    <n v="98"/>
  </r>
  <r>
    <n v="1823"/>
    <x v="1"/>
    <s v="BOTH HOOD CABLES ARE BROKEN"/>
    <d v="2019-10-21T00:00:00"/>
    <n v="98"/>
  </r>
  <r>
    <n v="1823"/>
    <x v="3"/>
    <s v="VISOR LIGHT OUT"/>
    <d v="2019-12-30T00:00:00"/>
    <n v="28"/>
  </r>
  <r>
    <n v="1824"/>
    <x v="19"/>
    <s v="TRACTOR LOOSES ALL AIR WHEN PARKED OVERNIGHT."/>
    <d v="2019-05-30T00:00:00"/>
    <n v="242"/>
  </r>
  <r>
    <n v="1824"/>
    <x v="10"/>
    <s v="TIRES ARE WEARING UNEVENLY - DRIVERS SIDE OUTSIDE TREAD IS 5/32 AND PASSENGER SIDE OUTSIDE TREAD IS 9/32"/>
    <d v="2019-05-30T00:00:00"/>
    <n v="242"/>
  </r>
  <r>
    <n v="1824"/>
    <x v="28"/>
    <s v="FIRE EXTINGUISHHER NEEDS RECHARGED"/>
    <d v="2019-05-30T00:00:00"/>
    <n v="242"/>
  </r>
  <r>
    <n v="1824"/>
    <x v="14"/>
    <s v="PLEASE CHECK ENGINE FOR SLIGHT KNOCKING SOUND AT LOW IDLE - AS PER DRIVER"/>
    <d v="2019-05-30T00:00:00"/>
    <n v="242"/>
  </r>
  <r>
    <n v="1824"/>
    <x v="1"/>
    <s v="PMB SERVICE DUE"/>
    <d v="2019-05-30T00:00:00"/>
    <n v="242"/>
  </r>
  <r>
    <n v="1824"/>
    <x v="4"/>
    <s v="LIGHTNG PANEL UNDER CAB IS LOOSE AND HAS LOOSE WIRING"/>
    <d v="2019-05-06T00:00:00"/>
    <n v="266"/>
  </r>
  <r>
    <n v="1824"/>
    <x v="4"/>
    <s v="DRIVER'S SIDE DOOR LOCKS WHEN DRIVER CLOSES DOOR."/>
    <d v="2019-05-08T00:00:00"/>
    <n v="264"/>
  </r>
  <r>
    <n v="1824"/>
    <x v="10"/>
    <s v="LEFT SIDE, REAR DRIVE AXLE, INSIDE TIRE IS FLAT"/>
    <d v="2019-05-03T00:00:00"/>
    <n v="269"/>
  </r>
  <r>
    <n v="1824"/>
    <x v="3"/>
    <s v="RIGHT SIDE LOW BEAM OUT - PLEASE REPLACE WITH NIGHTHAWK H11"/>
    <d v="2019-05-02T00:00:00"/>
    <n v="270"/>
  </r>
  <r>
    <n v="1824"/>
    <x v="12"/>
    <s v="NOT BUILDING AIR IN PRIMARY AIR TANK"/>
    <d v="2019-04-30T00:00:00"/>
    <n v="272"/>
  </r>
  <r>
    <n v="1824"/>
    <x v="25"/>
    <s v="CLUTCH SWITCH DOES NOT DEACTIVATE CRUISE CONTROL"/>
    <d v="2019-04-26T00:00:00"/>
    <n v="276"/>
  </r>
  <r>
    <n v="1824"/>
    <x v="1"/>
    <s v="SEAT ADJUSTMENT FOR THE BACK OF THE SEAT ON THE PASSENGER SIDE IS BROKEN - THIS IS A LARGE GREY ADJUSTMENT KNOB THAT PIVOTS THE BACK OF THE SEAT FORWARDS OR BACKWARDS"/>
    <d v="2019-03-19T00:00:00"/>
    <n v="314"/>
  </r>
  <r>
    <n v="1824"/>
    <x v="2"/>
    <s v="SWITCH FOR DRIVER'S SIDE WINDOW CUTS IN AND OUT - HAD A SIMILAR ISSUE BEFORE WHERE THE HARNESS WAS DISCONNECTING FROM THE SWITCH. "/>
    <d v="2019-04-15T00:00:00"/>
    <n v="287"/>
  </r>
  <r>
    <n v="1824"/>
    <x v="0"/>
    <s v="BRAKE CHAMBER LEAKING AT MAXI"/>
    <d v="2019-03-13T00:00:00"/>
    <n v="320"/>
  </r>
  <r>
    <n v="1824"/>
    <x v="27"/>
    <s v="ENGINE WILL NOT START - VOLT METER READS 12.2 VOLTS WHEN IGNITION IS ON - WHEN TURNING OVER NOTHING HAPPENS AT ALL "/>
    <d v="2019-04-09T00:00:00"/>
    <n v="293"/>
  </r>
  <r>
    <n v="1824"/>
    <x v="19"/>
    <s v="RIGHT SIDE SHOCK LEAKING OIL"/>
    <d v="2019-03-27T00:00:00"/>
    <n v="306"/>
  </r>
  <r>
    <n v="1824"/>
    <x v="10"/>
    <s v="NAIL IN LEFT SIDE REAR OUTSIDE TIRE"/>
    <d v="2019-03-20T00:00:00"/>
    <n v="313"/>
  </r>
  <r>
    <n v="1824"/>
    <x v="20"/>
    <s v="NO POWER AT YELLOW CORD - FUSES SEEM FINE"/>
    <d v="2019-03-08T00:00:00"/>
    <n v="325"/>
  </r>
  <r>
    <n v="1824"/>
    <x v="3"/>
    <s v="HEAD LIGHT OUT ON LEFT SIDE - THESE HEAD LIGHTS ARE H11 BULBS"/>
    <d v="2019-03-12T00:00:00"/>
    <n v="321"/>
  </r>
  <r>
    <n v="1824"/>
    <x v="20"/>
    <s v="SUPPLY LINE LEAKING AT GLAD HAND"/>
    <d v="2019-03-12T00:00:00"/>
    <n v="321"/>
  </r>
  <r>
    <n v="1824"/>
    <x v="28"/>
    <s v="BACK UP BEEPER NOT WORKING"/>
    <d v="2019-02-04T00:00:00"/>
    <n v="357"/>
  </r>
  <r>
    <n v="1824"/>
    <x v="3"/>
    <s v="RIGHT LOW BEAM OUT"/>
    <d v="2019-02-11T00:00:00"/>
    <n v="350"/>
  </r>
  <r>
    <n v="1824"/>
    <x v="16"/>
    <s v="DRIVER SIDE WINDSHEILD WIPER NEEDS REPLACEING AND SQUIRTER NEEDS ADJUSTMENT"/>
    <d v="2019-02-11T00:00:00"/>
    <n v="350"/>
  </r>
  <r>
    <n v="1824"/>
    <x v="4"/>
    <s v="DRIVER SIDE MUD FLAP OFF AND BRACKET DAMAGED"/>
    <d v="2019-02-15T00:00:00"/>
    <n v="346"/>
  </r>
  <r>
    <n v="1824"/>
    <x v="3"/>
    <s v="SKIRT LIGHTS OUT ON BOTH SIDES"/>
    <d v="2019-02-15T00:00:00"/>
    <n v="346"/>
  </r>
  <r>
    <n v="1824"/>
    <x v="20"/>
    <s v="NO POWER THROUGH YELLOW CORD. LOOKS LIKE TOP IN IN BROKEN, INTERIOR LIGHTS AND LIFT AXLE NOT WORKING"/>
    <d v="2019-01-17T00:00:00"/>
    <n v="375"/>
  </r>
  <r>
    <n v="1824"/>
    <x v="20"/>
    <s v="AIR LEAK ON RED SUPPLY LIGHT AT GLAD HAND"/>
    <d v="2019-01-17T00:00:00"/>
    <n v="375"/>
  </r>
  <r>
    <n v="1824"/>
    <x v="15"/>
    <s v="RED GLAD HAND LEAKING AIR"/>
    <d v="2019-06-14T00:00:00"/>
    <n v="227"/>
  </r>
  <r>
    <n v="1824"/>
    <x v="20"/>
    <s v="AIR LEAK ON SUPPLY LINE (RED LINE) IN CONNECTION BETWEEN GLAD HAND AND AIR LINE"/>
    <d v="2019-06-19T00:00:00"/>
    <n v="222"/>
  </r>
  <r>
    <n v="1824"/>
    <x v="6"/>
    <s v="PASS SIDE UPPER STACK MOUNT BROKEN - NEEDS REPLACED"/>
    <d v="2019-07-05T00:00:00"/>
    <n v="206"/>
  </r>
  <r>
    <n v="1824"/>
    <x v="3"/>
    <s v="RIGHT SIDE LOW BEAM HEAD LIGHT OUT - NIGHTHAWK H11 BULB"/>
    <d v="2019-07-10T00:00:00"/>
    <n v="201"/>
  </r>
  <r>
    <n v="1824"/>
    <x v="10"/>
    <s v="DRIVER'S SIDE STEER AT 5/32 PASS SIDE AT 8/32"/>
    <d v="2019-07-05T00:00:00"/>
    <n v="206"/>
  </r>
  <r>
    <n v="1824"/>
    <x v="3"/>
    <s v="LEFT SIDE BREATHER LIGHT OUT"/>
    <d v="2019-07-10T00:00:00"/>
    <n v="201"/>
  </r>
  <r>
    <n v="1824"/>
    <x v="4"/>
    <s v="DRIVER'S SIDE DOOR LATCH ONLY CATCHING ON SECONDARY (SAFETY) LATCH"/>
    <d v="2019-07-25T00:00:00"/>
    <n v="186"/>
  </r>
  <r>
    <n v="1824"/>
    <x v="10"/>
    <s v="LEFT REAR INSIDE DRIVE TIRE IS OFF RIM"/>
    <d v="2019-08-01T00:00:00"/>
    <n v="179"/>
  </r>
  <r>
    <n v="1824"/>
    <x v="3"/>
    <s v="LIC. PLATE LIGHT OUT"/>
    <d v="2019-08-02T00:00:00"/>
    <n v="178"/>
  </r>
  <r>
    <n v="1824"/>
    <x v="3"/>
    <s v="LIC. PLATE LIGHT OUT"/>
    <d v="2019-09-03T00:00:00"/>
    <n v="146"/>
  </r>
  <r>
    <n v="1824"/>
    <x v="1"/>
    <s v="FUEL ONLY PUMPING FROM OR RETURNING TO 1 TANK - DRIVER HAS TURNED OFF BALL VALVE TO PASSENGER SIDE TANK."/>
    <d v="2019-09-04T00:00:00"/>
    <n v="145"/>
  </r>
  <r>
    <n v="1824"/>
    <x v="14"/>
    <s v="CHECK ENGINE LIGHT ON"/>
    <d v="2019-09-16T00:00:00"/>
    <n v="133"/>
  </r>
  <r>
    <n v="1824"/>
    <x v="1"/>
    <s v="DRIVER'S SIDE DOOR WINDOW STICKS UP OR DOWN SOMETIMES"/>
    <d v="2019-10-02T00:00:00"/>
    <n v="117"/>
  </r>
  <r>
    <n v="1824"/>
    <x v="3"/>
    <s v="LOW BEAM HEAD LIGHT OUT"/>
    <d v="2019-10-31T00:00:00"/>
    <m/>
  </r>
  <r>
    <n v="1824"/>
    <x v="20"/>
    <s v="CHECK YELLOW POWER SUPPLY PLUG FOR BROKEN WIRING"/>
    <d v="2019-11-12T00:00:00"/>
    <n v="76"/>
  </r>
  <r>
    <n v="1824"/>
    <x v="16"/>
    <s v="PLEASE REPLACE BOTH WINDSHIELD WIPERS  AND ADJUST SRAYER NOZZLES TO SPRAY FURTHER UP WINDSHIELD"/>
    <d v="2019-11-18T00:00:00"/>
    <n v="70"/>
  </r>
  <r>
    <n v="1824"/>
    <x v="1"/>
    <s v="DRIVERS SIDE ARM REST PLASTIC IS CRACKED - DRIVER REPORTED THAT THIS HAS EXPOSED SOME SHARP EDGES"/>
    <d v="2019-09-16T00:00:00"/>
    <n v="133"/>
  </r>
  <r>
    <n v="1824"/>
    <x v="1"/>
    <s v="DUE FOR ANNUAL INSPECTION IN NOVEMBER"/>
    <d v="2019-11-01T00:00:00"/>
    <n v="87"/>
  </r>
  <r>
    <n v="1824"/>
    <x v="10"/>
    <s v="DRIVER WROTE UP THAT TIRES SHOULD BE LOOKED AT - REAR DRIVES 8/32 - FRONT DRIVES 12/32NDS"/>
    <d v="2019-11-12T00:00:00"/>
    <n v="76"/>
  </r>
  <r>
    <n v="1824"/>
    <x v="20"/>
    <s v="AIR LEAK AT SUPPLY LINE"/>
    <d v="2019-11-26T00:00:00"/>
    <n v="62"/>
  </r>
  <r>
    <n v="1824"/>
    <x v="1"/>
    <s v="CB RADIO NOT WORKING"/>
    <d v="2019-12-10T00:00:00"/>
    <n v="48"/>
  </r>
  <r>
    <n v="1824"/>
    <x v="21"/>
    <s v="PLEASE TEST DRIVE THIS TRUCK FOR EXCESSIVE SHAKING, RATTLING AND SQUEEKING AT HIGHWAY SPEEDS - MAYBE A DRIVE LINE ISSUE."/>
    <d v="2019-12-18T00:00:00"/>
    <n v="40"/>
  </r>
  <r>
    <n v="1825"/>
    <x v="14"/>
    <s v="FUEL LEAK NEAR DRIVER'S SIDE FIREWALL - FITTING IS STILL LEAKING AT AN ENGINE INLET PORT - DYLAN LOOKED AT THIS ON 4/23/19 BUT ISSUE NOT RESOLVED "/>
    <d v="2019-04-25T00:00:00"/>
    <n v="277"/>
  </r>
  <r>
    <n v="1825"/>
    <x v="4"/>
    <s v="BOLT MISSING ON TOP OF EXHAUST ON DRIVER'S SIDE"/>
    <d v="2019-04-25T00:00:00"/>
    <n v="277"/>
  </r>
  <r>
    <n v="1825"/>
    <x v="20"/>
    <s v="SUPPLY LINE HAS TEAR THROUGH OUTER LAYER"/>
    <d v="2019-04-18T00:00:00"/>
    <n v="284"/>
  </r>
  <r>
    <n v="1825"/>
    <x v="14"/>
    <s v="FUEL LEAK NEAR DRIVER'S SIDE FIREWALL - FITTING IS LEAKING AT AN ENGINE INLET PORT "/>
    <d v="2019-04-18T00:00:00"/>
    <n v="284"/>
  </r>
  <r>
    <n v="1825"/>
    <x v="3"/>
    <s v="VISOR LIGHT OUT"/>
    <d v="2019-03-29T00:00:00"/>
    <n v="304"/>
  </r>
  <r>
    <n v="1825"/>
    <x v="3"/>
    <s v="MULTIPLE BREATHER LIGHTS AND 1 VISOR LIGHT OUT"/>
    <d v="2019-04-08T00:00:00"/>
    <n v="294"/>
  </r>
  <r>
    <n v="1825"/>
    <x v="3"/>
    <s v="LICENSE PLATE LIGHT OUT"/>
    <d v="2019-04-09T00:00:00"/>
    <n v="293"/>
  </r>
  <r>
    <n v="1825"/>
    <x v="5"/>
    <s v="ESBAR ENGINE HEATER FAILED TO START THIS MORNING"/>
    <d v="2019-02-19T00:00:00"/>
    <n v="342"/>
  </r>
  <r>
    <n v="1825"/>
    <x v="5"/>
    <s v="ESBAR CAB HEATER NOT WORKING, DISPLAYS ERROR MESSAGE"/>
    <d v="2019-02-20T00:00:00"/>
    <n v="341"/>
  </r>
  <r>
    <n v="1825"/>
    <x v="1"/>
    <s v="NEEDS A PMG FOR ITS PEOPLENET CONNECTION"/>
    <d v="2019-01-16T00:00:00"/>
    <n v="376"/>
  </r>
  <r>
    <n v="1825"/>
    <x v="4"/>
    <s v="ONE OF THE RETENTION CABLES FOR HOOD IS BROKEN"/>
    <d v="2019-02-27T00:00:00"/>
    <n v="334"/>
  </r>
  <r>
    <n v="1825"/>
    <x v="25"/>
    <s v="CLUTCH SWITCH AT PEDAL IS NOT WORKING - WILL NOT DISENGAUGE ENGINE BRAKE OR CRUISE CONTROL "/>
    <d v="2019-03-04T00:00:00"/>
    <n v="329"/>
  </r>
  <r>
    <n v="1825"/>
    <x v="1"/>
    <s v="CB RADIO ONLY SENDS AND RECIEVES SIGNAL INTERMITTENLY AND DISPLAY'S INCORRECT CHANNEL."/>
    <d v="2019-01-15T00:00:00"/>
    <n v="377"/>
  </r>
  <r>
    <n v="1825"/>
    <x v="5"/>
    <s v="ESBAR ENGINE HEATER NOT WORKING - THIS UNIT WAS RECENTLY SERVICED"/>
    <d v="2019-01-17T00:00:00"/>
    <n v="375"/>
  </r>
  <r>
    <n v="1825"/>
    <x v="20"/>
    <s v="GREEN ELECTRICAL CORD BROKEN "/>
    <d v="2019-01-28T00:00:00"/>
    <n v="364"/>
  </r>
  <r>
    <n v="1825"/>
    <x v="1"/>
    <s v="TRUCK NOT SUPPLYING POWER TO TRAILER FOR LIGHTS - GREEN CORD HAS BEEN REPLACED RECENTLY"/>
    <d v="2019-02-05T00:00:00"/>
    <n v="356"/>
  </r>
  <r>
    <n v="1825"/>
    <x v="0"/>
    <s v="BRAKE CHAMBER LEAKING   "/>
    <d v="2019-02-08T00:00:00"/>
    <m/>
  </r>
  <r>
    <n v="1825"/>
    <x v="5"/>
    <s v="ESBAR ENGINE HEATER NOT WORKING"/>
    <d v="2019-01-08T00:00:00"/>
    <n v="384"/>
  </r>
  <r>
    <n v="1825"/>
    <x v="5"/>
    <s v="ESBAR IN CAB HEATER - NOT WRITTEN UP BY DRIVER BUT REPAIRED BY PETERBILT"/>
    <d v="2019-01-15T00:00:00"/>
    <n v="377"/>
  </r>
  <r>
    <n v="1825"/>
    <x v="29"/>
    <s v="DASH LIGHTS OUT"/>
    <d v="2019-01-02T00:00:00"/>
    <n v="390"/>
  </r>
  <r>
    <n v="1825"/>
    <x v="14"/>
    <s v="BOLT MISSING IN BRACKET NEAR UNIT PUMP THAT HOLDS FUEL LINES ON LEFT SIDE OF ENGINE"/>
    <d v="2019-05-06T00:00:00"/>
    <n v="266"/>
  </r>
  <r>
    <n v="1825"/>
    <x v="28"/>
    <s v="BACK UP BEEPER NOT WORKING"/>
    <d v="2019-05-23T00:00:00"/>
    <n v="249"/>
  </r>
  <r>
    <n v="1825"/>
    <x v="16"/>
    <s v="WIPER BLADES NEED REPLACING"/>
    <d v="2019-06-14T00:00:00"/>
    <n v="227"/>
  </r>
  <r>
    <n v="1825"/>
    <x v="4"/>
    <s v="DRIVERS DOOR IS PANEL LOOSE AND RATTLES FROM INSIDE PANEL"/>
    <d v="2019-06-14T00:00:00"/>
    <n v="227"/>
  </r>
  <r>
    <n v="1825"/>
    <x v="25"/>
    <s v="CLUTCH NEEDS ADJUSTMENT"/>
    <d v="2019-06-17T00:00:00"/>
    <n v="224"/>
  </r>
  <r>
    <n v="1825"/>
    <x v="18"/>
    <s v="LEFT SIDE REAR AXLE LOCKS UP WHEN BRAKING"/>
    <d v="2019-06-17T00:00:00"/>
    <n v="224"/>
  </r>
  <r>
    <n v="1825"/>
    <x v="1"/>
    <s v="DRIVERS SIDE DOOR PANEL LOOSE AND RATTLES"/>
    <d v="2019-06-17T00:00:00"/>
    <n v="224"/>
  </r>
  <r>
    <n v="1825"/>
    <x v="1"/>
    <s v="SOMETHING RATTLES FROM BEHIND THE DASH"/>
    <d v="2019-06-17T00:00:00"/>
    <n v="224"/>
  </r>
  <r>
    <n v="1825"/>
    <x v="1"/>
    <s v="ONBOARD INFOTAINMENTS SYSTEM FREQUENTLY REBOOTS WHICH SETS EVERYTHING BACK TO FACTORY DEFAULT SETTINGS. SIRIUS SATELLITE SYSTEM WILL NOT HOLD SIGNAL EITHER"/>
    <d v="2019-06-17T00:00:00"/>
    <n v="224"/>
  </r>
  <r>
    <n v="1825"/>
    <x v="1"/>
    <s v="DASH PANEL LOOSE AT RIGHT SIDE CORNER"/>
    <d v="2019-06-17T00:00:00"/>
    <n v="224"/>
  </r>
  <r>
    <n v="1825"/>
    <x v="1"/>
    <s v="1X FENDER MOUNTING BRACKET CRACKED"/>
    <d v="2019-06-18T00:00:00"/>
    <n v="223"/>
  </r>
  <r>
    <n v="1825"/>
    <x v="3"/>
    <s v="DRIVERS SIDE HEAD LIGHT OUT"/>
    <d v="2019-08-08T00:00:00"/>
    <n v="172"/>
  </r>
  <r>
    <n v="1825"/>
    <x v="18"/>
    <s v="CRACK IN RIM..OUTSIDE REAR DRIVE…MAJOR DEFECT"/>
    <d v="2019-08-30T00:00:00"/>
    <n v="150"/>
  </r>
  <r>
    <n v="1825"/>
    <x v="16"/>
    <s v="PLEASE REPLACE BOTH WIPER BLADES - ONE OF THEM IS BROKEN"/>
    <d v="2019-09-06T00:00:00"/>
    <n v="143"/>
  </r>
  <r>
    <n v="1825"/>
    <x v="1"/>
    <s v="RADIO NOT WORKING"/>
    <d v="2019-08-19T00:00:00"/>
    <n v="161"/>
  </r>
  <r>
    <n v="1825"/>
    <x v="0"/>
    <s v="TRACTOR ABS LIGHT ON IN DASH"/>
    <d v="2019-09-16T00:00:00"/>
    <n v="133"/>
  </r>
  <r>
    <n v="1825"/>
    <x v="4"/>
    <s v="DRIVER DOOR LATCH ON BOTH SIDES IS STICKING - DOORS HARD TO CLOSE"/>
    <d v="2019-09-26T00:00:00"/>
    <n v="123"/>
  </r>
  <r>
    <n v="1825"/>
    <x v="5"/>
    <s v="ESBAR ENGINE HEATER FAILED"/>
    <d v="2019-09-27T00:00:00"/>
    <n v="122"/>
  </r>
  <r>
    <n v="1825"/>
    <x v="6"/>
    <s v="BAND CLAMP ON RIGHT SIDE EXHAUST FLEX PIPE IS CRACKED"/>
    <d v="2019-10-15T00:00:00"/>
    <n v="104"/>
  </r>
  <r>
    <n v="1825"/>
    <x v="0"/>
    <s v="FRON DRIVE LEFT SIDE BRAKE CHAMBER BLOWN"/>
    <d v="2019-10-24T00:00:00"/>
    <n v="95"/>
  </r>
  <r>
    <n v="1825"/>
    <x v="3"/>
    <s v="PASSENGER SIDE HEAD LIGHT OUT   "/>
    <d v="2019-11-12T00:00:00"/>
    <n v="76"/>
  </r>
  <r>
    <n v="1825"/>
    <x v="5"/>
    <s v="ESBAR ENGINE HEATER NOT WORKING - DISPLAY READS ERROR"/>
    <d v="2019-10-28T00:00:00"/>
    <n v="91"/>
  </r>
  <r>
    <n v="1825"/>
    <x v="3"/>
    <s v="2 X VISOR LIGHT OUT - NOT SURE WHICH SIDE"/>
    <d v="2019-11-18T00:00:00"/>
    <n v="70"/>
  </r>
  <r>
    <n v="1825"/>
    <x v="5"/>
    <s v="ESBAR CAB HEATER NOT WORKING - DISPLAY READS ERROR"/>
    <d v="2019-11-19T00:00:00"/>
    <n v="69"/>
  </r>
  <r>
    <n v="1825"/>
    <x v="4"/>
    <s v="LEFT HOOD SUPPORT CABLE BROKEN"/>
    <d v="2019-12-03T00:00:00"/>
    <n v="55"/>
  </r>
  <r>
    <n v="1825"/>
    <x v="1"/>
    <s v="BOSE SEAT TURNS ON BUT WONT STAY ON - SWITCHES OFF BY ITSELF"/>
    <d v="2019-11-12T00:00:00"/>
    <n v="76"/>
  </r>
  <r>
    <n v="1825"/>
    <x v="1"/>
    <s v="DUE FOR ANNUAL INSPECTION IN DECEMBER"/>
    <d v="2019-12-01T00:00:00"/>
    <n v="57"/>
  </r>
  <r>
    <n v="1825"/>
    <x v="1"/>
    <s v="SECONDARY TANK SLOW TO AIR UP - DRIVER SUSPECTS THE CROSS OVER VALVE OR LINE"/>
    <d v="2019-12-17T00:00:00"/>
    <n v="41"/>
  </r>
  <r>
    <n v="1825"/>
    <x v="0"/>
    <s v="BRAKES STICKING AND SLOW TO RELEASE"/>
    <d v="2019-12-30T00:00:00"/>
    <n v="28"/>
  </r>
  <r>
    <n v="1826"/>
    <x v="3"/>
    <s v="SKIRT LIGHT OUT"/>
    <d v="2019-05-01T00:00:00"/>
    <n v="271"/>
  </r>
  <r>
    <n v="1826"/>
    <x v="3"/>
    <s v="2x VISOR LIGHTS OUT"/>
    <d v="2019-05-01T00:00:00"/>
    <n v="271"/>
  </r>
  <r>
    <n v="1826"/>
    <x v="4"/>
    <s v="PASSENGER MUD FLAP MISSING"/>
    <d v="2019-02-14T00:00:00"/>
    <n v="347"/>
  </r>
  <r>
    <n v="1826"/>
    <x v="5"/>
    <s v="ESBAR CAB HEATER NOT WORKING"/>
    <d v="2019-01-11T00:00:00"/>
    <n v="381"/>
  </r>
  <r>
    <n v="1826"/>
    <x v="3"/>
    <s v="REAR TURN SIGNAL ON LEFT SIDE NOT WORKING"/>
    <d v="2019-01-11T00:00:00"/>
    <n v="381"/>
  </r>
  <r>
    <n v="1826"/>
    <x v="3"/>
    <s v="DRIVER SIDE LOW BEAM OUT"/>
    <d v="2019-06-14T00:00:00"/>
    <n v="227"/>
  </r>
  <r>
    <n v="1826"/>
    <x v="6"/>
    <s v="UPPER STACK MOUNT AT TOP OF CAB IS WORN AND NEEDS REPLACED"/>
    <d v="2019-06-27T00:00:00"/>
    <n v="214"/>
  </r>
  <r>
    <n v="1826"/>
    <x v="19"/>
    <s v="PASSENGER SIDE FRONT DRIVE AIR BAG BLOWN"/>
    <d v="2019-07-29T00:00:00"/>
    <n v="182"/>
  </r>
  <r>
    <n v="1826"/>
    <x v="1"/>
    <s v="DRIVER'S SIDE SEAT SWITCH IS BROKEN "/>
    <d v="2019-05-01T00:00:00"/>
    <n v="271"/>
  </r>
  <r>
    <n v="1826"/>
    <x v="25"/>
    <s v="CRUISE CONTROL AND JAKE BRAKE DE-ACTIVATE ON THEIR OWN - MIGHT BE AN ISSUE WITH THE CLUTCH SWITCH 6/28/19 - CRUISE AND ENGINE BRAKE NOW NOT WORKING 7/22/19 "/>
    <d v="2019-06-28T00:00:00"/>
    <n v="213"/>
  </r>
  <r>
    <n v="1826"/>
    <x v="3"/>
    <s v="LEFT SIDE REAR SIGNAL LIGHT NOT WORKING"/>
    <d v="2019-07-19T00:00:00"/>
    <n v="192"/>
  </r>
  <r>
    <n v="1826"/>
    <x v="3"/>
    <s v="LEFT REAR SIGNAL LIGHT OUT"/>
    <d v="2019-08-19T00:00:00"/>
    <n v="161"/>
  </r>
  <r>
    <n v="1826"/>
    <x v="5"/>
    <s v="ESBAR ENGINE HEATER DISPLAYS ERROR CODE"/>
    <d v="2019-10-09T00:00:00"/>
    <n v="110"/>
  </r>
  <r>
    <n v="1826"/>
    <x v="1"/>
    <s v="DUE FOR PMB SERVICE"/>
    <d v="2019-10-09T00:00:00"/>
    <n v="110"/>
  </r>
  <r>
    <n v="1826"/>
    <x v="1"/>
    <s v="POGO STICK IS BROKEN OFF - PLEASE REPLACE"/>
    <d v="2019-10-22T00:00:00"/>
    <n v="97"/>
  </r>
  <r>
    <n v="1826"/>
    <x v="1"/>
    <s v="DUE FOR ANNUAL INSPECTION IN NOVEMBER"/>
    <d v="2019-11-01T00:00:00"/>
    <n v="87"/>
  </r>
  <r>
    <n v="1827"/>
    <x v="3"/>
    <s v="VISOR LIGHT OUT"/>
    <d v="2019-05-23T00:00:00"/>
    <n v="249"/>
  </r>
  <r>
    <n v="1827"/>
    <x v="3"/>
    <s v="REAR PARKING LIGHT OUT ON DRIVERS SIDE"/>
    <d v="2019-05-23T00:00:00"/>
    <n v="249"/>
  </r>
  <r>
    <n v="1827"/>
    <x v="3"/>
    <s v="LIC. PLATE LIGHT OUT"/>
    <d v="2019-05-23T00:00:00"/>
    <n v="249"/>
  </r>
  <r>
    <n v="1827"/>
    <x v="3"/>
    <s v="2X VISOR LIGHT OUT"/>
    <d v="2019-04-29T00:00:00"/>
    <n v="273"/>
  </r>
  <r>
    <n v="1827"/>
    <x v="3"/>
    <s v="LEFT SIDE TAIL LIGHT OUT - BLINKER STILL WORKING"/>
    <d v="2019-04-29T00:00:00"/>
    <n v="273"/>
  </r>
  <r>
    <n v="1827"/>
    <x v="22"/>
    <s v="FIFTH WHEEL DOES NOT SLIDE - CYLINDER PINS WILL NOT RELEASE - ISSUE NOT FIXED ON WORK ORDER AS59297"/>
    <d v="2019-02-26T00:00:00"/>
    <n v="335"/>
  </r>
  <r>
    <n v="1827"/>
    <x v="3"/>
    <s v="VISOR LIGHT OUT"/>
    <d v="2019-03-15T00:00:00"/>
    <n v="318"/>
  </r>
  <r>
    <n v="1827"/>
    <x v="0"/>
    <s v="DRIVER'S SIDE REAR BRAKE CHAMBER IS LEAKING AIR"/>
    <d v="2019-03-28T00:00:00"/>
    <n v="305"/>
  </r>
  <r>
    <n v="1827"/>
    <x v="20"/>
    <s v="GREEN ELECTRICAL SUPPLY CORD IS SEPARATING AT TRIALER PLUG - I SUSPECT THERE MAY ALSO BE CORROSION IN THE PLUG"/>
    <d v="2019-04-09T00:00:00"/>
    <n v="293"/>
  </r>
  <r>
    <n v="1827"/>
    <x v="10"/>
    <s v="PLEASE CHECK BOTH STEER TIRES - DRIVERS SIDE IS LOW AND WEARING ON THE OUTSIDE OF THE TIRE"/>
    <d v="2019-02-22T00:00:00"/>
    <n v="339"/>
  </r>
  <r>
    <n v="1827"/>
    <x v="5"/>
    <s v="HEATER ONLY WORKING ON HIGH SPEED - DRIVER COMMENTED THAT IT MAY NEED A RESISTOR REPLACED"/>
    <d v="2019-02-26T00:00:00"/>
    <n v="335"/>
  </r>
  <r>
    <n v="1827"/>
    <x v="1"/>
    <s v="PASSENGER SIDE DOOR LOCK &quot;POP UP&quot; IS MISSING"/>
    <d v="2019-03-01T00:00:00"/>
    <n v="332"/>
  </r>
  <r>
    <n v="1827"/>
    <x v="3"/>
    <s v="DRIVER'S SIDE HEAD LIGHT OUT"/>
    <d v="2019-02-22T00:00:00"/>
    <n v="339"/>
  </r>
  <r>
    <n v="1827"/>
    <x v="6"/>
    <s v="DRIVER'S SIDE EXHAUST STACK MOUNT AT TOP OF CAB IS BROKEN - CURRENTLY ZIP TIED TOGETHER."/>
    <d v="2019-02-22T00:00:00"/>
    <n v="339"/>
  </r>
  <r>
    <n v="1827"/>
    <x v="22"/>
    <s v="5TH WHEEL WILL NOT MOVE, SOUNDS LIKE IT WILL REASE BUT WON'T SLIDE"/>
    <d v="2019-02-22T00:00:00"/>
    <n v="339"/>
  </r>
  <r>
    <n v="1827"/>
    <x v="17"/>
    <s v="TRANSMISSION COOLER LINE ON  RIGHT SIDE OF RAD NEEDS TO BE RE-BOLTED - BOTH BOLTS ARE MISSING"/>
    <d v="2019-02-22T00:00:00"/>
    <n v="339"/>
  </r>
  <r>
    <n v="1827"/>
    <x v="1"/>
    <s v="ATC LIGHT ON, ABS LIGHT ON AND SPEEDOMETER IS NOT ACCURATE"/>
    <d v="2019-01-24T00:00:00"/>
    <n v="368"/>
  </r>
  <r>
    <n v="1827"/>
    <x v="3"/>
    <s v="BREATHER LIGHT OUT"/>
    <d v="2019-01-24T00:00:00"/>
    <n v="368"/>
  </r>
  <r>
    <n v="1827"/>
    <x v="3"/>
    <s v="LEFT SIDE REAR RUNNING LIGHT IS OUT - FLASHER STILL WORKING"/>
    <d v="2019-01-21T00:00:00"/>
    <n v="371"/>
  </r>
  <r>
    <n v="1827"/>
    <x v="1"/>
    <s v="TRUCK IS NOT POWERING INTERIOR LIGHTS FOR TRAILER - DRIVER THIS WITH ANOTHER TRIALER TO ENSURE IT IS A TRUCK ISSUE"/>
    <d v="2018-12-28T00:00:00"/>
    <n v="395"/>
  </r>
  <r>
    <n v="1827"/>
    <x v="4"/>
    <s v="ALL 6 FENDER MOUNTING BRACKETS ARE BROKEN"/>
    <d v="2019-05-08T00:00:00"/>
    <n v="264"/>
  </r>
  <r>
    <n v="1827"/>
    <x v="20"/>
    <s v="YELLOW POWER CORD END NEEDS REPLACED"/>
    <d v="2019-05-09T00:00:00"/>
    <n v="263"/>
  </r>
  <r>
    <n v="1827"/>
    <x v="1"/>
    <s v="AIR CONDITIONING NOT WORKING"/>
    <d v="2019-06-07T00:00:00"/>
    <n v="234"/>
  </r>
  <r>
    <n v="1827"/>
    <x v="3"/>
    <s v="ONE BREATHER LIGHT OUT ON RIGHT SIDE - WIRE IS BROKEN"/>
    <d v="2019-06-24T00:00:00"/>
    <n v="217"/>
  </r>
  <r>
    <n v="1827"/>
    <x v="16"/>
    <s v="PLEASE REPLACE BOTH WINDSHIELD WIPERS WITH A SUMMER STYLE."/>
    <d v="2019-06-26T00:00:00"/>
    <n v="215"/>
  </r>
  <r>
    <n v="1827"/>
    <x v="18"/>
    <s v="RETORQUE DRIVE AXLES BOTH SIDES"/>
    <d v="2019-07-04T00:00:00"/>
    <n v="207"/>
  </r>
  <r>
    <n v="1827"/>
    <x v="3"/>
    <s v="LICENSE PLATE LIGHT OUT"/>
    <d v="2019-07-05T00:00:00"/>
    <n v="206"/>
  </r>
  <r>
    <n v="1827"/>
    <x v="3"/>
    <s v="MIRROR SIGNAL LIGHTS MISSING MORE THAN HALF OF THE DIODES ON BOTH SIDES - PLEASE REPLACE"/>
    <d v="2019-08-02T00:00:00"/>
    <n v="178"/>
  </r>
  <r>
    <n v="1827"/>
    <x v="22"/>
    <s v="CROSS MEMBER BEHIND 5TH WHEEL CRACKED"/>
    <d v="2019-06-27T00:00:00"/>
    <n v="214"/>
  </r>
  <r>
    <n v="1827"/>
    <x v="1"/>
    <s v="MUDFLAP HANGER HAS CRACKED WELD ON DRIVERS SIDE"/>
    <d v="2019-08-02T00:00:00"/>
    <n v="178"/>
  </r>
  <r>
    <n v="1827"/>
    <x v="1"/>
    <s v="PLEASE TIGHTEN U BOLTS ON FRAME"/>
    <d v="2019-08-09T00:00:00"/>
    <n v="171"/>
  </r>
  <r>
    <n v="1827"/>
    <x v="1"/>
    <s v="WATER LEAKING ONTO FLOOR ON PASSENGER SIDE - NOT SURE FROM WHERE MAYBE A/C"/>
    <d v="2019-08-09T00:00:00"/>
    <n v="171"/>
  </r>
  <r>
    <n v="1827"/>
    <x v="14"/>
    <s v="WHITE AIR LINE ON DRIVERS SIDE OF ENGINE HAS AN AIR LEAK AT CONNECTION RIGHT BESIDE DIPSTICK"/>
    <d v="2019-09-19T00:00:00"/>
    <n v="130"/>
  </r>
  <r>
    <n v="1827"/>
    <x v="20"/>
    <s v="AUDIBLE AIR LEAK AT FITTING ON SUPPLY LINE GLAD HAND - WHERE ALUMINUM HANDLE MEETS BRASS FITTING"/>
    <d v="2019-09-27T00:00:00"/>
    <n v="122"/>
  </r>
  <r>
    <n v="1827"/>
    <x v="1"/>
    <s v="DUE FOR ANNUAL INSPECTION IN OCTOBER"/>
    <d v="2019-10-01T00:00:00"/>
    <n v="118"/>
  </r>
  <r>
    <n v="1827"/>
    <x v="18"/>
    <s v="RIGHT SIDE HUB SEAL ON STEER AXLE HAS SLOW LEAK"/>
    <d v="2019-10-17T00:00:00"/>
    <n v="102"/>
  </r>
  <r>
    <n v="1827"/>
    <x v="1"/>
    <s v="PASSENGER DOOR STICKS AND SOMETIMES WILL NOT OPEN FROM THE OUTSIDE"/>
    <d v="2019-10-17T00:00:00"/>
    <n v="102"/>
  </r>
  <r>
    <n v="1827"/>
    <x v="18"/>
    <s v="RE-TORQUE ALL AXLES BOTH SIDES"/>
    <d v="2019-10-28T00:00:00"/>
    <n v="91"/>
  </r>
  <r>
    <n v="1827"/>
    <x v="3"/>
    <s v="VISOR LIGHT FLICKERS - LEFT SIDE OF MIDDLE CLUSTER"/>
    <d v="2019-11-06T00:00:00"/>
    <n v="82"/>
  </r>
  <r>
    <n v="1827"/>
    <x v="20"/>
    <s v="CHECK YELLOW POWER SUPPLY PLUG FOR BROKEN WIRING"/>
    <d v="2019-11-12T00:00:00"/>
    <n v="76"/>
  </r>
  <r>
    <n v="1827"/>
    <x v="3"/>
    <s v="BACK OF CAB LIGHT OUT ON DRIVERS SIDE"/>
    <d v="2019-12-13T00:00:00"/>
    <n v="45"/>
  </r>
  <r>
    <n v="1828"/>
    <x v="1"/>
    <s v="FUEL TANKS NOT DRAINING EVENLY"/>
    <d v="2019-05-31T00:00:00"/>
    <n v="241"/>
  </r>
  <r>
    <n v="1828"/>
    <x v="22"/>
    <s v="CROSS MEMBER PLATE BEHIND FIFTH WHEEL IS CRACKED"/>
    <d v="2019-05-31T00:00:00"/>
    <n v="241"/>
  </r>
  <r>
    <n v="1828"/>
    <x v="3"/>
    <s v="LIC. PLATE LIGHT OUT"/>
    <d v="2019-03-25T00:00:00"/>
    <n v="308"/>
  </r>
  <r>
    <n v="1828"/>
    <x v="3"/>
    <s v="DRIVER'S SIDE HAS MULTIPLE BREATHER LIGHTS WITH BROKEN GROMETS - LIGHTS ARE WORKING BUT FALLING OUT OF STAINLESS BRACKET"/>
    <d v="2019-04-08T00:00:00"/>
    <n v="294"/>
  </r>
  <r>
    <n v="1828"/>
    <x v="1"/>
    <s v="FUEL TANK ON DRIVERS SIDE HAS CRACK IN WELD FOR THE SENDING UNIT MOUNTING PLATE AT THE BACK OF THE PLATE"/>
    <d v="2019-04-09T00:00:00"/>
    <n v="293"/>
  </r>
  <r>
    <n v="1828"/>
    <x v="1"/>
    <s v="FUEL DOES NOT DRAW EVENLY FROM BOTH TANKS"/>
    <d v="2019-04-09T00:00:00"/>
    <n v="293"/>
  </r>
  <r>
    <n v="1828"/>
    <x v="4"/>
    <s v="PASSENGER SIDE STEPS MISSING BOLT AND NUT"/>
    <d v="2019-04-29T00:00:00"/>
    <n v="273"/>
  </r>
  <r>
    <n v="1828"/>
    <x v="21"/>
    <s v="SENSOR WIRE HANGING FROM REAR DIFF."/>
    <d v="2019-05-03T00:00:00"/>
    <n v="269"/>
  </r>
  <r>
    <n v="1828"/>
    <x v="3"/>
    <s v="BREATHER LIGHT OUT ON LEFT SIDE"/>
    <d v="2019-05-03T00:00:00"/>
    <n v="269"/>
  </r>
  <r>
    <n v="1828"/>
    <x v="1"/>
    <s v="AUDIBLE AIR LEAK UNDER CAB ON DRIVER'S SIDE  - DRIVER COULD NOT LOCATE SOURCE"/>
    <d v="2019-03-01T00:00:00"/>
    <n v="332"/>
  </r>
  <r>
    <n v="1828"/>
    <x v="0"/>
    <s v="TRUCK LOSES ALL AIR WHEN PARKED FOR 30MIN"/>
    <d v="2019-03-26T00:00:00"/>
    <n v="307"/>
  </r>
  <r>
    <n v="1828"/>
    <x v="4"/>
    <s v="RIGHT SIDE FENDER BRAKET HAS ONE BROKEN MOUNT"/>
    <d v="2019-03-27T00:00:00"/>
    <n v="306"/>
  </r>
  <r>
    <n v="1828"/>
    <x v="0"/>
    <s v="REPLACE CAGED BRAKE CHAMBER ON FRONT DRIVE LEFT SIDE - FROM ROAD SIDE REPAIR IN SARNIA ON MARCH 11TH 2019"/>
    <d v="2019-03-11T00:00:00"/>
    <n v="322"/>
  </r>
  <r>
    <n v="1828"/>
    <x v="1"/>
    <s v="WARNING CODE SPN 91 COMES UP ON DASH - TRUCK EXPERIANCING LOSS OF POWER"/>
    <d v="2019-02-19T00:00:00"/>
    <n v="342"/>
  </r>
  <r>
    <n v="1828"/>
    <x v="5"/>
    <s v="ESBAR ENGINE HEATER NOT WORKING"/>
    <d v="2019-01-17T00:00:00"/>
    <n v="375"/>
  </r>
  <r>
    <n v="1828"/>
    <x v="16"/>
    <s v="NEEDS WIPER BLADES"/>
    <d v="2019-01-24T00:00:00"/>
    <n v="368"/>
  </r>
  <r>
    <n v="1828"/>
    <x v="23"/>
    <s v="TRUCK STILL HAS COLD COOLANT LEAK ON DRIVER'S SIDE - THIS ISSUE HAS BEEN ADDRESSED ONCE BEFORE "/>
    <d v="2019-01-04T00:00:00"/>
    <n v="388"/>
  </r>
  <r>
    <n v="1828"/>
    <x v="6"/>
    <s v="RIGHT SIDE EXHAUST STACK MISSING SLIDE BOLT AT TOP OF CAB"/>
    <d v="2019-01-08T00:00:00"/>
    <n v="384"/>
  </r>
  <r>
    <n v="1828"/>
    <x v="20"/>
    <s v="AIR LEAK IN AIR LINE FOR RED GLAD HAND - JUST BELOW THE GLAD HAND."/>
    <d v="2018-12-27T00:00:00"/>
    <n v="396"/>
  </r>
  <r>
    <n v="1828"/>
    <x v="14"/>
    <s v="OIL LEAK NEAR DRAIN PLUG….LEAKING SINCE SERVICE"/>
    <d v="2019-06-14T00:00:00"/>
    <n v="227"/>
  </r>
  <r>
    <n v="1828"/>
    <x v="22"/>
    <s v="CROSS MEMBER BEHIND 5TH WHEEL HAS BROKEN WELDS - THIS WAS RECENTLY REWLDED BUT HAS ALREADY CRACKED THROUGH THE NEW WELDS."/>
    <d v="2019-06-24T00:00:00"/>
    <n v="217"/>
  </r>
  <r>
    <n v="1828"/>
    <x v="6"/>
    <s v="FLEX PIPE SPLIT ON EXHAUST"/>
    <d v="2019-06-26T00:00:00"/>
    <n v="215"/>
  </r>
  <r>
    <n v="1828"/>
    <x v="14"/>
    <s v="AMBER CHECK ENGINE LIGHT ON - 2 FAULT CODES COME UP"/>
    <d v="2019-07-05T00:00:00"/>
    <n v="206"/>
  </r>
  <r>
    <n v="1828"/>
    <x v="14"/>
    <s v="RED DEF LIGHT ON "/>
    <d v="2019-07-05T00:00:00"/>
    <n v="206"/>
  </r>
  <r>
    <n v="1828"/>
    <x v="3"/>
    <s v="BREATHER LIGHT OUT ON PASS. SIDE"/>
    <d v="2019-07-09T00:00:00"/>
    <n v="202"/>
  </r>
  <r>
    <n v="1828"/>
    <x v="14"/>
    <s v="OIL LEAK AT BACK OF NEW OIL PAN"/>
    <d v="2019-07-11T00:00:00"/>
    <n v="200"/>
  </r>
  <r>
    <n v="1828"/>
    <x v="19"/>
    <s v="PASSENGER SIDE FRONT DRIVE AIR BAG BLOWN"/>
    <d v="2019-07-30T00:00:00"/>
    <n v="181"/>
  </r>
  <r>
    <n v="1828"/>
    <x v="1"/>
    <s v="GPS IN TRUCK NOT WORKING"/>
    <d v="2019-08-07T00:00:00"/>
    <n v="173"/>
  </r>
  <r>
    <n v="1828"/>
    <x v="4"/>
    <s v="HOOD HOLD BACK CABLE SNAPPED ON PASSENGER SIDE DRIVER SIDE IS FRAYED"/>
    <d v="2019-08-16T00:00:00"/>
    <n v="164"/>
  </r>
  <r>
    <n v="1828"/>
    <x v="3"/>
    <s v="LIGHT OUT ON DRIVERS SIDE BREATHER"/>
    <d v="2019-08-16T00:00:00"/>
    <n v="164"/>
  </r>
  <r>
    <n v="1828"/>
    <x v="14"/>
    <s v="ENGINE LIGHT ON…FAULT CODE 65517"/>
    <d v="2019-08-22T00:00:00"/>
    <n v="158"/>
  </r>
  <r>
    <n v="1828"/>
    <x v="1"/>
    <s v="SAFETEY DUE IN SEPTEMBER"/>
    <d v="2019-09-01T00:00:00"/>
    <n v="148"/>
  </r>
  <r>
    <n v="1828"/>
    <x v="14"/>
    <s v="CHECK ENGINE LIGHT ON"/>
    <d v="2019-09-16T00:00:00"/>
    <n v="133"/>
  </r>
  <r>
    <n v="1828"/>
    <x v="1"/>
    <s v="GPS IN TRUCK NOT WORKING"/>
    <d v="2019-09-16T00:00:00"/>
    <n v="133"/>
  </r>
  <r>
    <n v="1828"/>
    <x v="14"/>
    <s v="AMBER CHECK ENGINE LIGHT ON - 1 FAULT CODE COME UP - SPN 5625 FMI 16"/>
    <d v="2019-10-07T00:00:00"/>
    <n v="112"/>
  </r>
  <r>
    <n v="1828"/>
    <x v="10"/>
    <s v="PASSENGER SIDE OUTSIDE TIRE ON REAR DRIVE HAS SLOW LEAK"/>
    <d v="2019-10-15T00:00:00"/>
    <n v="104"/>
  </r>
  <r>
    <n v="1828"/>
    <x v="19"/>
    <s v="FRONT DRIVE LEFT SIDE AIR BAG BLOWN"/>
    <d v="2019-10-16T00:00:00"/>
    <n v="103"/>
  </r>
  <r>
    <n v="1828"/>
    <x v="3"/>
    <s v="ONE BREATHER LIGHT OUT ON LEFT SIDE AND ONE BREATHER LIGHT OUT ON RIGHT SIDE"/>
    <d v="2019-10-22T00:00:00"/>
    <n v="97"/>
  </r>
  <r>
    <n v="1828"/>
    <x v="3"/>
    <s v="ALL AUXIALLIY LIGHTS NOW OUT ON TRUCK - VISOR LIGHTS, SKIRT LIGHTS AND BREATHER LIGHTS - LIKELY DUE TO THE BROKEN WIRE IN THE DRIVER'S SIDE BREATHER LIGHT"/>
    <d v="2019-11-20T00:00:00"/>
    <n v="68"/>
  </r>
  <r>
    <n v="1828"/>
    <x v="3"/>
    <s v="DRIVER'S SIDE BREATHER LIGHTS ARE OUT - DRIVER DID FIND A CORRODED WIRE"/>
    <d v="2019-11-19T00:00:00"/>
    <n v="69"/>
  </r>
  <r>
    <n v="1828"/>
    <x v="3"/>
    <s v="2 SKIRT LIGHTS OUT ON RIGHT SIDE"/>
    <d v="2019-11-22T00:00:00"/>
    <m/>
  </r>
  <r>
    <n v="1829"/>
    <x v="14"/>
    <s v="CHECK ENGINE LIGHT ON - ALERT SAYS (FUEL ENABLE ACTUATOR)"/>
    <d v="2019-05-15T00:00:00"/>
    <n v="257"/>
  </r>
  <r>
    <n v="1829"/>
    <x v="3"/>
    <s v="VISOR LIGHT OUT"/>
    <d v="2019-05-23T00:00:00"/>
    <n v="249"/>
  </r>
  <r>
    <n v="1829"/>
    <x v="19"/>
    <s v="SUSPENSION WILL NOT AIR UP"/>
    <d v="2019-05-27T00:00:00"/>
    <n v="245"/>
  </r>
  <r>
    <n v="1829"/>
    <x v="3"/>
    <s v="MIDDLE VISOR LIGHT OUT"/>
    <d v="2019-05-09T00:00:00"/>
    <n v="263"/>
  </r>
  <r>
    <n v="1829"/>
    <x v="25"/>
    <s v="CRUISE CONTROL ON CLUTCH DOES NOT WORK"/>
    <d v="2019-04-02T00:00:00"/>
    <n v="300"/>
  </r>
  <r>
    <n v="1829"/>
    <x v="16"/>
    <s v="PLEASE REPLACE WINDSHIELD WIPERS WITH SUMMER BLADES"/>
    <d v="2019-04-08T00:00:00"/>
    <n v="294"/>
  </r>
  <r>
    <n v="1829"/>
    <x v="3"/>
    <s v="VISOR LIGHT OUT"/>
    <d v="2019-04-26T00:00:00"/>
    <n v="276"/>
  </r>
  <r>
    <n v="1829"/>
    <x v="3"/>
    <s v="SKIRT LIGHT OUT …RIGHT SIDE"/>
    <d v="2019-02-15T00:00:00"/>
    <n v="346"/>
  </r>
  <r>
    <n v="1829"/>
    <x v="19"/>
    <s v="TRACTOR LOSES ALL AIR WHEN PARKED OVERNIGHT"/>
    <d v="2019-03-01T00:00:00"/>
    <n v="332"/>
  </r>
  <r>
    <n v="1829"/>
    <x v="3"/>
    <s v="LEFT SIDE BREATHER LIGHT OUT"/>
    <d v="2019-03-04T00:00:00"/>
    <n v="329"/>
  </r>
  <r>
    <n v="1829"/>
    <x v="3"/>
    <s v=" ONE VISOR LIGHT OUT"/>
    <d v="2019-03-27T00:00:00"/>
    <n v="306"/>
  </r>
  <r>
    <n v="1829"/>
    <x v="3"/>
    <s v="BACK OF CAB LIGHT OUT ON RIGHT SIDE"/>
    <d v="2019-03-28T00:00:00"/>
    <n v="305"/>
  </r>
  <r>
    <n v="1829"/>
    <x v="6"/>
    <s v="FLEX PIPE CRACKED , COMING FROM RIGHT SIDE INTO STACK"/>
    <d v="2019-04-04T00:00:00"/>
    <n v="298"/>
  </r>
  <r>
    <n v="1829"/>
    <x v="3"/>
    <s v="VISOR LIGHT OUT"/>
    <d v="2019-02-05T00:00:00"/>
    <n v="356"/>
  </r>
  <r>
    <n v="1829"/>
    <x v="6"/>
    <s v="EXHAUST STACK MOUNT ABOVE DRIVERS SIDE DOOR IS BROKEN"/>
    <d v="2019-02-06T00:00:00"/>
    <n v="355"/>
  </r>
  <r>
    <n v="1829"/>
    <x v="1"/>
    <s v="TRACTOR LOOSES ALL AIR WHEN PARKED OVERNIGHT"/>
    <d v="2019-02-06T00:00:00"/>
    <n v="355"/>
  </r>
  <r>
    <n v="1829"/>
    <x v="1"/>
    <s v="FUEL LEAK ON RIGHT SIDE OF ENGINE"/>
    <d v="2019-01-31T00:00:00"/>
    <n v="361"/>
  </r>
  <r>
    <n v="1829"/>
    <x v="19"/>
    <s v="TRUCK LOSES ALL AIR WHEN PARKED OVERNINGHT "/>
    <d v="2019-01-03T00:00:00"/>
    <n v="389"/>
  </r>
  <r>
    <n v="1829"/>
    <x v="3"/>
    <s v="BACK OF CAB LIGHT OUT"/>
    <d v="2019-06-20T00:00:00"/>
    <n v="221"/>
  </r>
  <r>
    <n v="1829"/>
    <x v="1"/>
    <s v="AIR CONDITIONING NOT WORKING"/>
    <d v="2019-06-21T00:00:00"/>
    <n v="220"/>
  </r>
  <r>
    <n v="1829"/>
    <x v="25"/>
    <s v="CLUTCH BRAKE NEEDS ADJUSTED - WONT STOP 1ST GEAR"/>
    <d v="2019-06-21T00:00:00"/>
    <n v="220"/>
  </r>
  <r>
    <n v="1829"/>
    <x v="3"/>
    <s v="VISOR LIGHT OUT"/>
    <d v="2019-06-25T00:00:00"/>
    <n v="216"/>
  </r>
  <r>
    <n v="1829"/>
    <x v="3"/>
    <s v="2 X BREATHER LIGHTS OUT"/>
    <d v="2019-06-25T00:00:00"/>
    <n v="216"/>
  </r>
  <r>
    <n v="1829"/>
    <x v="10"/>
    <s v="STEER TIRES WEARING - PLEASE CHECK"/>
    <d v="2019-06-25T00:00:00"/>
    <n v="216"/>
  </r>
  <r>
    <n v="1829"/>
    <x v="10"/>
    <s v="STEER TIRES CUPPING - DRIVERS SIDE 8/32 PASS SIDE AT 10/32"/>
    <d v="2019-07-05T00:00:00"/>
    <n v="206"/>
  </r>
  <r>
    <n v="1829"/>
    <x v="18"/>
    <s v="RETORQUE STEER AXLE FROM TIRE REPLACEMENT"/>
    <d v="2019-07-15T00:00:00"/>
    <n v="196"/>
  </r>
  <r>
    <n v="1829"/>
    <x v="10"/>
    <s v="PASS SIDE REAR OUTSIDE DRIVE TIRE HAS HOLE IN IT"/>
    <d v="2019-08-02T00:00:00"/>
    <n v="178"/>
  </r>
  <r>
    <n v="1829"/>
    <x v="4"/>
    <s v="HOOD RESTRAINT CABLE BROKEN"/>
    <d v="2019-07-31T00:00:00"/>
    <n v="180"/>
  </r>
  <r>
    <n v="1829"/>
    <x v="20"/>
    <s v="7-WAY RECEPTICLE HOLD BACK FLAP BROKEN"/>
    <d v="2019-08-09T00:00:00"/>
    <n v="171"/>
  </r>
  <r>
    <n v="1829"/>
    <x v="1"/>
    <s v="TRACTOR LOSES ALL AIR WHEN PARKED OVER NIGHT"/>
    <d v="2019-08-16T00:00:00"/>
    <n v="164"/>
  </r>
  <r>
    <n v="1829"/>
    <x v="20"/>
    <s v="TRAILERS LIGHTS FLASH WHEN TURNING CORNERES - PLEASE CHECK AND REPLACED GREEN ELECTRICAL CORD"/>
    <d v="2019-08-16T00:00:00"/>
    <n v="164"/>
  </r>
  <r>
    <n v="1829"/>
    <x v="4"/>
    <s v="DRIVERS SIDE STEP IS MISSING RIVETS IN THE FRONT PLATE"/>
    <d v="2019-08-16T00:00:00"/>
    <n v="164"/>
  </r>
  <r>
    <n v="1829"/>
    <x v="3"/>
    <s v="BACK UP LIGHT ON DRIVER SIDE MIRROR NOT WORKING"/>
    <d v="2019-08-20T00:00:00"/>
    <n v="160"/>
  </r>
  <r>
    <n v="1829"/>
    <x v="15"/>
    <s v="POGO STICK NEEDS REPLACED…SPRING BROKEN"/>
    <d v="2019-08-29T00:00:00"/>
    <n v="151"/>
  </r>
  <r>
    <n v="1829"/>
    <x v="1"/>
    <s v="TRACTOR LOSES ALL AIR WHEN PARKED FOR 1.5HRS"/>
    <d v="2019-09-27T00:00:00"/>
    <n v="122"/>
  </r>
  <r>
    <n v="1829"/>
    <x v="1"/>
    <s v="DUE FOR ANNUAL INSPECTION IN OCTOBER"/>
    <d v="2019-10-01T00:00:00"/>
    <n v="118"/>
  </r>
  <r>
    <n v="1829"/>
    <x v="18"/>
    <s v="RETORQUE NEEDED ON ALL AXLES AFTER TRUCK HAS BEEN DRIVEN"/>
    <d v="2019-10-09T00:00:00"/>
    <n v="110"/>
  </r>
  <r>
    <n v="1829"/>
    <x v="5"/>
    <s v="ESBAR ENGINE HEATER GIVES ERROR MESSAGE"/>
    <d v="2019-10-17T00:00:00"/>
    <n v="102"/>
  </r>
  <r>
    <n v="1829"/>
    <x v="1"/>
    <s v="BOTH CB ANTENNA'S ARE BROKEN OFF"/>
    <d v="2019-11-08T00:00:00"/>
    <n v="80"/>
  </r>
  <r>
    <n v="1829"/>
    <x v="16"/>
    <s v="PLEASE REPLACE WIPER BLADES WITH WINTER BLADES"/>
    <d v="2019-11-12T00:00:00"/>
    <n v="76"/>
  </r>
  <r>
    <n v="1829"/>
    <x v="3"/>
    <s v="RIGHT SIDE BREATHER LIGHT OUT"/>
    <d v="2019-11-12T00:00:00"/>
    <n v="76"/>
  </r>
  <r>
    <n v="1829"/>
    <x v="3"/>
    <s v="3 BREATHER LIGHTS OUT ON DRIVER'S SIDE"/>
    <d v="2019-12-17T00:00:00"/>
    <n v="41"/>
  </r>
  <r>
    <n v="1829"/>
    <x v="25"/>
    <s v="PLEASE ADJUST CLUTCH - HAVE TO STAND ON IT AND HOLD IT TO STOP TRANSMISSION AND ENGAGE GEAR"/>
    <d v="2019-12-20T00:00:00"/>
    <n v="38"/>
  </r>
  <r>
    <n v="1829"/>
    <x v="3"/>
    <s v="ONE VISOR LIGHT OUT"/>
    <d v="2019-12-30T00:00:00"/>
    <n v="28"/>
  </r>
  <r>
    <n v="1829"/>
    <x v="14"/>
    <s v="AMBER CHECK ENGINE LIGHT ON"/>
    <d v="2019-12-30T00:00:00"/>
    <n v="28"/>
  </r>
  <r>
    <n v="1830"/>
    <x v="4"/>
    <s v="2X FENDER BRACKETS BROKEN ON DRIVERS SIDE - AT UPPER SIDE OF BRACKET"/>
    <d v="2019-05-08T00:00:00"/>
    <n v="264"/>
  </r>
  <r>
    <n v="1830"/>
    <x v="6"/>
    <s v="BOTH EXHAUST STACKS LOOSE - RIGHT SIDE UPPER BUSHING NEEDS REPLACED"/>
    <d v="2019-05-08T00:00:00"/>
    <n v="264"/>
  </r>
  <r>
    <n v="1830"/>
    <x v="3"/>
    <s v="LIC. PLATE LIGHT OUT"/>
    <d v="2019-05-08T00:00:00"/>
    <n v="264"/>
  </r>
  <r>
    <n v="1830"/>
    <x v="3"/>
    <s v="BREATHER LIGHTS NEED NEW BUSHING - THEY ARE FALLING OUT OF THE STAINLESS MOUNTING PLATE"/>
    <d v="2019-05-08T00:00:00"/>
    <n v="264"/>
  </r>
  <r>
    <n v="1830"/>
    <x v="4"/>
    <s v="DRIVER'S SIDE UPPER DOOR SPRING INSIDE OF DOOR BROKEN NEAR HINGE"/>
    <d v="2019-01-14T00:00:00"/>
    <n v="378"/>
  </r>
  <r>
    <n v="1830"/>
    <x v="3"/>
    <s v="MOST OF THE DIODES HAVE BURNT OUT ON THE DRIVERS SIDE SIGNAL LIGHT THAT IS ATTACHED TO THE  WEST COAST MIRROR "/>
    <d v="2019-02-28T00:00:00"/>
    <n v="333"/>
  </r>
  <r>
    <n v="1830"/>
    <x v="15"/>
    <s v="TRACTOR LOSING AIR OVERNIGHT"/>
    <d v="2019-04-04T00:00:00"/>
    <n v="298"/>
  </r>
  <r>
    <n v="1830"/>
    <x v="21"/>
    <s v="AIR LINE FOR INTER-AXLE DIFF LOCK IS BROKEN"/>
    <d v="2019-03-07T00:00:00"/>
    <n v="326"/>
  </r>
  <r>
    <n v="1830"/>
    <x v="4"/>
    <s v="DRIVERS SIDE DOOR WILL LOCK WHEN CLOSING DOOR - DOES NOT DO THIS ALL THE TIME"/>
    <d v="2019-03-21T00:00:00"/>
    <n v="312"/>
  </r>
  <r>
    <n v="1830"/>
    <x v="14"/>
    <s v="RED STOP ENGINE LIGHT ON AGAIN - DASH DISPLAY READS EGR VALVE PLUGGED"/>
    <d v="2019-01-28T00:00:00"/>
    <n v="364"/>
  </r>
  <r>
    <n v="1830"/>
    <x v="14"/>
    <s v="ENGINE DERATE IN NAPANEE, TRUCK TOWED TO KINGSTON FOR REPAIRS"/>
    <d v="2019-02-28T00:00:00"/>
    <n v="333"/>
  </r>
  <r>
    <n v="1830"/>
    <x v="14"/>
    <s v="RED STOP ENGINE LIGHT CAME ON TODAY AND DRIVER WAS ASKED TO DRIVE TRUCK TO WINDSOR OR LONDON PETERBILT. ON THEW WAY THE LIGHTS WENT OUT SO DRIVER DROVE TRUCK HOME."/>
    <d v="2019-01-14T00:00:00"/>
    <n v="378"/>
  </r>
  <r>
    <n v="1830"/>
    <x v="14"/>
    <s v="RED STOP ENGINE LIGHT ON AGAIN - CAME ON AFTER 30MIN OF DRIVING"/>
    <d v="2019-01-18T00:00:00"/>
    <n v="374"/>
  </r>
  <r>
    <n v="1830"/>
    <x v="14"/>
    <s v="RED STOP ENGINE LIGHT ON AGAIN - CAME ON AFTER 30MIN OF DRIVING"/>
    <d v="2019-01-23T00:00:00"/>
    <n v="369"/>
  </r>
  <r>
    <n v="1830"/>
    <x v="14"/>
    <s v="EGR VALVE WARNING WAS ON ALL AFTERNOON ON DEC 11 2018. DRIVER SHUT HIS TRUCK OFF AND TURNED IT BACK ON AT THE END OF HIS DAY AND WARNING WENT OFF AND HAS NOT COME BACK ON"/>
    <d v="2019-01-03T00:00:00"/>
    <n v="389"/>
  </r>
  <r>
    <n v="1830"/>
    <x v="3"/>
    <s v="BACK OF CAB LIGHTS NOT WORKING"/>
    <d v="2019-07-22T00:00:00"/>
    <n v="189"/>
  </r>
  <r>
    <n v="1830"/>
    <x v="22"/>
    <s v="PLEASE CHECK 5TH WHEEL MOVEMENT ON SLIDE RAIL AND JAWS FOR PROPER ADJUSTMENT"/>
    <d v="2019-07-22T00:00:00"/>
    <n v="189"/>
  </r>
  <r>
    <n v="1830"/>
    <x v="18"/>
    <s v="FRONT AXLE HUB CAPS SWEATING OIL - PLEASE CHECK AND REPLACE IF NEEDED"/>
    <d v="2019-07-22T00:00:00"/>
    <n v="189"/>
  </r>
  <r>
    <n v="1830"/>
    <x v="5"/>
    <s v="A/C BLOWS COOL BUT NOT COLD AIR"/>
    <d v="2019-07-22T00:00:00"/>
    <n v="189"/>
  </r>
  <r>
    <n v="1641"/>
    <x v="1"/>
    <s v="ANNUAL SAFETY DUE FEBRUARY 2020"/>
    <d v="2020-01-10T00:00:00"/>
    <n v="17"/>
  </r>
  <r>
    <n v="1830"/>
    <x v="25"/>
    <s v="CLUTCH RATTLES AND VIBRATES, CLUTCH ALSO NEEDS ADJUSTED"/>
    <d v="2019-08-09T00:00:00"/>
    <n v="171"/>
  </r>
  <r>
    <n v="1830"/>
    <x v="3"/>
    <s v="PASSENGER SIDE WORK LIGHT ON REAR OF CAB IS OUT"/>
    <d v="2019-08-09T00:00:00"/>
    <n v="171"/>
  </r>
  <r>
    <n v="1830"/>
    <x v="3"/>
    <s v="LIC. PLATE LIGHT OUT"/>
    <d v="2019-10-31T00:00:00"/>
    <n v="88"/>
  </r>
  <r>
    <n v="1641"/>
    <x v="1"/>
    <s v="LOCKING PIN FOR STEPS INTO BOX OF TRUCK IS BROKEN"/>
    <d v="2020-01-23T00:00:00"/>
    <n v="4"/>
  </r>
  <r>
    <n v="1830"/>
    <x v="3"/>
    <s v="VISOR LIGHT OUT"/>
    <d v="2019-11-06T00:00:00"/>
    <n v="82"/>
  </r>
  <r>
    <n v="1641"/>
    <x v="5"/>
    <s v="NEEDS BLOWER MOTOR RESISTOR REPLACED - FAN SPEED 3 DOES NOT WORK - IDENTIFIED DURING ANNUAL INSPECTION"/>
    <d v="2020-02-03T00:00:00"/>
    <n v="-7"/>
  </r>
  <r>
    <n v="1830"/>
    <x v="3"/>
    <s v="SKIRT LIGHT OUT ON DRIVER SIDE"/>
    <d v="2019-11-06T00:00:00"/>
    <n v="82"/>
  </r>
  <r>
    <n v="1830"/>
    <x v="6"/>
    <s v="DRIVERS SIDE CAB MOUNT SLIDER PIN IS MISSING - PLEASE CHECK BOTH SIDES"/>
    <d v="2019-11-07T00:00:00"/>
    <n v="81"/>
  </r>
  <r>
    <n v="1641"/>
    <x v="18"/>
    <s v="RETORQUE ALL AXLES BOTH SIDES FROM ANNUAL INSPECTION"/>
    <d v="2020-02-03T00:00:00"/>
    <n v="-7"/>
  </r>
  <r>
    <n v="1641"/>
    <x v="6"/>
    <s v="NEEDS A GILITIEN CLAMP REPLACED DUE TO HEAVY CORROSION -  IDENTIFIED DURING ANNUAL INSPECTION"/>
    <d v="2020-02-03T00:00:00"/>
    <n v="-7"/>
  </r>
  <r>
    <n v="1642"/>
    <x v="1"/>
    <s v="ANNUAL SAFETY DUE FEBRUARY 2020"/>
    <d v="2020-01-10T00:00:00"/>
    <n v="17"/>
  </r>
  <r>
    <n v="1830"/>
    <x v="1"/>
    <s v="DUE FOR ANNUAL INSPECTION IN NOVEMBER"/>
    <d v="2019-11-01T00:00:00"/>
    <n v="87"/>
  </r>
  <r>
    <n v="1642"/>
    <x v="1"/>
    <s v="MD B SERVICE DUE IN DECEMBER 2019"/>
    <d v="2020-01-10T00:00:00"/>
    <n v="17"/>
  </r>
  <r>
    <n v="1643"/>
    <x v="1"/>
    <s v="ANNUAL SAFETY DUE JANUARY 2020"/>
    <d v="2020-01-10T00:00:00"/>
    <n v="17"/>
  </r>
  <r>
    <n v="1643"/>
    <x v="1"/>
    <s v="MD A #2 SERVICE DUE IN DECEMBER 2020"/>
    <d v="2020-01-10T00:00:00"/>
    <n v="17"/>
  </r>
  <r>
    <n v="1643"/>
    <x v="18"/>
    <s v="RE-TORQUE ALL WHEELS ON BOTH SIDES"/>
    <d v="2020-01-22T00:00:00"/>
    <n v="5"/>
  </r>
  <r>
    <n v="1830"/>
    <x v="6"/>
    <s v="EXHAUST CLAMPS HOLDING STACKS IN PLACE ARE LOOSE ON BOTH SIDES AND NEED REPLACED"/>
    <d v="2020-01-10T00:00:00"/>
    <n v="17"/>
  </r>
  <r>
    <n v="1643"/>
    <x v="1"/>
    <s v="INCORRECT INFORMATION ON SAFETY PAPERWORK - ID NUMBER MATCHES STICKER BUT VIN AND LIC. PLATE ARE INCORRECT"/>
    <d v="2020-02-03T00:00:00"/>
    <n v="-7"/>
  </r>
  <r>
    <n v="1830"/>
    <x v="5"/>
    <s v="ESBAR ENGINE HEATER NOT WORKING"/>
    <d v="2020-01-10T00:00:00"/>
    <n v="17"/>
  </r>
  <r>
    <n v="1643"/>
    <x v="1"/>
    <s v="36 DAY TRANSFER STILL NEEDS COMPLETED"/>
    <d v="2020-02-03T00:00:00"/>
    <n v="-7"/>
  </r>
  <r>
    <n v="1644"/>
    <x v="1"/>
    <s v="ANNUAL SAFETY DUE JANUARY 2020"/>
    <d v="2020-01-10T00:00:00"/>
    <n v="17"/>
  </r>
  <r>
    <n v="1830"/>
    <x v="20"/>
    <s v="SUPPLY LINE LEAKING AT GLAD HAND FITTING"/>
    <d v="2020-01-10T00:00:00"/>
    <n v="17"/>
  </r>
  <r>
    <n v="1644"/>
    <x v="1"/>
    <s v="MD A SERVICE DUE IN JANARY 2020"/>
    <d v="2020-01-10T00:00:00"/>
    <n v="17"/>
  </r>
  <r>
    <n v="1644"/>
    <x v="19"/>
    <s v="ALL 4 SHOCKS NEED REPLACED"/>
    <d v="2020-01-24T00:00:00"/>
    <n v="3"/>
  </r>
  <r>
    <n v="1644"/>
    <x v="4"/>
    <s v="RIGHT SIDE LOWER DOOR ROLLER MISSING WHEEL"/>
    <d v="2020-01-24T00:00:00"/>
    <n v="3"/>
  </r>
  <r>
    <n v="1644"/>
    <x v="18"/>
    <s v="RETORQUE BOTH AXLES BOTH SIDES FROM ANNUAL INSPECTION"/>
    <d v="2020-01-24T00:00:00"/>
    <n v="3"/>
  </r>
  <r>
    <n v="1830"/>
    <x v="1"/>
    <s v="TRUCK LEAKS ALL AIR WHEN PARKED OVERNIGHT"/>
    <d v="2020-01-10T00:00:00"/>
    <n v="17"/>
  </r>
  <r>
    <n v="1644"/>
    <x v="0"/>
    <s v="ALL FOUR WHEELS NEED BRAKE PADS REPLACED"/>
    <d v="2020-01-24T00:00:00"/>
    <n v="3"/>
  </r>
  <r>
    <n v="1830"/>
    <x v="1"/>
    <s v="SAFETY COMPLETED BUT PAPERWORK AND STICKER HAVE NOT BEEN UPDATED"/>
    <d v="2020-01-10T00:00:00"/>
    <n v="17"/>
  </r>
  <r>
    <n v="1644"/>
    <x v="4"/>
    <s v="MOST GUSSETS NEED REPAIRED OR REPLACED"/>
    <d v="2020-01-24T00:00:00"/>
    <n v="3"/>
  </r>
  <r>
    <n v="1644"/>
    <x v="2"/>
    <s v="PASSENGER SIDE WINDSHIELD NEEDS REPLACED - STONE CHIP IN PATH OF WIPER"/>
    <d v="2020-01-24T00:00:00"/>
    <n v="3"/>
  </r>
  <r>
    <n v="1645"/>
    <x v="7"/>
    <s v="BATTERIES NOT HOLDING CHARGE"/>
    <d v="2020-01-07T00:00:00"/>
    <n v="20"/>
  </r>
  <r>
    <n v="1645"/>
    <x v="1"/>
    <s v="MD B SERVICE DUE IN DECEMBER 2020"/>
    <d v="2020-01-10T00:00:00"/>
    <n v="17"/>
  </r>
  <r>
    <n v="1645"/>
    <x v="1"/>
    <s v="ANNUAL SAFETY DUE IN FEBRUARY 2020"/>
    <d v="2020-01-10T00:00:00"/>
    <n v="17"/>
  </r>
  <r>
    <n v="1645"/>
    <x v="2"/>
    <s v="PASSENGER SIDE WINDSHEILD NEEDS REPAIRED"/>
    <d v="2020-01-24T00:00:00"/>
    <n v="3"/>
  </r>
  <r>
    <n v="1645"/>
    <x v="19"/>
    <s v="RIGHT SIDE STEER AXLE SHOCK NEEDS REPLACED"/>
    <d v="2020-01-24T00:00:00"/>
    <n v="3"/>
  </r>
  <r>
    <n v="1645"/>
    <x v="19"/>
    <s v="RIGHT SIDE DRIVE AXLE SHOCK NEEDS REPLACED"/>
    <d v="2020-01-24T00:00:00"/>
    <n v="3"/>
  </r>
  <r>
    <n v="1645"/>
    <x v="0"/>
    <s v="REAR BRAKE PADS NEED REPLACED ON BOTH SIDES"/>
    <d v="2020-01-24T00:00:00"/>
    <n v="3"/>
  </r>
  <r>
    <n v="1645"/>
    <x v="19"/>
    <s v="LEVELING VALVE LEAKING"/>
    <d v="2020-01-24T00:00:00"/>
    <n v="3"/>
  </r>
  <r>
    <n v="1645"/>
    <x v="4"/>
    <s v="THRESHOLD PLATE LIFTING"/>
    <d v="2020-01-24T00:00:00"/>
    <n v="3"/>
  </r>
  <r>
    <n v="1645"/>
    <x v="4"/>
    <s v="RIGHT SIDE LOWER PLATE IN BOX IS PULLED OUT"/>
    <d v="2020-01-24T00:00:00"/>
    <n v="3"/>
  </r>
  <r>
    <n v="1645"/>
    <x v="4"/>
    <s v="MOST GUSSETS NEED REPAIRED OR REPLACED"/>
    <d v="2020-01-24T00:00:00"/>
    <n v="3"/>
  </r>
  <r>
    <n v="1646"/>
    <x v="1"/>
    <s v="MD A SERVICE DUE IN JANARY 2020"/>
    <d v="2020-01-10T00:00:00"/>
    <n v="17"/>
  </r>
  <r>
    <n v="1646"/>
    <x v="1"/>
    <s v="ANNUAL SAFETY DUE IN JANUARY 2020"/>
    <d v="2020-01-10T00:00:00"/>
    <n v="17"/>
  </r>
  <r>
    <n v="1646"/>
    <x v="3"/>
    <s v="PASSENGER SIDE HEADLIGHT OUT"/>
    <d v="2020-01-21T00:00:00"/>
    <n v="6"/>
  </r>
  <r>
    <n v="1646"/>
    <x v="18"/>
    <s v="RETORQUE BOTH AXLES, BOTH SIDES"/>
    <d v="2020-01-28T00:00:00"/>
    <n v="-1"/>
  </r>
  <r>
    <n v="1646"/>
    <x v="14"/>
    <s v="ACCELARATOR CUTS IN AND OUT - LOUD WHINE FROM ENGINE COMPARTMENT - CAB CONTROLLER FAULT COMES UP ON PEOPLENET REPORT"/>
    <d v="2020-02-18T00:00:00"/>
    <n v="-22"/>
  </r>
  <r>
    <n v="1647"/>
    <x v="1"/>
    <s v="ANNUAL SAFETY DUE IN JANUARY 2020"/>
    <d v="2020-01-10T00:00:00"/>
    <n v="17"/>
  </r>
  <r>
    <n v="1647"/>
    <x v="18"/>
    <s v="RETORQUE BOTH AXLES BOTH SIDES FROM SAFETY"/>
    <d v="2019-01-28T00:00:00"/>
    <n v="364"/>
  </r>
  <r>
    <n v="1647"/>
    <x v="5"/>
    <s v="NEEDS BLOWER MOTOR RESISTOR REPLACED - FAN SPEED 3 DOES NOT WORK - IDENTIFIED DURING ANNUAL INSPECTION"/>
    <d v="2020-02-07T00:00:00"/>
    <n v="-11"/>
  </r>
  <r>
    <n v="1647"/>
    <x v="0"/>
    <s v="DOOR CHIME GOES OFF CONSTANTLY, EVEN WHEN KEY IS OFF"/>
    <d v="2020-02-07T00:00:00"/>
    <n v="-11"/>
  </r>
  <r>
    <n v="1816"/>
    <x v="19"/>
    <s v="LEFT SIDE REAR AIR BAG NEEDS REPLACED"/>
    <d v="2020-01-10T00:00:00"/>
    <n v="17"/>
  </r>
  <r>
    <n v="1816"/>
    <x v="1"/>
    <s v="HD A SERVICE DUE IN OCTOBER 2020"/>
    <d v="2020-01-10T00:00:00"/>
    <n v="17"/>
  </r>
  <r>
    <n v="1816"/>
    <x v="24"/>
    <s v="NEEDS CITY HORN REPLACED"/>
    <d v="2020-01-10T00:00:00"/>
    <n v="17"/>
  </r>
  <r>
    <n v="1816"/>
    <x v="24"/>
    <s v="CITY HORN NOT WORKING"/>
    <d v="2020-01-22T00:00:00"/>
    <n v="5"/>
  </r>
  <r>
    <n v="1816"/>
    <x v="5"/>
    <s v="HEATER FAN ONLY WORKING ON MAX SETTING"/>
    <d v="2020-01-13T00:00:00"/>
    <n v="14"/>
  </r>
  <r>
    <n v="1816"/>
    <x v="5"/>
    <s v="VENTILATION SELECTOR DIAL NOT WORKING"/>
    <d v="2020-01-13T00:00:00"/>
    <n v="14"/>
  </r>
  <r>
    <n v="1816"/>
    <x v="20"/>
    <s v="TRAILER SUPPLY LINE LEAKING AT FITTING NEAR GLAD HAND - PLEASE REPLACE SUPPLY, SERVICE AND GREEN POWER CORD AS THE SUPPLY LINE IS NOW TOO SHORT"/>
    <d v="2020-01-03T00:00:00"/>
    <m/>
  </r>
  <r>
    <n v="1816"/>
    <x v="6"/>
    <s v="UPPER CAB MOUNTED EXHAUST BRACKET ON PASSENGER SIDE IS MISSING SLIDE PIN AND BUSHINGS"/>
    <d v="2020-02-20T00:00:00"/>
    <n v="-24"/>
  </r>
  <r>
    <n v="1816"/>
    <x v="3"/>
    <s v="DRIVER'S SIDE MIRROR LIGHT MISSING AMBER LENS"/>
    <d v="2020-02-20T00:00:00"/>
    <n v="-24"/>
  </r>
  <r>
    <n v="1817"/>
    <x v="1"/>
    <s v="HOOD CABLE BROKEN"/>
    <d v="2020-01-06T00:00:00"/>
    <n v="21"/>
  </r>
  <r>
    <n v="1817"/>
    <x v="1"/>
    <s v="HD A SERVICE DUE IN SEPTEMBER 2019"/>
    <d v="2020-01-10T00:00:00"/>
    <n v="17"/>
  </r>
  <r>
    <n v="1817"/>
    <x v="3"/>
    <s v="BREATHER LIGHTS OUT ON BOTH SIDES"/>
    <d v="2020-01-07T00:00:00"/>
    <n v="20"/>
  </r>
  <r>
    <n v="1817"/>
    <x v="14"/>
    <s v="CHECK ENGINE LIGHT ON - NEEDS MANIFOLD SLIP JOINT SEALS REPLACED - THEY ARE LEAKING EXCESSIVELY CAUSING INCORRECT NOX AND EGR READINGS"/>
    <d v="2019-12-30T00:00:00"/>
    <n v="28"/>
  </r>
  <r>
    <n v="1817"/>
    <x v="14"/>
    <s v="WHITE AIR LINE ON DRIVERS SIDE OF ENGINE NEAR FUEL FILTER AND PRIMER IS LEAKING AIR"/>
    <d v="2020-01-14T00:00:00"/>
    <n v="13"/>
  </r>
  <r>
    <n v="1817"/>
    <x v="20"/>
    <s v="PLEASE REPLACE YELLOW CORD END - TRAILER LIGHTS NOT WORKING - CHECKED WITH SECOND TRUCK AND ALL WAS GOOD "/>
    <d v="2020-01-10T00:00:00"/>
    <n v="17"/>
  </r>
  <r>
    <n v="1817"/>
    <x v="14"/>
    <s v="CHECK ENGINE LIGHT ON - CODE SPN 3216"/>
    <d v="2020-01-14T00:00:00"/>
    <n v="13"/>
  </r>
  <r>
    <n v="1817"/>
    <x v="3"/>
    <s v="ONE VISOR LIGHT OUT"/>
    <d v="2020-02-04T00:00:00"/>
    <n v="-8"/>
  </r>
  <r>
    <n v="1817"/>
    <x v="3"/>
    <s v="ONE BREATHER LIGHT OUT"/>
    <d v="2020-02-04T00:00:00"/>
    <n v="-8"/>
  </r>
  <r>
    <n v="1817"/>
    <x v="7"/>
    <s v="PLEASE LOAD TEST AND REPLACE BATTERIES IF NEEDED - TRUCK HAS BEEN BOOSTED TWICE IN THE LAST 2 DAYS"/>
    <d v="2020-02-18T00:00:00"/>
    <n v="-22"/>
  </r>
  <r>
    <n v="1817"/>
    <x v="14"/>
    <s v="CHECK ENGINE LIGHT ON AGAIN THIS HAS BEEN TO AYRSHOP TWICE AND SERVICED IN OUR YARD ONCE ALREADY - CODE ON DASH IS SPN 354"/>
    <d v="2020-02-07T00:00:00"/>
    <n v="-11"/>
  </r>
  <r>
    <n v="1645"/>
    <x v="3"/>
    <s v="PASSENGER SIDE FENDER MARKER LIGHT FLICKERS AND GOES DIM - TURN SIGNAL PORTION WORKS FINE"/>
    <d v="2020-02-20T00:00:00"/>
    <n v="-24"/>
  </r>
  <r>
    <n v="1817"/>
    <x v="6"/>
    <s v="RED DEF WARNING LIGHT ON"/>
    <d v="2020-02-24T00:00:00"/>
    <n v="-28"/>
  </r>
  <r>
    <n v="1817"/>
    <x v="3"/>
    <s v="RIGHT SIDE TURN SIGNAL HAS MULTIPLE BURNT DIODES - PLEASE REPLACE"/>
    <d v="2020-02-13T00:00:00"/>
    <n v="-17"/>
  </r>
  <r>
    <n v="1818"/>
    <x v="2"/>
    <s v="PLEASE CHECK DRIVER'S SIDE WINDOW FOR LEAKAGE - FLOOR IS WET AND FUSE PANEL HAS SALTY RESIDUE ON FUSES - THIS WINDOW WAS REPLACED DURING SAFETY AND MIGHT NOT HAVE SEALED PROPERLY"/>
    <d v="2020-01-03T00:00:00"/>
    <n v="24"/>
  </r>
  <r>
    <n v="1818"/>
    <x v="1"/>
    <s v="FLOOR VERY WET IN CAB - COULD NOT SOURCE LEAK - DRIVER'S SIDE WINDSHEILD RECENTLY REPLACED"/>
    <d v="2020-01-14T00:00:00"/>
    <n v="13"/>
  </r>
  <r>
    <n v="1818"/>
    <x v="3"/>
    <s v="PASSENGER SIDE BREATHER LIGHT (3RD LIGHT FROM TOP) FLICKERS ON AND OFF"/>
    <d v="2020-01-14T00:00:00"/>
    <n v="13"/>
  </r>
  <r>
    <n v="1818"/>
    <x v="14"/>
    <s v="CHECK ENGINE LIGHT ON"/>
    <d v="2020-01-03T00:00:00"/>
    <n v="24"/>
  </r>
  <r>
    <n v="1818"/>
    <x v="0"/>
    <s v="BRAKE PEDAL STICKING - SUSPECT PRIMARY PLUNGER VALVE"/>
    <d v="2020-01-10T00:00:00"/>
    <n v="17"/>
  </r>
  <r>
    <n v="1818"/>
    <x v="0"/>
    <s v="RIGHT REAR BRAKE WOULD NOT RELEASE - ROLLED TRUCK BACK AND FORTH TO RELEASE BRAKE - PLEASE CHECK COMPONENTS"/>
    <d v="2020-01-17T00:00:00"/>
    <n v="10"/>
  </r>
  <r>
    <n v="1818"/>
    <x v="7"/>
    <s v="BATTERIES DEAD - HAD TO BOOST TRUCK"/>
    <d v="2020-01-17T00:00:00"/>
    <n v="10"/>
  </r>
  <r>
    <n v="1818"/>
    <x v="3"/>
    <s v=" RIGHT REAR TAIL LIGHT OUT"/>
    <d v="2020-02-26T00:00:00"/>
    <n v="-30"/>
  </r>
  <r>
    <n v="1818"/>
    <x v="3"/>
    <s v="ONE SKIRT LIGHT OUT ON DRIVER'S SIDE"/>
    <d v="2020-02-26T00:00:00"/>
    <n v="-30"/>
  </r>
  <r>
    <n v="1819"/>
    <x v="23"/>
    <s v="COLD COOLANT LEAK FROM TOP RAD HOSE "/>
    <d v="2020-01-09T00:00:00"/>
    <n v="18"/>
  </r>
  <r>
    <n v="1819"/>
    <x v="14"/>
    <s v="CHECK ENGINE LIGHT ON - CODE SPN 908"/>
    <d v="2020-01-10T00:00:00"/>
    <n v="17"/>
  </r>
  <r>
    <n v="1819"/>
    <x v="14"/>
    <s v="AMBER CHECK ENGINE LIGHT ON - AMBER ABS LIGHT ON AND STABILITY CONTROL LIGHT ON"/>
    <d v="2020-01-13T00:00:00"/>
    <n v="14"/>
  </r>
  <r>
    <n v="1819"/>
    <x v="1"/>
    <s v="HD B SERVICE DUE IN NOVEMBER 2019"/>
    <d v="2020-01-10T00:00:00"/>
    <n v="17"/>
  </r>
  <r>
    <n v="1819"/>
    <x v="3"/>
    <s v="MIDDLE VISOR LIGHT FLICKERS ON AND OFF "/>
    <d v="2020-01-27T00:00:00"/>
    <n v="0"/>
  </r>
  <r>
    <n v="1819"/>
    <x v="20"/>
    <s v="TRUCK NOT POWERING RIGHT SIDE TURN SIGNAL ON TRAILER - TRUCK POWERS UPPER CLEARANCE LIGHTS INTERMITTENLY - PLEASE CHECK WIRES IN GREEN POWER CORD AND FUSES"/>
    <d v="2020-01-30T00:00:00"/>
    <n v="-3"/>
  </r>
  <r>
    <n v="1819"/>
    <x v="1"/>
    <s v="HOOD CABLE BROKEN ON PASSENGER SIDE"/>
    <d v="2020-02-11T00:00:00"/>
    <n v="-15"/>
  </r>
  <r>
    <n v="1820"/>
    <x v="2"/>
    <s v="PASSENGER SIDE WINDOW HAS STONE CHIP"/>
    <d v="2019-12-11T00:00:00"/>
    <n v="47"/>
  </r>
  <r>
    <n v="1820"/>
    <x v="23"/>
    <s v="COLD COOLANT LEAK FROM TOP RAD HOSE "/>
    <d v="2020-01-09T00:00:00"/>
    <n v="18"/>
  </r>
  <r>
    <n v="1820"/>
    <x v="1"/>
    <s v="NEEDS 1 FENDER BRACKET REPLACED"/>
    <d v="2020-01-10T00:00:00"/>
    <n v="17"/>
  </r>
  <r>
    <n v="1820"/>
    <x v="1"/>
    <s v="HD A #2 SERVICE DUE IN DECEMBER 2019"/>
    <d v="2020-01-10T00:00:00"/>
    <n v="17"/>
  </r>
  <r>
    <n v="1820"/>
    <x v="1"/>
    <s v="CB DOES NOT RECEIVE OR TRANSMIT AND ONE ANTENNA IS BROKEN"/>
    <d v="2020-01-13T00:00:00"/>
    <n v="14"/>
  </r>
  <r>
    <n v="1820"/>
    <x v="1"/>
    <s v="LOWER 12 VOLT POWER OUTLET IN CAB IS NOT WORKING"/>
    <d v="2020-01-13T00:00:00"/>
    <n v="14"/>
  </r>
  <r>
    <n v="1820"/>
    <x v="1"/>
    <s v="POGO STICK BROKEN"/>
    <d v="2020-01-23T00:00:00"/>
    <n v="4"/>
  </r>
  <r>
    <n v="1820"/>
    <x v="3"/>
    <s v="VISOR LIGHT NOT WORKING"/>
    <d v="2019-12-30T00:00:00"/>
    <n v="28"/>
  </r>
  <r>
    <n v="1820"/>
    <x v="3"/>
    <s v="HEADLIGHT COVERS CLOUDING - PLEASE CLEAN"/>
    <d v="2020-01-13T00:00:00"/>
    <n v="14"/>
  </r>
  <r>
    <n v="1820"/>
    <x v="22"/>
    <s v="CROSS MEMBER BEHIND 5TH WHHEEL CRACKED"/>
    <d v="2020-01-13T00:00:00"/>
    <n v="14"/>
  </r>
  <r>
    <n v="1820"/>
    <x v="6"/>
    <s v="NEEDS 2 EXHAUST CLAMPS REPLACED"/>
    <d v="2020-01-10T00:00:00"/>
    <n v="17"/>
  </r>
  <r>
    <n v="1820"/>
    <x v="5"/>
    <s v="ENGINE HEATER NOT WORKING"/>
    <d v="2020-01-03T00:00:00"/>
    <n v="24"/>
  </r>
  <r>
    <n v="1820"/>
    <x v="20"/>
    <s v="PLEASE CHECK TRAILER POWER AND FUSES ASSOCIATED TO THESE CIRCUITS - DRIVER HAS REPORTED A SHORT - TRAILER SWITCH IN CAB STAYS LIT WHETHER SWITCH IS ON OR OFF"/>
    <d v="2020-01-13T00:00:00"/>
    <n v="14"/>
  </r>
  <r>
    <n v="1820"/>
    <x v="25"/>
    <s v="CLUTCH SWITCH NOT DISENGAUGING ENGINE BRAKE OR CRUISE CONTROL"/>
    <d v="2020-01-13T00:00:00"/>
    <n v="14"/>
  </r>
  <r>
    <n v="1820"/>
    <x v="0"/>
    <s v="RIGHT FRONT BRAKE CHAMBER NEEDS REPLACED"/>
    <d v="2020-01-10T00:00:00"/>
    <n v="17"/>
  </r>
  <r>
    <n v="1820"/>
    <x v="3"/>
    <s v="DRIVERS SIDE HEAD LIGHT OUT"/>
    <d v="2020-02-13T00:00:00"/>
    <n v="-17"/>
  </r>
  <r>
    <n v="1820"/>
    <x v="14"/>
    <s v="FUEL FILTER PLUGGED"/>
    <d v="2020-02-13T00:00:00"/>
    <n v="-17"/>
  </r>
  <r>
    <n v="1820"/>
    <x v="3"/>
    <s v="VISOR LIGHT OUT"/>
    <d v="2020-02-06T00:00:00"/>
    <n v="-10"/>
  </r>
  <r>
    <n v="1820"/>
    <x v="5"/>
    <s v="ESBAR CAB HEATER NOT WORKING"/>
    <d v="2020-01-30T00:00:00"/>
    <n v="-3"/>
  </r>
  <r>
    <n v="1820"/>
    <x v="1"/>
    <s v="CLUTCH SWITCH WORKS BUT IS NOT SET PROPERLY - DRIVER HAS TO PUSH THE CLUTCH TOO FAR TO DE-ACTIVATE CRUISE CONTROL"/>
    <d v="2020-01-30T00:00:00"/>
    <n v="-3"/>
  </r>
  <r>
    <n v="1820"/>
    <x v="1"/>
    <s v="BLUETOOTH IN TRUCK NOT WORKING - DOES SCAN BUT DOES NOT CONNECT"/>
    <d v="2020-02-06T00:00:00"/>
    <n v="-10"/>
  </r>
  <r>
    <n v="1820"/>
    <x v="5"/>
    <s v="ESBAR ENGINE HEATER NOT WORKING"/>
    <d v="2020-02-14T00:00:00"/>
    <n v="-18"/>
  </r>
  <r>
    <n v="1821"/>
    <x v="23"/>
    <s v="COOLENT WARNING COMES ON DASH - COOLANT TEMP FINE AND RESIVIOR FULL - TRUCK IS  NOT LOSING COOLANT - PLEASE CHECK SENSOR IN RESIVIOR"/>
    <d v="2020-01-20T00:00:00"/>
    <n v="7"/>
  </r>
  <r>
    <n v="1821"/>
    <x v="10"/>
    <s v="SHAGS NOTED THAT ALL TIRES WILL NEED REPLACED SOON 1/13/20"/>
    <d v="2020-01-13T00:00:00"/>
    <n v="14"/>
  </r>
  <r>
    <n v="1821"/>
    <x v="10"/>
    <s v="RETORQUE ALL AXLES FROM TIRE REPLACEMENT AND ROTATION"/>
    <d v="2020-01-24T00:00:00"/>
    <n v="3"/>
  </r>
  <r>
    <n v="1821"/>
    <x v="3"/>
    <s v="CENTER VISOR LIGHT NOT WORKING"/>
    <d v="2020-02-07T00:00:00"/>
    <n v="-11"/>
  </r>
  <r>
    <n v="1821"/>
    <x v="1"/>
    <s v="HD A SERVICE DUE IN FEBRUARY 2020"/>
    <d v="2020-01-10T00:00:00"/>
    <n v="17"/>
  </r>
  <r>
    <n v="1821"/>
    <x v="3"/>
    <s v="LEFT REAR TURN SIGNAL NOT WORKING"/>
    <d v="2020-02-21T00:00:00"/>
    <n v="-25"/>
  </r>
  <r>
    <n v="1821"/>
    <x v="3"/>
    <s v="2 BREATHER LIGHTS OUT ON PASSENGER SIDE"/>
    <d v="2020-02-21T00:00:00"/>
    <m/>
  </r>
  <r>
    <n v="1821"/>
    <x v="3"/>
    <s v="DRIVERS SIDE BACK OF CAB LIGHT OUT"/>
    <d v="2020-02-21T00:00:00"/>
    <m/>
  </r>
  <r>
    <n v="1821"/>
    <x v="1"/>
    <s v="DRIVERS SIDE CB ANTENNA MISSING"/>
    <d v="2020-02-21T00:00:00"/>
    <m/>
  </r>
  <r>
    <n v="1821"/>
    <x v="6"/>
    <s v="EXHAUST BELLOWS PIPE BETWEEN SCR AND Y PIPE IS CRACKED"/>
    <d v="2020-02-24T00:00:00"/>
    <n v="-28"/>
  </r>
  <r>
    <n v="1822"/>
    <x v="21"/>
    <s v="REAR AXLE DIFF LOCK DOES NOT SEEM TO BE DISENGAGING "/>
    <d v="2020-01-31T00:00:00"/>
    <n v="-4"/>
  </r>
  <r>
    <n v="1823"/>
    <x v="1"/>
    <s v="HD A SERVICE DUE IN JANUARY 2020"/>
    <d v="2020-01-10T00:00:00"/>
    <n v="17"/>
  </r>
  <r>
    <n v="1823"/>
    <x v="3"/>
    <s v="TRUCK NOT POWERING TRAILER CLEARANCE LIGHTS"/>
    <d v="2020-01-27T00:00:00"/>
    <n v="0"/>
  </r>
  <r>
    <n v="1823"/>
    <x v="6"/>
    <s v="NEEDS CRACKED EXHAUST CLAMP REPLACED "/>
    <d v="2020-01-10T00:00:00"/>
    <n v="17"/>
  </r>
  <r>
    <n v="1823"/>
    <x v="14"/>
    <s v="NEEDS DEF DOSER CHECKED AND POSSIBLY REPLACED"/>
    <d v="2020-01-10T00:00:00"/>
    <n v="17"/>
  </r>
  <r>
    <n v="1824"/>
    <x v="16"/>
    <s v="PLEASE REPLACE PASSENGER SIDE WIER BLADE - DRIVERS SIDE DONE JAN 10 2020"/>
    <d v="2020-01-10T00:00:00"/>
    <n v="17"/>
  </r>
  <r>
    <n v="1824"/>
    <x v="2"/>
    <s v="STONE CHIP IN PASSENGER SIDE WINDOW"/>
    <d v="2020-01-03T00:00:00"/>
    <n v="24"/>
  </r>
  <r>
    <n v="1824"/>
    <x v="1"/>
    <s v="FUEL SHUT OFF VALVE ON DRIVER'S SIDE IS BENT"/>
    <d v="2020-01-10T00:00:00"/>
    <n v="17"/>
  </r>
  <r>
    <n v="1824"/>
    <x v="1"/>
    <s v="HD A #2 SERVICE DUE IN DECEMBER 2019"/>
    <d v="2020-01-10T00:00:00"/>
    <n v="17"/>
  </r>
  <r>
    <n v="1824"/>
    <x v="6"/>
    <s v="UPPER EXHAUST STACK MOUNT AT TOP OF CAB IS MISSING BOLT"/>
    <d v="2020-01-17T00:00:00"/>
    <n v="10"/>
  </r>
  <r>
    <n v="1824"/>
    <x v="14"/>
    <s v="CHECK ENGINE LIGHT ON"/>
    <d v="2020-01-10T00:00:00"/>
    <n v="17"/>
  </r>
  <r>
    <n v="1824"/>
    <x v="0"/>
    <s v="STEER AXLE PADS LOW - DRIVE AXLE PADS CRACKED AND SEPARATING"/>
    <d v="2020-01-10T00:00:00"/>
    <n v="17"/>
  </r>
  <r>
    <n v="1824"/>
    <x v="1"/>
    <s v="MUD FLAP BRACKET TORN OFF TRUCK - WILL NEED BRACKET REPLACED"/>
    <d v="2020-01-24T00:00:00"/>
    <n v="3"/>
  </r>
  <r>
    <n v="1824"/>
    <x v="3"/>
    <s v="VISOR LIGHT OUT"/>
    <d v="2020-01-24T00:00:00"/>
    <n v="3"/>
  </r>
  <r>
    <n v="1824"/>
    <x v="3"/>
    <s v="ONE VISOR LIGHT OUT"/>
    <d v="2020-02-10T00:00:00"/>
    <n v="-14"/>
  </r>
  <r>
    <n v="1825"/>
    <x v="0"/>
    <s v="BRAKE PEDAL STICKING - SUSPECT PRIMARY PLUNGER VALVE"/>
    <d v="2020-01-10T00:00:00"/>
    <n v="17"/>
  </r>
  <r>
    <n v="1825"/>
    <x v="1"/>
    <s v="HD A SERVICE DUE IN MARCH 2020"/>
    <d v="2020-01-10T00:00:00"/>
    <n v="17"/>
  </r>
  <r>
    <n v="1645"/>
    <x v="3"/>
    <s v="RIGHT SIDE REAR MARKER LIGHT OUT"/>
    <d v="2020-02-26T00:00:00"/>
    <n v="-30"/>
  </r>
  <r>
    <n v="1825"/>
    <x v="5"/>
    <s v="ESBAR ENGINE HEATER NOT WORKING"/>
    <d v="2020-01-13T00:00:00"/>
    <n v="14"/>
  </r>
  <r>
    <n v="1647"/>
    <x v="17"/>
    <s v="SHIFTER RIBBON NEEDS REPAIRED - DOES NOT INDICATE PROPER GEAR SELECTION"/>
    <d v="2020-01-28T00:00:00"/>
    <n v="-1"/>
  </r>
  <r>
    <n v="1825"/>
    <x v="0"/>
    <s v="AIR PRESSURE NOT BUILDING IN SECONDARY AIR TANK "/>
    <d v="2020-02-10T00:00:00"/>
    <n v="-14"/>
  </r>
  <r>
    <n v="1826"/>
    <x v="2"/>
    <s v="PASSENGER SIDE WINDOW DOES NOT GO DOWN - NEEDS REGULATOR"/>
    <d v="2020-01-06T00:00:00"/>
    <n v="21"/>
  </r>
  <r>
    <n v="1826"/>
    <x v="1"/>
    <s v="TEMPERTURE NOT ACCURATE"/>
    <d v="2020-01-10T00:00:00"/>
    <n v="17"/>
  </r>
  <r>
    <n v="1826"/>
    <x v="14"/>
    <s v="CHECK ENGINE LIGHT ON"/>
    <d v="2020-01-10T00:00:00"/>
    <n v="17"/>
  </r>
  <r>
    <n v="1826"/>
    <x v="28"/>
    <s v="BACK UP BEEPER NOT WORKING"/>
    <d v="2020-01-24T00:00:00"/>
    <n v="3"/>
  </r>
  <r>
    <n v="1827"/>
    <x v="1"/>
    <s v="CB NOT WORKING - MAY NEED TO BE REPLACED"/>
    <d v="2020-01-07T00:00:00"/>
    <n v="20"/>
  </r>
  <r>
    <n v="1827"/>
    <x v="3"/>
    <s v="SKIRT LIGHTS NOT WORKING ON PASSENGER SIDE"/>
    <d v="2020-01-14T00:00:00"/>
    <n v="13"/>
  </r>
  <r>
    <n v="1827"/>
    <x v="3"/>
    <s v="DRIVERS SIDE TAIL LIGHT DIM"/>
    <d v="2020-01-14T00:00:00"/>
    <n v="13"/>
  </r>
  <r>
    <n v="1827"/>
    <x v="14"/>
    <s v="TURBO HAS LOW BOOST "/>
    <d v="2019-12-12T00:00:00"/>
    <n v="46"/>
  </r>
  <r>
    <n v="1827"/>
    <x v="20"/>
    <s v="AIR LEAK AT SUPPLY GLAD HAND FROM JUST BELOW THE HANDLE"/>
    <d v="2020-01-27T00:00:00"/>
    <n v="0"/>
  </r>
  <r>
    <n v="1827"/>
    <x v="3"/>
    <s v="LIC. PLATE LIGHT OUT"/>
    <d v="2020-01-27T00:00:00"/>
    <n v="0"/>
  </r>
  <r>
    <n v="1827"/>
    <x v="3"/>
    <s v="1 BREATHER LIGHT OUT ON PASSENGER SIDE"/>
    <d v="2020-01-31T00:00:00"/>
    <n v="-4"/>
  </r>
  <r>
    <n v="1827"/>
    <x v="23"/>
    <s v="LOWER RADIATOR HOSE CLAMP BROKEN"/>
    <d v="2020-02-18T00:00:00"/>
    <n v="-22"/>
  </r>
  <r>
    <n v="1827"/>
    <x v="3"/>
    <s v="ONLY 3 DIODES LEFT ON NEW DRIVER'S SIDE MIRROR SIGNAL LIGHT"/>
    <d v="2020-02-12T00:00:00"/>
    <n v="-16"/>
  </r>
  <r>
    <n v="1827"/>
    <x v="3"/>
    <s v="HOOK UP LIGHTS ON BACK OF CAB NOT WORKING - THESE WERE REPAIRED RECENTLY"/>
    <d v="2020-02-20T00:00:00"/>
    <n v="-24"/>
  </r>
  <r>
    <n v="1828"/>
    <x v="1"/>
    <s v="FUEL TANKS LEAKING FROM TOP OF TANKS ON BOTH SIDES"/>
    <d v="2019-11-08T00:00:00"/>
    <n v="80"/>
  </r>
  <r>
    <n v="1828"/>
    <x v="1"/>
    <s v="HD A #2 SERVICE"/>
    <d v="2020-01-08T00:00:00"/>
    <n v="19"/>
  </r>
  <r>
    <n v="1828"/>
    <x v="3"/>
    <s v="RIGHT SIDE MARKER LIGHT IN HEADLIGHT ASSEMBLY IS OUT - SIGNAL STILL WORKS"/>
    <d v="2020-01-02T00:00:00"/>
    <n v="25"/>
  </r>
  <r>
    <n v="1828"/>
    <x v="3"/>
    <s v="LIGHT OUT ON RIGHT SIDE BREATHER"/>
    <d v="2020-01-02T00:00:00"/>
    <n v="25"/>
  </r>
  <r>
    <n v="1828"/>
    <x v="3"/>
    <s v="LICENSE PLATE LIGHT OUT"/>
    <d v="2020-01-08T00:00:00"/>
    <n v="19"/>
  </r>
  <r>
    <n v="1828"/>
    <x v="6"/>
    <s v="DRIVER'S SIDE UPPER EXHAUST STACK MOUNT BROKEN"/>
    <d v="2020-01-13T00:00:00"/>
    <n v="14"/>
  </r>
  <r>
    <n v="1828"/>
    <x v="14"/>
    <s v="OIL PAN HAS SLOW LEAK"/>
    <d v="2019-11-18T00:00:00"/>
    <n v="70"/>
  </r>
  <r>
    <n v="1828"/>
    <x v="5"/>
    <s v="ESBAR CAB HEATER EXHAUST PIPE BROKEN"/>
    <d v="2020-01-06T00:00:00"/>
    <n v="21"/>
  </r>
  <r>
    <n v="1828"/>
    <x v="7"/>
    <s v="TRUCK HAS BEEN BOOSTED TWICE IN THE LAST WEEK - PLEASE LOAD TEST FOR WEAK BATTERIES"/>
    <d v="2020-01-14T00:00:00"/>
    <n v="13"/>
  </r>
  <r>
    <n v="1818"/>
    <x v="1"/>
    <s v="HD B SERVICE DUE IN MARCH 2020"/>
    <d v="2020-01-10T00:00:00"/>
    <n v="17"/>
  </r>
  <r>
    <n v="1828"/>
    <x v="10"/>
    <s v="RIGHT SIDE, FRONT DRIVE OUTSIDE TIRE HAS A SCREW IN IT"/>
    <d v="2020-01-24T00:00:00"/>
    <n v="3"/>
  </r>
  <r>
    <n v="1828"/>
    <x v="10"/>
    <s v="UNEVEN WEAR ON RIGHT SIDE STEER TIRE - FLAT SPOTTING AND TAPERS TO THE OUTSIDE "/>
    <d v="2019-11-22T00:00:00"/>
    <n v="66"/>
  </r>
  <r>
    <n v="1828"/>
    <x v="3"/>
    <s v="VISOR LIGHT OUT"/>
    <d v="2020-01-17T00:00:00"/>
    <n v="10"/>
  </r>
  <r>
    <n v="1828"/>
    <x v="0"/>
    <s v="ABS WARNING AND STABILITY CONTROL INDICATOR STAYING ON IN DASH - FAULT INDICATOR SAYS RIGHT SIDE WHEEL SPEED SENSOR."/>
    <d v="2020-01-23T00:00:00"/>
    <n v="4"/>
  </r>
  <r>
    <n v="1828"/>
    <x v="10"/>
    <s v="RE-TORQUE STEER AXLE FROM TIRE REPLACEMENT"/>
    <d v="2020-01-27T00:00:00"/>
    <n v="0"/>
  </r>
  <r>
    <n v="1828"/>
    <x v="0"/>
    <s v="RIGHT SIDE STEER AXLE WHEEL SPEED SENSOR NEEDS REPLACED"/>
    <d v="2020-01-27T00:00:00"/>
    <n v="0"/>
  </r>
  <r>
    <n v="1828"/>
    <x v="3"/>
    <s v="ONE LIGHT OUT ON RIGHT SIDE AIR BREATHER"/>
    <d v="2020-02-12T00:00:00"/>
    <n v="-16"/>
  </r>
  <r>
    <n v="1828"/>
    <x v="3"/>
    <s v="ONE VISOR LIGHT OUT"/>
    <d v="2020-02-12T00:00:00"/>
    <n v="-16"/>
  </r>
  <r>
    <n v="1828"/>
    <x v="3"/>
    <s v="RIGHT SIDE HEAD LIGHT OUT - WOULD IT BE POSSIBLE TO REPLACE BOTH BULBS WITH NIGHTHAWK H11 BULBS?"/>
    <d v="2020-02-19T00:00:00"/>
    <n v="-23"/>
  </r>
  <r>
    <n v="1829"/>
    <x v="5"/>
    <s v="ESBAR ENGINE HEATER NOT WORKING"/>
    <d v="2019-11-12T00:00:00"/>
    <n v="76"/>
  </r>
  <r>
    <n v="1829"/>
    <x v="0"/>
    <s v="ABS LIGHT ON IN DASH"/>
    <d v="2019-12-27T00:00:00"/>
    <n v="31"/>
  </r>
  <r>
    <n v="1829"/>
    <x v="3"/>
    <s v="MIDDLE VISOR LIGHT OUT - WILL COME ON BUT GOES BACK OUT AGAIN"/>
    <d v="2020-01-02T00:00:00"/>
    <n v="25"/>
  </r>
  <r>
    <n v="1819"/>
    <x v="21"/>
    <s v="PLEASE CHECK RIDE HEIGHT, MIGHT BE SET TOO HIGH - TRUCK VIBRATES"/>
    <d v="2020-02-10T00:00:00"/>
    <n v="-14"/>
  </r>
  <r>
    <n v="1819"/>
    <x v="3"/>
    <s v="MULTIPLE BREATHER LIGHTS OUT ON PASSENGER SIDE"/>
    <d v="2020-02-20T00:00:00"/>
    <n v="-24"/>
  </r>
  <r>
    <n v="1829"/>
    <x v="1"/>
    <s v="DRIVERS SIDE DOOR HANDLE STICKING"/>
    <d v="2020-01-03T00:00:00"/>
    <n v="24"/>
  </r>
  <r>
    <n v="1829"/>
    <x v="1"/>
    <s v="HD A #2 SERVICE DUE IN NOVEMBER 2019"/>
    <d v="2020-01-10T00:00:00"/>
    <n v="17"/>
  </r>
  <r>
    <n v="1829"/>
    <x v="3"/>
    <s v="VISOR LIGHT OUT - 2ND FROM RIGHT"/>
    <d v="2020-01-15T00:00:00"/>
    <n v="12"/>
  </r>
  <r>
    <n v="1829"/>
    <x v="3"/>
    <s v="ONE LEFT SIDE BREATHER LIGHT OUT"/>
    <d v="2020-02-13T00:00:00"/>
    <n v="-17"/>
  </r>
  <r>
    <n v="1829"/>
    <x v="3"/>
    <s v="ONE RIGHT SIDE SKIRT LIGHT OUT"/>
    <d v="2020-02-13T00:00:00"/>
    <n v="-17"/>
  </r>
  <r>
    <n v="1829"/>
    <x v="28"/>
    <s v="REVERSE BEEPER NOT WORKING"/>
    <d v="2020-02-19T00:00:00"/>
    <n v="-23"/>
  </r>
  <r>
    <n v="1829"/>
    <x v="19"/>
    <s v="AIRLINE BROKEN AT BACK OF CAB - BROKEN ACCIDENTLY BY DYLAN WHILE DIAGNOSING ISSUE WITH BACK UP BEEPER "/>
    <d v="2020-02-24T00:00:00"/>
    <n v="-28"/>
  </r>
  <r>
    <n v="1830"/>
    <x v="16"/>
    <s v="PLEASE REPLACED WIPERS WITH WINTER BLADES"/>
    <d v="2019-12-20T00:00:00"/>
    <n v="38"/>
  </r>
  <r>
    <n v="1830"/>
    <x v="28"/>
    <s v="FIRE EXTINGUISHER NEEDS REPLACED"/>
    <d v="2020-01-15T00:00:00"/>
    <n v="12"/>
  </r>
  <r>
    <n v="1830"/>
    <x v="1"/>
    <s v="PLEASE REPLACE POGO STICK"/>
    <d v="2019-12-30T00:00:00"/>
    <n v="28"/>
  </r>
  <r>
    <n v="1830"/>
    <x v="1"/>
    <s v="GPS IN TRUCK READS UPDATES AVAILABLE - PLEASE UPDATE"/>
    <d v="2019-12-30T00:00:00"/>
    <n v="28"/>
  </r>
  <r>
    <n v="1830"/>
    <x v="1"/>
    <s v="ELECTRONIC LOG NOT WORKING, NO POWER TO SCREEN AND NOT KEEPING ACTIVE DISPATCH"/>
    <d v="2020-01-02T00:00:00"/>
    <n v="25"/>
  </r>
  <r>
    <n v="1819"/>
    <x v="14"/>
    <s v="AMBER CHECK ENGINE LIGHT ON"/>
    <d v="2020-02-27T00:00:00"/>
    <n v="-31"/>
  </r>
  <r>
    <n v="1830"/>
    <x v="1"/>
    <s v="HD A #2 SERVICE DUE IN OCTOBER 2019"/>
    <d v="2020-01-02T00:00:00"/>
    <n v="25"/>
  </r>
  <r>
    <n v="1820"/>
    <x v="22"/>
    <s v="FIFTH WHEEL IS VERY DIFFICULT RELEASE"/>
    <d v="2020-02-14T00:00:00"/>
    <n v="-18"/>
  </r>
  <r>
    <n v="1830"/>
    <x v="14"/>
    <s v="CHECK ENGINE LIGHT ON"/>
    <d v="2019-11-25T00:00:00"/>
    <n v="63"/>
  </r>
  <r>
    <n v="1820"/>
    <x v="1"/>
    <s v="CB RADIO NOT WORKING"/>
    <d v="2020-02-14T00:00:00"/>
    <n v="-18"/>
  </r>
  <r>
    <n v="1820"/>
    <x v="3"/>
    <s v="ONE VISOR LIGHT OUT"/>
    <d v="2020-02-24T00:00:00"/>
    <n v="-28"/>
  </r>
  <r>
    <n v="1822"/>
    <x v="1"/>
    <s v="HD A SERVICE DUE IN JANUARY 2020"/>
    <d v="2020-01-10T00:00:00"/>
    <n v="17"/>
  </r>
  <r>
    <n v="1830"/>
    <x v="21"/>
    <s v="REAR AXLE TEMPERATURE SENSOR NOT WORKING"/>
    <d v="2019-12-27T00:00:00"/>
    <n v="31"/>
  </r>
  <r>
    <n v="1823"/>
    <x v="1"/>
    <s v="ODOMETER NOT WORKING"/>
    <d v="2020-01-27T00:00:00"/>
    <n v="0"/>
  </r>
  <r>
    <n v="1823"/>
    <x v="14"/>
    <s v="CHECK ENGINE LIGHT ON"/>
    <d v="2020-02-06T00:00:00"/>
    <n v="-10"/>
  </r>
  <r>
    <n v="1824"/>
    <x v="5"/>
    <s v="ESBAR CAB HEATER NO WORKING - DISPLAY READS ERROR"/>
    <d v="2020-01-17T00:00:00"/>
    <n v="10"/>
  </r>
  <r>
    <n v="1824"/>
    <x v="1"/>
    <s v="HOOD CABLE BROKEN ON LEFT SIDE - RIGHT SIDE MOUNT DAMAGED"/>
    <d v="2020-02-13T00:00:00"/>
    <n v="-17"/>
  </r>
  <r>
    <n v="1824"/>
    <x v="4"/>
    <s v="UPPER DOOR HOLD BACK ON DRIVERS SIDE IS BROKEN"/>
    <d v="2020-02-21T00:00:00"/>
    <n v="-25"/>
  </r>
  <r>
    <n v="1824"/>
    <x v="3"/>
    <s v="BREATHER LIGHT OUT ON LEFT SIDE"/>
    <d v="2020-02-25T00:00:00"/>
    <n v="-29"/>
  </r>
  <r>
    <n v="1824"/>
    <x v="20"/>
    <s v="YELLOW POWER CORD NOT SUPPLYING POWER TO TRAILER INTERIOR LIGHTS - I BELIEVE THE WIRE AT THE 10 OCLOCK POSITION SHOULD BE AT THE 8 OCLOCK POSITION"/>
    <d v="2020-02-25T00:00:00"/>
    <n v="-29"/>
  </r>
  <r>
    <n v="1824"/>
    <x v="20"/>
    <s v="THERE ARE MULTIPLE PINS WITH CONSTANT POWER IN YELLOW CORD - THERE SHOULD BE NONE IN THIS CORD"/>
    <d v="2020-02-25T00:00:00"/>
    <m/>
  </r>
  <r>
    <n v="1824"/>
    <x v="1"/>
    <s v="THERE ARE MULTIPLE CORRODED WIRES THAT LEAD TO THE RECEPTICLE ENDS (ON THE TRACTOR SIDE) FOR THE TRAILER SUPPLY ELECTRICAL CORDS."/>
    <d v="2020-02-25T00:00:00"/>
    <m/>
  </r>
  <r>
    <n v="1824"/>
    <x v="20"/>
    <s v="YELLOW RECEPTICAL END ON TRACTOR SIDE IS CRACKED"/>
    <d v="2020-02-25T00:00:00"/>
    <m/>
  </r>
  <r>
    <n v="1825"/>
    <x v="4"/>
    <s v="UPPER DOOR HOLD BACK ON DRIVERS SIDE IS BROKEN"/>
    <d v="2020-02-21T00:00:00"/>
    <n v="-25"/>
  </r>
  <r>
    <n v="1825"/>
    <x v="5"/>
    <s v="ESBAR ENGINE HEATER FAILED TO RUN"/>
    <d v="2020-02-21T00:00:00"/>
    <n v="-25"/>
  </r>
  <r>
    <n v="1825"/>
    <x v="23"/>
    <s v="TRUCK HAS COOLANT LEAK FROM TOP OF RAD HOSE"/>
    <d v="2020-02-24T00:00:00"/>
    <n v="-28"/>
  </r>
  <r>
    <n v="1825"/>
    <x v="5"/>
    <s v="TRUCK LEAKING COOLANT FROM ESBAR ENGINE HEATER"/>
    <d v="2020-02-24T00:00:00"/>
    <n v="-28"/>
  </r>
  <r>
    <n v="1830"/>
    <x v="0"/>
    <s v="PLEASE CHECK REAR BRAKES - DRIVER REPORTED BRAKE SMELL ON REGULAR APPLICATION"/>
    <d v="2019-12-30T00:00:00"/>
    <n v="28"/>
  </r>
  <r>
    <n v="1830"/>
    <x v="0"/>
    <s v="LEFT REAR DRIVE AXLE BRAKES STUCK ON - CREATING FIRE IN ROTOR "/>
    <d v="2020-01-13T00:00:00"/>
    <n v="14"/>
  </r>
  <r>
    <n v="1826"/>
    <x v="1"/>
    <s v="HD A SERVICE DUE IN JANUARY 2020"/>
    <d v="2020-01-10T00:00:00"/>
    <n v="17"/>
  </r>
  <r>
    <n v="1826"/>
    <x v="6"/>
    <s v="DEF WARNING LIGHT ON"/>
    <d v="2020-02-12T00:00:00"/>
    <n v="-16"/>
  </r>
  <r>
    <n v="1826"/>
    <x v="14"/>
    <s v="CHECK ENGINE LIGHT ON"/>
    <d v="2020-02-12T00:00:00"/>
    <n v="-16"/>
  </r>
  <r>
    <n v="1830"/>
    <x v="4"/>
    <s v="DRIVER'S SIDE HALF FENDER BRACKET NEEDS REPLACED"/>
    <d v="2020-01-15T00:00:00"/>
    <n v="12"/>
  </r>
  <r>
    <n v="1826"/>
    <x v="4"/>
    <s v="HOOD CABLE BROKEN"/>
    <d v="2020-02-14T00:00:00"/>
    <n v="-18"/>
  </r>
  <r>
    <n v="1830"/>
    <x v="15"/>
    <s v="RED GLAD HAND HAS AIR LEAK"/>
    <d v="2020-01-30T00:00:00"/>
    <n v="-3"/>
  </r>
  <r>
    <n v="1830"/>
    <x v="5"/>
    <s v="ESBAR ENGINE HEATER AND CAB HEATER NOT WORKING"/>
    <d v="2020-01-30T00:00:00"/>
    <n v="-3"/>
  </r>
  <r>
    <n v="1827"/>
    <x v="1"/>
    <s v="HD B SERVICE DUE IN JANUARY 2020"/>
    <d v="2020-01-10T00:00:00"/>
    <n v="17"/>
  </r>
  <r>
    <n v="1828"/>
    <x v="3"/>
    <s v="RIGHT SIDE MIRROR TURN SIGNAL HAS SEVERAL DIODES OUT ON THE AMBER SIDE"/>
    <d v="2020-01-27T00:00:00"/>
    <n v="0"/>
  </r>
  <r>
    <n v="1828"/>
    <x v="5"/>
    <s v="ESBAR CAB HEATER NOT WORKNG"/>
    <d v="2020-02-14T00:00:00"/>
    <n v="-18"/>
  </r>
  <r>
    <n v="1828"/>
    <x v="1"/>
    <s v="DRIVER'S SIDE FUEL TANK LEAKING FROM FITTINGS"/>
    <d v="2020-02-21T00:00:00"/>
    <n v="-25"/>
  </r>
  <r>
    <n v="1829"/>
    <x v="1"/>
    <s v="DRIVERS SIDE SEAT HAS NO HEAT"/>
    <d v="2019-12-19T00:00:00"/>
    <n v="39"/>
  </r>
  <r>
    <n v="1830"/>
    <x v="3"/>
    <s v="DRIVER SIDE LOW BEAM LIGHT OUT "/>
    <d v="2020-02-20T00:00:00"/>
    <n v="-24"/>
  </r>
  <r>
    <n v="1642"/>
    <x v="17"/>
    <s v="GEAR SHIFTER DIFFICULT TO MOVE INTO GEAR"/>
    <d v="2020-02-27T00:00:00"/>
    <n v="-31"/>
  </r>
  <r>
    <n v="1642"/>
    <x v="13"/>
    <s v="TRUCK PULLS TO LEFT WHEN BRAKING"/>
    <d v="2020-02-27T00:00:00"/>
    <n v="-31"/>
  </r>
  <r>
    <n v="1642"/>
    <x v="0"/>
    <s v="REAR DRIVERS SIDE BRAKE LIGHT NOT FUNCTIONING WITH LIGHTS"/>
    <d v="2020-02-27T00:00:00"/>
    <n v="-31"/>
  </r>
  <r>
    <m/>
    <x v="8"/>
    <m/>
    <m/>
    <m/>
  </r>
  <r>
    <m/>
    <x v="8"/>
    <m/>
    <m/>
    <s v=" "/>
  </r>
  <r>
    <n v="1830"/>
    <x v="1"/>
    <s v="CLUTCH NOT DIS-ENGAUGING CRUISE CONTROL"/>
    <d v="2018-11-29T00:00:00"/>
    <n v="424"/>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r>
    <m/>
    <x v="8"/>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0"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chartFormat="1">
  <location ref="A3:B13" firstHeaderRow="1" firstDataRow="1" firstDataCol="1"/>
  <pivotFields count="5">
    <pivotField showAll="0"/>
    <pivotField axis="axisRow" showAll="0" sortType="ascending">
      <items count="33">
        <item x="0"/>
        <item x="25"/>
        <item x="21"/>
        <item x="6"/>
        <item x="3"/>
        <item x="11"/>
        <item x="1"/>
        <item x="19"/>
        <item x="2"/>
        <item h="1" x="8"/>
        <item h="1" x="4"/>
        <item h="1" x="20"/>
        <item h="1" x="29"/>
        <item h="1" x="14"/>
        <item h="1" x="15"/>
        <item h="1" x="12"/>
        <item h="1" x="23"/>
        <item h="1" x="16"/>
        <item h="1" x="5"/>
        <item h="1" x="10"/>
        <item h="1" x="17"/>
        <item h="1" x="13"/>
        <item h="1" x="22"/>
        <item h="1" x="27"/>
        <item h="1" x="18"/>
        <item h="1" x="7"/>
        <item h="1" m="1" x="31"/>
        <item h="1" x="9"/>
        <item h="1" x="24"/>
        <item h="1" x="28"/>
        <item h="1" x="26"/>
        <item h="1" x="30"/>
        <item t="default"/>
      </items>
      <autoSortScope>
        <pivotArea dataOnly="0" outline="0" fieldPosition="0">
          <references count="1">
            <reference field="4294967294" count="1" selected="0">
              <x v="0"/>
            </reference>
          </references>
        </pivotArea>
      </autoSortScope>
    </pivotField>
    <pivotField showAll="0"/>
    <pivotField showAll="0"/>
    <pivotField dataField="1" showAll="0" defaultSubtotal="0"/>
  </pivotFields>
  <rowFields count="1">
    <field x="1"/>
  </rowFields>
  <rowItems count="10">
    <i>
      <x v="3"/>
    </i>
    <i>
      <x v="7"/>
    </i>
    <i>
      <x v="1"/>
    </i>
    <i>
      <x v="6"/>
    </i>
    <i>
      <x v="4"/>
    </i>
    <i>
      <x v="8"/>
    </i>
    <i>
      <x v="2"/>
    </i>
    <i>
      <x v="5"/>
    </i>
    <i>
      <x/>
    </i>
    <i t="grand">
      <x/>
    </i>
  </rowItems>
  <colItems count="1">
    <i/>
  </colItems>
  <dataFields count="1">
    <dataField name="Average of LENGTH OF TIME IT'S BEEN REPORTED" fld="4" subtotal="average" baseField="1" baseItem="5"/>
  </dataFields>
  <formats count="5">
    <format dxfId="4">
      <pivotArea collapsedLevelsAreSubtotals="1" fieldPosition="0">
        <references count="1">
          <reference field="1" count="0"/>
        </references>
      </pivotArea>
    </format>
    <format dxfId="3">
      <pivotArea type="all" dataOnly="0" outline="0" fieldPosition="0"/>
    </format>
    <format dxfId="2">
      <pivotArea type="all" dataOnly="0" outline="0" fieldPosition="0"/>
    </format>
    <format dxfId="1">
      <pivotArea collapsedLevelsAreSubtotals="1" fieldPosition="0">
        <references count="1">
          <reference field="1" count="0"/>
        </references>
      </pivotArea>
    </format>
    <format dxfId="0">
      <pivotArea dataOnly="0" labelOnly="1" fieldPosition="0">
        <references count="1">
          <reference field="1" count="0"/>
        </references>
      </pivotArea>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hyperlink" Target="mailto:eliterepair@live.com" TargetMode="External"/><Relationship Id="rId3" Type="http://schemas.openxmlformats.org/officeDocument/2006/relationships/hyperlink" Target="mailto:dkiss@cervusequipment.com" TargetMode="External"/><Relationship Id="rId7" Type="http://schemas.openxmlformats.org/officeDocument/2006/relationships/hyperlink" Target="mailto:camservice@kwtoronto.com" TargetMode="External"/><Relationship Id="rId12" Type="http://schemas.openxmlformats.org/officeDocument/2006/relationships/drawing" Target="../drawings/drawing4.xml"/><Relationship Id="rId2" Type="http://schemas.openxmlformats.org/officeDocument/2006/relationships/hyperlink" Target="mailto:melliott@cervusequipment.com" TargetMode="External"/><Relationship Id="rId1" Type="http://schemas.openxmlformats.org/officeDocument/2006/relationships/hyperlink" Target="mailto:CLittle@cervusequipment.com" TargetMode="External"/><Relationship Id="rId6" Type="http://schemas.openxmlformats.org/officeDocument/2006/relationships/hyperlink" Target="mailto:Abulmer@cervusequipment.com" TargetMode="External"/><Relationship Id="rId11" Type="http://schemas.openxmlformats.org/officeDocument/2006/relationships/printerSettings" Target="../printerSettings/printerSettings4.bin"/><Relationship Id="rId5" Type="http://schemas.openxmlformats.org/officeDocument/2006/relationships/hyperlink" Target="mailto:kchabot@cervusequipment.com" TargetMode="External"/><Relationship Id="rId10" Type="http://schemas.openxmlformats.org/officeDocument/2006/relationships/hyperlink" Target="mailto:mThibodeau@cervusequipment.com" TargetMode="External"/><Relationship Id="rId4" Type="http://schemas.openxmlformats.org/officeDocument/2006/relationships/hyperlink" Target="mailto:dlavin@cervusequipment.com" TargetMode="External"/><Relationship Id="rId9" Type="http://schemas.openxmlformats.org/officeDocument/2006/relationships/hyperlink" Target="mailto:JDasilva@cervusequipment.com" TargetMode="Externa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tabColor indexed="42"/>
    <pageSetUpPr fitToPage="1"/>
  </sheetPr>
  <dimension ref="A1:MG375"/>
  <sheetViews>
    <sheetView showGridLines="0" tabSelected="1" showWhiteSpace="0" zoomScale="55" zoomScaleNormal="55" zoomScalePageLayoutView="77" workbookViewId="0">
      <selection activeCell="G365" sqref="G365"/>
    </sheetView>
  </sheetViews>
  <sheetFormatPr defaultColWidth="9.1796875" defaultRowHeight="12.5" x14ac:dyDescent="0.25"/>
  <cols>
    <col min="1" max="1" width="3.453125" style="2" customWidth="1"/>
    <col min="2" max="2" width="14.7265625" style="2" customWidth="1"/>
    <col min="3" max="3" width="21.453125" style="3" customWidth="1"/>
    <col min="4" max="4" width="92.81640625" style="3" bestFit="1" customWidth="1"/>
    <col min="5" max="6" width="15.54296875" style="3" customWidth="1"/>
    <col min="7" max="7" width="23.7265625" style="3" customWidth="1"/>
    <col min="8" max="8" width="17.7265625" style="3" customWidth="1"/>
    <col min="9" max="9" width="24.26953125" style="3" customWidth="1"/>
    <col min="10" max="10" width="12" style="3" customWidth="1"/>
    <col min="11" max="11" width="13.26953125" style="3" customWidth="1"/>
    <col min="12" max="13" width="18.26953125" style="3" customWidth="1"/>
    <col min="14" max="14" width="45.1796875" style="3" bestFit="1" customWidth="1"/>
    <col min="15" max="15" width="101.1796875" style="2" bestFit="1" customWidth="1"/>
    <col min="16" max="16" width="9.1796875" style="17"/>
    <col min="17" max="19" width="9.1796875" style="17" customWidth="1"/>
    <col min="20" max="345" width="9.1796875" style="17"/>
    <col min="346" max="16384" width="9.1796875" style="2"/>
  </cols>
  <sheetData>
    <row r="1" spans="1:345" s="1" customFormat="1" ht="18" customHeight="1" x14ac:dyDescent="0.25">
      <c r="A1" s="7"/>
      <c r="B1" s="8"/>
      <c r="C1" s="9"/>
      <c r="D1" s="9"/>
      <c r="E1" s="9"/>
      <c r="F1" s="9"/>
      <c r="G1" s="9"/>
      <c r="H1" s="9"/>
      <c r="I1" s="9"/>
      <c r="J1" s="9"/>
      <c r="K1" s="9"/>
      <c r="L1" s="9"/>
      <c r="M1" s="9"/>
      <c r="N1" s="9"/>
      <c r="O1" s="8"/>
      <c r="P1" s="8"/>
      <c r="Q1" s="8"/>
      <c r="R1" s="8"/>
      <c r="S1" s="8"/>
      <c r="T1" s="8"/>
      <c r="U1" s="8"/>
      <c r="V1" s="8"/>
      <c r="W1" s="8"/>
      <c r="X1" s="8"/>
      <c r="Y1" s="8"/>
      <c r="Z1" s="8"/>
      <c r="AA1" s="8"/>
      <c r="AB1" s="8"/>
      <c r="AC1" s="8"/>
      <c r="AD1" s="8"/>
      <c r="AE1" s="8"/>
      <c r="AF1" s="8"/>
      <c r="AG1" s="8"/>
      <c r="AH1" s="8"/>
      <c r="AI1" s="8"/>
      <c r="AJ1" s="8"/>
      <c r="AK1" s="8"/>
      <c r="AL1" s="8"/>
      <c r="AM1" s="8"/>
      <c r="AN1" s="8"/>
      <c r="AO1" s="8"/>
      <c r="AP1" s="8"/>
      <c r="AQ1" s="8"/>
      <c r="AR1" s="8"/>
      <c r="AS1" s="8"/>
      <c r="AT1" s="8"/>
      <c r="AU1" s="8"/>
      <c r="AV1" s="8"/>
      <c r="AW1" s="8"/>
      <c r="AX1" s="8"/>
      <c r="AY1" s="8"/>
      <c r="AZ1" s="8"/>
      <c r="BA1" s="8"/>
      <c r="BB1" s="8"/>
      <c r="BC1" s="8"/>
      <c r="BD1" s="8"/>
      <c r="BE1" s="8"/>
      <c r="BF1" s="8"/>
      <c r="BG1" s="8"/>
      <c r="BH1" s="8"/>
      <c r="BI1" s="8"/>
      <c r="BJ1" s="8"/>
      <c r="BK1" s="8"/>
      <c r="BL1" s="8"/>
      <c r="BM1" s="8"/>
      <c r="BN1" s="8"/>
      <c r="BO1" s="8"/>
      <c r="BP1" s="8"/>
      <c r="BQ1" s="8"/>
      <c r="BR1" s="8"/>
      <c r="BS1" s="8"/>
      <c r="BT1" s="8"/>
      <c r="BU1" s="8"/>
      <c r="BV1" s="8"/>
      <c r="BW1" s="8"/>
      <c r="BX1" s="8"/>
      <c r="BY1" s="8"/>
      <c r="BZ1" s="8"/>
      <c r="CA1" s="8"/>
      <c r="CB1" s="8"/>
      <c r="CC1" s="8"/>
      <c r="CD1" s="8"/>
      <c r="CE1" s="8"/>
      <c r="CF1" s="8"/>
      <c r="CG1" s="8"/>
      <c r="CH1" s="8"/>
      <c r="CI1" s="8"/>
      <c r="CJ1" s="8"/>
      <c r="CK1" s="8"/>
      <c r="CL1" s="8"/>
      <c r="CM1" s="8"/>
      <c r="CN1" s="8"/>
      <c r="CO1" s="8"/>
      <c r="CP1" s="8"/>
      <c r="CQ1" s="8"/>
      <c r="CR1" s="8"/>
      <c r="CS1" s="8"/>
      <c r="CT1" s="8"/>
      <c r="CU1" s="8"/>
      <c r="CV1" s="8"/>
      <c r="CW1" s="8"/>
      <c r="CX1" s="8"/>
      <c r="CY1" s="8"/>
      <c r="CZ1" s="8"/>
      <c r="DA1" s="8"/>
      <c r="DB1" s="8"/>
      <c r="DC1" s="8"/>
      <c r="DD1" s="8"/>
      <c r="DE1" s="8"/>
      <c r="DF1" s="8"/>
      <c r="DG1" s="8"/>
      <c r="DH1" s="8"/>
      <c r="DI1" s="8"/>
      <c r="DJ1" s="8"/>
      <c r="DK1" s="8"/>
      <c r="DL1" s="8"/>
      <c r="DM1" s="8"/>
      <c r="DN1" s="8"/>
      <c r="DO1" s="8"/>
      <c r="DP1" s="8"/>
      <c r="DQ1" s="8"/>
      <c r="DR1" s="8"/>
      <c r="DS1" s="8"/>
      <c r="DT1" s="8"/>
      <c r="DU1" s="8"/>
      <c r="DV1" s="8"/>
      <c r="DW1" s="8"/>
      <c r="DX1" s="8"/>
      <c r="DY1" s="8"/>
      <c r="DZ1" s="8"/>
      <c r="EA1" s="8"/>
      <c r="EB1" s="8"/>
      <c r="EC1" s="8"/>
      <c r="ED1" s="8"/>
      <c r="EE1" s="8"/>
      <c r="EF1" s="8"/>
      <c r="EG1" s="8"/>
      <c r="EH1" s="8"/>
      <c r="EI1" s="8"/>
      <c r="EJ1" s="8"/>
      <c r="EK1" s="8"/>
      <c r="EL1" s="8"/>
      <c r="EM1" s="8"/>
      <c r="EN1" s="8"/>
      <c r="EO1" s="8"/>
      <c r="EP1" s="8"/>
      <c r="EQ1" s="8"/>
      <c r="ER1" s="8"/>
      <c r="ES1" s="8"/>
      <c r="ET1" s="8"/>
      <c r="EU1" s="8"/>
      <c r="EV1" s="8"/>
      <c r="EW1" s="8"/>
      <c r="EX1" s="8"/>
      <c r="EY1" s="8"/>
      <c r="EZ1" s="8"/>
      <c r="FA1" s="8"/>
      <c r="FB1" s="8"/>
      <c r="FC1" s="8"/>
      <c r="FD1" s="8"/>
      <c r="FE1" s="8"/>
      <c r="FF1" s="8"/>
      <c r="FG1" s="8"/>
      <c r="FH1" s="8"/>
      <c r="FI1" s="8"/>
      <c r="FJ1" s="8"/>
      <c r="FK1" s="8"/>
      <c r="FL1" s="8"/>
      <c r="FM1" s="8"/>
      <c r="FN1" s="8"/>
      <c r="FO1" s="8"/>
      <c r="FP1" s="8"/>
      <c r="FQ1" s="8"/>
      <c r="FR1" s="8"/>
      <c r="FS1" s="8"/>
      <c r="FT1" s="8"/>
      <c r="FU1" s="8"/>
      <c r="FV1" s="8"/>
      <c r="FW1" s="8"/>
      <c r="FX1" s="8"/>
      <c r="FY1" s="8"/>
      <c r="FZ1" s="8"/>
      <c r="GA1" s="8"/>
      <c r="GB1" s="8"/>
      <c r="GC1" s="8"/>
      <c r="GD1" s="8"/>
      <c r="GE1" s="8"/>
      <c r="GF1" s="8"/>
      <c r="GG1" s="8"/>
      <c r="GH1" s="8"/>
      <c r="GI1" s="8"/>
      <c r="GJ1" s="8"/>
      <c r="GK1" s="8"/>
      <c r="GL1" s="8"/>
      <c r="GM1" s="8"/>
      <c r="GN1" s="8"/>
      <c r="GO1" s="8"/>
      <c r="GP1" s="8"/>
      <c r="GQ1" s="8"/>
      <c r="GR1" s="8"/>
      <c r="GS1" s="8"/>
      <c r="GT1" s="8"/>
      <c r="GU1" s="8"/>
      <c r="GV1" s="8"/>
      <c r="GW1" s="8"/>
      <c r="GX1" s="8"/>
      <c r="GY1" s="8"/>
      <c r="GZ1" s="8"/>
      <c r="HA1" s="8"/>
      <c r="HB1" s="8"/>
      <c r="HC1" s="8"/>
      <c r="HD1" s="8"/>
      <c r="HE1" s="8"/>
      <c r="HF1" s="8"/>
      <c r="HG1" s="8"/>
      <c r="HH1" s="8"/>
      <c r="HI1" s="8"/>
      <c r="HJ1" s="8"/>
      <c r="HK1" s="8"/>
      <c r="HL1" s="8"/>
      <c r="HM1" s="8"/>
      <c r="HN1" s="8"/>
      <c r="HO1" s="8"/>
      <c r="HP1" s="8"/>
      <c r="HQ1" s="8"/>
      <c r="HR1" s="8"/>
      <c r="HS1" s="8"/>
      <c r="HT1" s="8"/>
      <c r="HU1" s="8"/>
      <c r="HV1" s="8"/>
      <c r="HW1" s="8"/>
      <c r="HX1" s="8"/>
      <c r="HY1" s="8"/>
      <c r="HZ1" s="8"/>
      <c r="IA1" s="8"/>
      <c r="IB1" s="8"/>
      <c r="IC1" s="8"/>
      <c r="ID1" s="8"/>
      <c r="IE1" s="8"/>
      <c r="IF1" s="8"/>
      <c r="IG1" s="8"/>
      <c r="IH1" s="8"/>
      <c r="II1" s="8"/>
      <c r="IJ1" s="8"/>
      <c r="IK1" s="8"/>
      <c r="IL1" s="8"/>
      <c r="IM1" s="8"/>
      <c r="IN1" s="8"/>
      <c r="IO1" s="8"/>
      <c r="IP1" s="8"/>
      <c r="IQ1" s="8"/>
      <c r="IR1" s="8"/>
      <c r="IS1" s="8"/>
      <c r="IT1" s="8"/>
      <c r="IU1" s="8"/>
      <c r="IV1" s="8"/>
      <c r="IW1" s="8"/>
      <c r="IX1" s="8"/>
      <c r="IY1" s="8"/>
      <c r="IZ1" s="8"/>
      <c r="JA1" s="8"/>
      <c r="JB1" s="8"/>
      <c r="JC1" s="8"/>
      <c r="JD1" s="8"/>
      <c r="JE1" s="8"/>
      <c r="JF1" s="8"/>
      <c r="JG1" s="8"/>
      <c r="JH1" s="8"/>
      <c r="JI1" s="8"/>
      <c r="JJ1" s="8"/>
      <c r="JK1" s="8"/>
      <c r="JL1" s="8"/>
      <c r="JM1" s="8"/>
      <c r="JN1" s="8"/>
      <c r="JO1" s="8"/>
      <c r="JP1" s="8"/>
      <c r="JQ1" s="8"/>
      <c r="JR1" s="8"/>
      <c r="JS1" s="8"/>
      <c r="JT1" s="8"/>
      <c r="JU1" s="8"/>
      <c r="JV1" s="8"/>
      <c r="JW1" s="8"/>
      <c r="JX1" s="8"/>
      <c r="JY1" s="8"/>
      <c r="JZ1" s="8"/>
      <c r="KA1" s="8"/>
      <c r="KB1" s="8"/>
      <c r="KC1" s="8"/>
      <c r="KD1" s="8"/>
      <c r="KE1" s="8"/>
      <c r="KF1" s="8"/>
      <c r="KG1" s="8"/>
      <c r="KH1" s="8"/>
      <c r="KI1" s="8"/>
      <c r="KJ1" s="8"/>
      <c r="KK1" s="8"/>
      <c r="KL1" s="8"/>
      <c r="KM1" s="8"/>
      <c r="KN1" s="8"/>
      <c r="KO1" s="8"/>
      <c r="KP1" s="8"/>
      <c r="KQ1" s="8"/>
      <c r="KR1" s="8"/>
      <c r="KS1" s="8"/>
      <c r="KT1" s="8"/>
      <c r="KU1" s="8"/>
      <c r="KV1" s="8"/>
      <c r="KW1" s="8"/>
      <c r="KX1" s="8"/>
      <c r="KY1" s="8"/>
      <c r="KZ1" s="8"/>
      <c r="LA1" s="8"/>
      <c r="LB1" s="8"/>
      <c r="LC1" s="8"/>
      <c r="LD1" s="8"/>
      <c r="LE1" s="8"/>
      <c r="LF1" s="8"/>
      <c r="LG1" s="8"/>
      <c r="LH1" s="8"/>
      <c r="LI1" s="8"/>
      <c r="LJ1" s="8"/>
      <c r="LK1" s="8"/>
      <c r="LL1" s="8"/>
      <c r="LM1" s="8"/>
      <c r="LN1" s="8"/>
      <c r="LO1" s="8"/>
      <c r="LP1" s="8"/>
      <c r="LQ1" s="8"/>
      <c r="LR1" s="8"/>
      <c r="LS1" s="8"/>
      <c r="LT1" s="8"/>
      <c r="LU1" s="8"/>
      <c r="LV1" s="8"/>
      <c r="LW1" s="8"/>
      <c r="LX1" s="8"/>
      <c r="LY1" s="8"/>
      <c r="LZ1" s="8"/>
      <c r="MA1" s="8"/>
      <c r="MB1" s="8"/>
      <c r="MC1" s="8"/>
      <c r="MD1" s="8"/>
      <c r="ME1" s="8"/>
      <c r="MF1" s="8"/>
      <c r="MG1" s="8"/>
    </row>
    <row r="2" spans="1:345" s="1" customFormat="1" ht="16.5" customHeight="1" x14ac:dyDescent="0.25">
      <c r="A2" s="7"/>
      <c r="B2" s="127" t="s">
        <v>69</v>
      </c>
      <c r="C2" s="127"/>
      <c r="D2" s="128"/>
      <c r="E2" s="8"/>
      <c r="F2" s="8"/>
      <c r="G2" s="60"/>
      <c r="H2" s="8"/>
      <c r="I2" s="8"/>
      <c r="J2" s="8"/>
      <c r="K2" s="8"/>
      <c r="L2" s="8"/>
      <c r="M2" s="8"/>
      <c r="N2" s="8"/>
      <c r="O2" s="8"/>
      <c r="P2" s="8"/>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c r="CK2" s="8"/>
      <c r="CL2" s="8"/>
      <c r="CM2" s="8"/>
      <c r="CN2" s="8"/>
      <c r="CO2" s="8"/>
      <c r="CP2" s="8"/>
      <c r="CQ2" s="8"/>
      <c r="CR2" s="8"/>
      <c r="CS2" s="8"/>
      <c r="CT2" s="8"/>
      <c r="CU2" s="8"/>
      <c r="CV2" s="8"/>
      <c r="CW2" s="8"/>
      <c r="CX2" s="8"/>
      <c r="CY2" s="8"/>
      <c r="CZ2" s="8"/>
      <c r="DA2" s="8"/>
      <c r="DB2" s="8"/>
      <c r="DC2" s="8"/>
      <c r="DD2" s="8"/>
      <c r="DE2" s="8"/>
      <c r="DF2" s="8"/>
      <c r="DG2" s="8"/>
      <c r="DH2" s="8"/>
      <c r="DI2" s="8"/>
      <c r="DJ2" s="8"/>
      <c r="DK2" s="8"/>
      <c r="DL2" s="8"/>
      <c r="DM2" s="8"/>
      <c r="DN2" s="8"/>
      <c r="DO2" s="8"/>
      <c r="DP2" s="8"/>
      <c r="DQ2" s="8"/>
      <c r="DR2" s="8"/>
      <c r="DS2" s="8"/>
      <c r="DT2" s="8"/>
      <c r="DU2" s="8"/>
      <c r="DV2" s="8"/>
      <c r="DW2" s="8"/>
      <c r="DX2" s="8"/>
      <c r="DY2" s="8"/>
      <c r="DZ2" s="8"/>
      <c r="EA2" s="8"/>
      <c r="EB2" s="8"/>
      <c r="EC2" s="8"/>
      <c r="ED2" s="8"/>
      <c r="EE2" s="8"/>
      <c r="EF2" s="8"/>
      <c r="EG2" s="8"/>
      <c r="EH2" s="8"/>
      <c r="EI2" s="8"/>
      <c r="EJ2" s="8"/>
      <c r="EK2" s="8"/>
      <c r="EL2" s="8"/>
      <c r="EM2" s="8"/>
      <c r="EN2" s="8"/>
      <c r="EO2" s="8"/>
      <c r="EP2" s="8"/>
      <c r="EQ2" s="8"/>
      <c r="ER2" s="8"/>
      <c r="ES2" s="8"/>
      <c r="ET2" s="8"/>
      <c r="EU2" s="8"/>
      <c r="EV2" s="8"/>
      <c r="EW2" s="8"/>
      <c r="EX2" s="8"/>
      <c r="EY2" s="8"/>
      <c r="EZ2" s="8"/>
      <c r="FA2" s="8"/>
      <c r="FB2" s="8"/>
      <c r="FC2" s="8"/>
      <c r="FD2" s="8"/>
      <c r="FE2" s="8"/>
      <c r="FF2" s="8"/>
      <c r="FG2" s="8"/>
      <c r="FH2" s="8"/>
      <c r="FI2" s="8"/>
      <c r="FJ2" s="8"/>
      <c r="FK2" s="8"/>
      <c r="FL2" s="8"/>
      <c r="FM2" s="8"/>
      <c r="FN2" s="8"/>
      <c r="FO2" s="8"/>
      <c r="FP2" s="8"/>
      <c r="FQ2" s="8"/>
      <c r="FR2" s="8"/>
      <c r="FS2" s="8"/>
      <c r="FT2" s="8"/>
      <c r="FU2" s="8"/>
      <c r="FV2" s="8"/>
      <c r="FW2" s="8"/>
      <c r="FX2" s="8"/>
      <c r="FY2" s="8"/>
      <c r="FZ2" s="8"/>
      <c r="GA2" s="8"/>
      <c r="GB2" s="8"/>
      <c r="GC2" s="8"/>
      <c r="GD2" s="8"/>
      <c r="GE2" s="8"/>
      <c r="GF2" s="8"/>
      <c r="GG2" s="8"/>
      <c r="GH2" s="8"/>
      <c r="GI2" s="8"/>
      <c r="GJ2" s="8"/>
      <c r="GK2" s="8"/>
      <c r="GL2" s="8"/>
      <c r="GM2" s="8"/>
      <c r="GN2" s="8"/>
      <c r="GO2" s="8"/>
      <c r="GP2" s="8"/>
      <c r="GQ2" s="8"/>
      <c r="GR2" s="8"/>
      <c r="GS2" s="8"/>
      <c r="GT2" s="8"/>
      <c r="GU2" s="8"/>
      <c r="GV2" s="8"/>
      <c r="GW2" s="8"/>
      <c r="GX2" s="8"/>
      <c r="GY2" s="8"/>
      <c r="GZ2" s="8"/>
      <c r="HA2" s="8"/>
      <c r="HB2" s="8"/>
      <c r="HC2" s="8"/>
      <c r="HD2" s="8"/>
      <c r="HE2" s="8"/>
      <c r="HF2" s="8"/>
      <c r="HG2" s="8"/>
      <c r="HH2" s="8"/>
      <c r="HI2" s="8"/>
      <c r="HJ2" s="8"/>
      <c r="HK2" s="8"/>
      <c r="HL2" s="8"/>
      <c r="HM2" s="8"/>
      <c r="HN2" s="8"/>
      <c r="HO2" s="8"/>
      <c r="HP2" s="8"/>
      <c r="HQ2" s="8"/>
      <c r="HR2" s="8"/>
      <c r="HS2" s="8"/>
      <c r="HT2" s="8"/>
      <c r="HU2" s="8"/>
      <c r="HV2" s="8"/>
      <c r="HW2" s="8"/>
      <c r="HX2" s="8"/>
      <c r="HY2" s="8"/>
      <c r="HZ2" s="8"/>
      <c r="IA2" s="8"/>
      <c r="IB2" s="8"/>
      <c r="IC2" s="8"/>
      <c r="ID2" s="8"/>
      <c r="IE2" s="8"/>
      <c r="IF2" s="8"/>
      <c r="IG2" s="8"/>
      <c r="IH2" s="8"/>
      <c r="II2" s="8"/>
      <c r="IJ2" s="8"/>
      <c r="IK2" s="8"/>
      <c r="IL2" s="8"/>
      <c r="IM2" s="8"/>
      <c r="IN2" s="8"/>
      <c r="IO2" s="8"/>
      <c r="IP2" s="8"/>
      <c r="IQ2" s="8"/>
      <c r="IR2" s="8"/>
      <c r="IS2" s="8"/>
      <c r="IT2" s="8"/>
      <c r="IU2" s="8"/>
      <c r="IV2" s="8"/>
      <c r="IW2" s="8"/>
      <c r="IX2" s="8"/>
      <c r="IY2" s="8"/>
      <c r="IZ2" s="8"/>
      <c r="JA2" s="8"/>
      <c r="JB2" s="8"/>
      <c r="JC2" s="8"/>
      <c r="JD2" s="8"/>
      <c r="JE2" s="8"/>
      <c r="JF2" s="8"/>
      <c r="JG2" s="8"/>
      <c r="JH2" s="8"/>
      <c r="JI2" s="8"/>
      <c r="JJ2" s="8"/>
      <c r="JK2" s="8"/>
      <c r="JL2" s="8"/>
      <c r="JM2" s="8"/>
      <c r="JN2" s="8"/>
      <c r="JO2" s="8"/>
      <c r="JP2" s="8"/>
      <c r="JQ2" s="8"/>
      <c r="JR2" s="8"/>
      <c r="JS2" s="8"/>
      <c r="JT2" s="8"/>
      <c r="JU2" s="8"/>
      <c r="JV2" s="8"/>
      <c r="JW2" s="8"/>
      <c r="JX2" s="8"/>
      <c r="JY2" s="8"/>
      <c r="JZ2" s="8"/>
      <c r="KA2" s="8"/>
      <c r="KB2" s="8"/>
      <c r="KC2" s="8"/>
      <c r="KD2" s="8"/>
      <c r="KE2" s="8"/>
      <c r="KF2" s="8"/>
      <c r="KG2" s="8"/>
      <c r="KH2" s="8"/>
      <c r="KI2" s="8"/>
      <c r="KJ2" s="8"/>
      <c r="KK2" s="8"/>
      <c r="KL2" s="8"/>
      <c r="KM2" s="8"/>
      <c r="KN2" s="8"/>
      <c r="KO2" s="8"/>
      <c r="KP2" s="8"/>
      <c r="KQ2" s="8"/>
      <c r="KR2" s="8"/>
      <c r="KS2" s="8"/>
      <c r="KT2" s="8"/>
      <c r="KU2" s="8"/>
      <c r="KV2" s="8"/>
      <c r="KW2" s="8"/>
      <c r="KX2" s="8"/>
      <c r="KY2" s="8"/>
      <c r="KZ2" s="8"/>
      <c r="LA2" s="8"/>
      <c r="LB2" s="8"/>
      <c r="LC2" s="8"/>
      <c r="LD2" s="8"/>
      <c r="LE2" s="8"/>
      <c r="LF2" s="8"/>
      <c r="LG2" s="8"/>
      <c r="LH2" s="8"/>
      <c r="LI2" s="8"/>
      <c r="LJ2" s="8"/>
      <c r="LK2" s="8"/>
      <c r="LL2" s="8"/>
      <c r="LM2" s="8"/>
      <c r="LN2" s="8"/>
      <c r="LO2" s="8"/>
      <c r="LP2" s="8"/>
      <c r="LQ2" s="8"/>
      <c r="LR2" s="8"/>
      <c r="LS2" s="8"/>
      <c r="LT2" s="8"/>
      <c r="LU2" s="8"/>
      <c r="LV2" s="8"/>
      <c r="LW2" s="8"/>
      <c r="LX2" s="8"/>
      <c r="LY2" s="8"/>
      <c r="LZ2" s="8"/>
      <c r="MA2" s="8"/>
      <c r="MB2" s="8"/>
      <c r="MC2" s="8"/>
      <c r="MD2" s="8"/>
      <c r="ME2" s="8"/>
      <c r="MF2" s="8"/>
      <c r="MG2" s="8"/>
    </row>
    <row r="3" spans="1:345" s="1" customFormat="1" ht="38.25" customHeight="1" x14ac:dyDescent="0.25">
      <c r="A3" s="7"/>
      <c r="B3" s="127"/>
      <c r="C3" s="127"/>
      <c r="D3" s="128"/>
      <c r="E3" s="10"/>
      <c r="F3" s="10"/>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c r="CK3" s="8"/>
      <c r="CL3" s="8"/>
      <c r="CM3" s="8"/>
      <c r="CN3" s="8"/>
      <c r="CO3" s="8"/>
      <c r="CP3" s="8"/>
      <c r="CQ3" s="8"/>
      <c r="CR3" s="8"/>
      <c r="CS3" s="8"/>
      <c r="CT3" s="8"/>
      <c r="CU3" s="8"/>
      <c r="CV3" s="8"/>
      <c r="CW3" s="8"/>
      <c r="CX3" s="8"/>
      <c r="CY3" s="8"/>
      <c r="CZ3" s="8"/>
      <c r="DA3" s="8"/>
      <c r="DB3" s="8"/>
      <c r="DC3" s="8"/>
      <c r="DD3" s="8"/>
      <c r="DE3" s="8"/>
      <c r="DF3" s="8"/>
      <c r="DG3" s="8"/>
      <c r="DH3" s="8"/>
      <c r="DI3" s="8"/>
      <c r="DJ3" s="8"/>
      <c r="DK3" s="8"/>
      <c r="DL3" s="8"/>
      <c r="DM3" s="8"/>
      <c r="DN3" s="8"/>
      <c r="DO3" s="8"/>
      <c r="DP3" s="8"/>
      <c r="DQ3" s="8"/>
      <c r="DR3" s="8"/>
      <c r="DS3" s="8"/>
      <c r="DT3" s="8"/>
      <c r="DU3" s="8"/>
      <c r="DV3" s="8"/>
      <c r="DW3" s="8"/>
      <c r="DX3" s="8"/>
      <c r="DY3" s="8"/>
      <c r="DZ3" s="8"/>
      <c r="EA3" s="8"/>
      <c r="EB3" s="8"/>
      <c r="EC3" s="8"/>
      <c r="ED3" s="8"/>
      <c r="EE3" s="8"/>
      <c r="EF3" s="8"/>
      <c r="EG3" s="8"/>
      <c r="EH3" s="8"/>
      <c r="EI3" s="8"/>
      <c r="EJ3" s="8"/>
      <c r="EK3" s="8"/>
      <c r="EL3" s="8"/>
      <c r="EM3" s="8"/>
      <c r="EN3" s="8"/>
      <c r="EO3" s="8"/>
      <c r="EP3" s="8"/>
      <c r="EQ3" s="8"/>
      <c r="ER3" s="8"/>
      <c r="ES3" s="8"/>
      <c r="ET3" s="8"/>
      <c r="EU3" s="8"/>
      <c r="EV3" s="8"/>
      <c r="EW3" s="8"/>
      <c r="EX3" s="8"/>
      <c r="EY3" s="8"/>
      <c r="EZ3" s="8"/>
      <c r="FA3" s="8"/>
      <c r="FB3" s="8"/>
      <c r="FC3" s="8"/>
      <c r="FD3" s="8"/>
      <c r="FE3" s="8"/>
      <c r="FF3" s="8"/>
      <c r="FG3" s="8"/>
      <c r="FH3" s="8"/>
      <c r="FI3" s="8"/>
      <c r="FJ3" s="8"/>
      <c r="FK3" s="8"/>
      <c r="FL3" s="8"/>
      <c r="FM3" s="8"/>
      <c r="FN3" s="8"/>
      <c r="FO3" s="8"/>
      <c r="FP3" s="8"/>
      <c r="FQ3" s="8"/>
      <c r="FR3" s="8"/>
      <c r="FS3" s="8"/>
      <c r="FT3" s="8"/>
      <c r="FU3" s="8"/>
      <c r="FV3" s="8"/>
      <c r="FW3" s="8"/>
      <c r="FX3" s="8"/>
      <c r="FY3" s="8"/>
      <c r="FZ3" s="8"/>
      <c r="GA3" s="8"/>
      <c r="GB3" s="8"/>
      <c r="GC3" s="8"/>
      <c r="GD3" s="8"/>
      <c r="GE3" s="8"/>
      <c r="GF3" s="8"/>
      <c r="GG3" s="8"/>
      <c r="GH3" s="8"/>
      <c r="GI3" s="8"/>
      <c r="GJ3" s="8"/>
      <c r="GK3" s="8"/>
      <c r="GL3" s="8"/>
      <c r="GM3" s="8"/>
      <c r="GN3" s="8"/>
      <c r="GO3" s="8"/>
      <c r="GP3" s="8"/>
      <c r="GQ3" s="8"/>
      <c r="GR3" s="8"/>
      <c r="GS3" s="8"/>
      <c r="GT3" s="8"/>
      <c r="GU3" s="8"/>
      <c r="GV3" s="8"/>
      <c r="GW3" s="8"/>
      <c r="GX3" s="8"/>
      <c r="GY3" s="8"/>
      <c r="GZ3" s="8"/>
      <c r="HA3" s="8"/>
      <c r="HB3" s="8"/>
      <c r="HC3" s="8"/>
      <c r="HD3" s="8"/>
      <c r="HE3" s="8"/>
      <c r="HF3" s="8"/>
      <c r="HG3" s="8"/>
      <c r="HH3" s="8"/>
      <c r="HI3" s="8"/>
      <c r="HJ3" s="8"/>
      <c r="HK3" s="8"/>
      <c r="HL3" s="8"/>
      <c r="HM3" s="8"/>
      <c r="HN3" s="8"/>
      <c r="HO3" s="8"/>
      <c r="HP3" s="8"/>
      <c r="HQ3" s="8"/>
      <c r="HR3" s="8"/>
      <c r="HS3" s="8"/>
      <c r="HT3" s="8"/>
      <c r="HU3" s="8"/>
      <c r="HV3" s="8"/>
      <c r="HW3" s="8"/>
      <c r="HX3" s="8"/>
      <c r="HY3" s="8"/>
      <c r="HZ3" s="8"/>
      <c r="IA3" s="8"/>
      <c r="IB3" s="8"/>
      <c r="IC3" s="8"/>
      <c r="ID3" s="8"/>
      <c r="IE3" s="8"/>
      <c r="IF3" s="8"/>
      <c r="IG3" s="8"/>
      <c r="IH3" s="8"/>
      <c r="II3" s="8"/>
      <c r="IJ3" s="8"/>
      <c r="IK3" s="8"/>
      <c r="IL3" s="8"/>
      <c r="IM3" s="8"/>
      <c r="IN3" s="8"/>
      <c r="IO3" s="8"/>
      <c r="IP3" s="8"/>
      <c r="IQ3" s="8"/>
      <c r="IR3" s="8"/>
      <c r="IS3" s="8"/>
      <c r="IT3" s="8"/>
      <c r="IU3" s="8"/>
      <c r="IV3" s="8"/>
      <c r="IW3" s="8"/>
      <c r="IX3" s="8"/>
      <c r="IY3" s="8"/>
      <c r="IZ3" s="8"/>
      <c r="JA3" s="8"/>
      <c r="JB3" s="8"/>
      <c r="JC3" s="8"/>
      <c r="JD3" s="8"/>
      <c r="JE3" s="8"/>
      <c r="JF3" s="8"/>
      <c r="JG3" s="8"/>
      <c r="JH3" s="8"/>
      <c r="JI3" s="8"/>
      <c r="JJ3" s="8"/>
      <c r="JK3" s="8"/>
      <c r="JL3" s="8"/>
      <c r="JM3" s="8"/>
      <c r="JN3" s="8"/>
      <c r="JO3" s="8"/>
      <c r="JP3" s="8"/>
      <c r="JQ3" s="8"/>
      <c r="JR3" s="8"/>
      <c r="JS3" s="8"/>
      <c r="JT3" s="8"/>
      <c r="JU3" s="8"/>
      <c r="JV3" s="8"/>
      <c r="JW3" s="8"/>
      <c r="JX3" s="8"/>
      <c r="JY3" s="8"/>
      <c r="JZ3" s="8"/>
      <c r="KA3" s="8"/>
      <c r="KB3" s="8"/>
      <c r="KC3" s="8"/>
      <c r="KD3" s="8"/>
      <c r="KE3" s="8"/>
      <c r="KF3" s="8"/>
      <c r="KG3" s="8"/>
      <c r="KH3" s="8"/>
      <c r="KI3" s="8"/>
      <c r="KJ3" s="8"/>
      <c r="KK3" s="8"/>
      <c r="KL3" s="8"/>
      <c r="KM3" s="8"/>
      <c r="KN3" s="8"/>
      <c r="KO3" s="8"/>
      <c r="KP3" s="8"/>
      <c r="KQ3" s="8"/>
      <c r="KR3" s="8"/>
      <c r="KS3" s="8"/>
      <c r="KT3" s="8"/>
      <c r="KU3" s="8"/>
      <c r="KV3" s="8"/>
      <c r="KW3" s="8"/>
      <c r="KX3" s="8"/>
      <c r="KY3" s="8"/>
      <c r="KZ3" s="8"/>
      <c r="LA3" s="8"/>
      <c r="LB3" s="8"/>
      <c r="LC3" s="8"/>
      <c r="LD3" s="8"/>
      <c r="LE3" s="8"/>
      <c r="LF3" s="8"/>
      <c r="LG3" s="8"/>
      <c r="LH3" s="8"/>
      <c r="LI3" s="8"/>
      <c r="LJ3" s="8"/>
      <c r="LK3" s="8"/>
      <c r="LL3" s="8"/>
      <c r="LM3" s="8"/>
      <c r="LN3" s="8"/>
      <c r="LO3" s="8"/>
      <c r="LP3" s="8"/>
      <c r="LQ3" s="8"/>
      <c r="LR3" s="8"/>
      <c r="LS3" s="8"/>
      <c r="LT3" s="8"/>
      <c r="LU3" s="8"/>
      <c r="LV3" s="8"/>
      <c r="LW3" s="8"/>
      <c r="LX3" s="8"/>
      <c r="LY3" s="8"/>
      <c r="LZ3" s="8"/>
      <c r="MA3" s="8"/>
      <c r="MB3" s="8"/>
      <c r="MC3" s="8"/>
      <c r="MD3" s="8"/>
      <c r="ME3" s="8"/>
      <c r="MF3" s="8"/>
      <c r="MG3" s="8"/>
    </row>
    <row r="4" spans="1:345" s="1" customFormat="1" ht="38.25" customHeight="1" x14ac:dyDescent="0.7">
      <c r="A4" s="7"/>
      <c r="B4" s="11" t="s">
        <v>43</v>
      </c>
      <c r="C4" s="63"/>
      <c r="D4" s="63"/>
      <c r="E4" s="10"/>
      <c r="F4" s="10"/>
      <c r="G4" s="8"/>
      <c r="H4" s="8"/>
      <c r="I4" s="8"/>
      <c r="J4" s="8"/>
      <c r="K4" s="8"/>
      <c r="L4" s="8"/>
      <c r="M4" s="8"/>
      <c r="N4" s="8"/>
      <c r="O4" s="8"/>
      <c r="P4" s="8"/>
      <c r="Q4" s="8"/>
      <c r="R4" s="8"/>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c r="CK4" s="8"/>
      <c r="CL4" s="8"/>
      <c r="CM4" s="8"/>
      <c r="CN4" s="8"/>
      <c r="CO4" s="8"/>
      <c r="CP4" s="8"/>
      <c r="CQ4" s="8"/>
      <c r="CR4" s="8"/>
      <c r="CS4" s="8"/>
      <c r="CT4" s="8"/>
      <c r="CU4" s="8"/>
      <c r="CV4" s="8"/>
      <c r="CW4" s="8"/>
      <c r="CX4" s="8"/>
      <c r="CY4" s="8"/>
      <c r="CZ4" s="8"/>
      <c r="DA4" s="8"/>
      <c r="DB4" s="8"/>
      <c r="DC4" s="8"/>
      <c r="DD4" s="8"/>
      <c r="DE4" s="8"/>
      <c r="DF4" s="8"/>
      <c r="DG4" s="8"/>
      <c r="DH4" s="8"/>
      <c r="DI4" s="8"/>
      <c r="DJ4" s="8"/>
      <c r="DK4" s="8"/>
      <c r="DL4" s="8"/>
      <c r="DM4" s="8"/>
      <c r="DN4" s="8"/>
      <c r="DO4" s="8"/>
      <c r="DP4" s="8"/>
      <c r="DQ4" s="8"/>
      <c r="DR4" s="8"/>
      <c r="DS4" s="8"/>
      <c r="DT4" s="8"/>
      <c r="DU4" s="8"/>
      <c r="DV4" s="8"/>
      <c r="DW4" s="8"/>
      <c r="DX4" s="8"/>
      <c r="DY4" s="8"/>
      <c r="DZ4" s="8"/>
      <c r="EA4" s="8"/>
      <c r="EB4" s="8"/>
      <c r="EC4" s="8"/>
      <c r="ED4" s="8"/>
      <c r="EE4" s="8"/>
      <c r="EF4" s="8"/>
      <c r="EG4" s="8"/>
      <c r="EH4" s="8"/>
      <c r="EI4" s="8"/>
      <c r="EJ4" s="8"/>
      <c r="EK4" s="8"/>
      <c r="EL4" s="8"/>
      <c r="EM4" s="8"/>
      <c r="EN4" s="8"/>
      <c r="EO4" s="8"/>
      <c r="EP4" s="8"/>
      <c r="EQ4" s="8"/>
      <c r="ER4" s="8"/>
      <c r="ES4" s="8"/>
      <c r="ET4" s="8"/>
      <c r="EU4" s="8"/>
      <c r="EV4" s="8"/>
      <c r="EW4" s="8"/>
      <c r="EX4" s="8"/>
      <c r="EY4" s="8"/>
      <c r="EZ4" s="8"/>
      <c r="FA4" s="8"/>
      <c r="FB4" s="8"/>
      <c r="FC4" s="8"/>
      <c r="FD4" s="8"/>
      <c r="FE4" s="8"/>
      <c r="FF4" s="8"/>
      <c r="FG4" s="8"/>
      <c r="FH4" s="8"/>
      <c r="FI4" s="8"/>
      <c r="FJ4" s="8"/>
      <c r="FK4" s="8"/>
      <c r="FL4" s="8"/>
      <c r="FM4" s="8"/>
      <c r="FN4" s="8"/>
      <c r="FO4" s="8"/>
      <c r="FP4" s="8"/>
      <c r="FQ4" s="8"/>
      <c r="FR4" s="8"/>
      <c r="FS4" s="8"/>
      <c r="FT4" s="8"/>
      <c r="FU4" s="8"/>
      <c r="FV4" s="8"/>
      <c r="FW4" s="8"/>
      <c r="FX4" s="8"/>
      <c r="FY4" s="8"/>
      <c r="FZ4" s="8"/>
      <c r="GA4" s="8"/>
      <c r="GB4" s="8"/>
      <c r="GC4" s="8"/>
      <c r="GD4" s="8"/>
      <c r="GE4" s="8"/>
      <c r="GF4" s="8"/>
      <c r="GG4" s="8"/>
      <c r="GH4" s="8"/>
      <c r="GI4" s="8"/>
      <c r="GJ4" s="8"/>
      <c r="GK4" s="8"/>
      <c r="GL4" s="8"/>
      <c r="GM4" s="8"/>
      <c r="GN4" s="8"/>
      <c r="GO4" s="8"/>
      <c r="GP4" s="8"/>
      <c r="GQ4" s="8"/>
      <c r="GR4" s="8"/>
      <c r="GS4" s="8"/>
      <c r="GT4" s="8"/>
      <c r="GU4" s="8"/>
      <c r="GV4" s="8"/>
      <c r="GW4" s="8"/>
      <c r="GX4" s="8"/>
      <c r="GY4" s="8"/>
      <c r="GZ4" s="8"/>
      <c r="HA4" s="8"/>
      <c r="HB4" s="8"/>
      <c r="HC4" s="8"/>
      <c r="HD4" s="8"/>
      <c r="HE4" s="8"/>
      <c r="HF4" s="8"/>
      <c r="HG4" s="8"/>
      <c r="HH4" s="8"/>
      <c r="HI4" s="8"/>
      <c r="HJ4" s="8"/>
      <c r="HK4" s="8"/>
      <c r="HL4" s="8"/>
      <c r="HM4" s="8"/>
      <c r="HN4" s="8"/>
      <c r="HO4" s="8"/>
      <c r="HP4" s="8"/>
      <c r="HQ4" s="8"/>
      <c r="HR4" s="8"/>
      <c r="HS4" s="8"/>
      <c r="HT4" s="8"/>
      <c r="HU4" s="8"/>
      <c r="HV4" s="8"/>
      <c r="HW4" s="8"/>
      <c r="HX4" s="8"/>
      <c r="HY4" s="8"/>
      <c r="HZ4" s="8"/>
      <c r="IA4" s="8"/>
      <c r="IB4" s="8"/>
      <c r="IC4" s="8"/>
      <c r="ID4" s="8"/>
      <c r="IE4" s="8"/>
      <c r="IF4" s="8"/>
      <c r="IG4" s="8"/>
      <c r="IH4" s="8"/>
      <c r="II4" s="8"/>
      <c r="IJ4" s="8"/>
      <c r="IK4" s="8"/>
      <c r="IL4" s="8"/>
      <c r="IM4" s="8"/>
      <c r="IN4" s="8"/>
      <c r="IO4" s="8"/>
      <c r="IP4" s="8"/>
      <c r="IQ4" s="8"/>
      <c r="IR4" s="8"/>
      <c r="IS4" s="8"/>
      <c r="IT4" s="8"/>
      <c r="IU4" s="8"/>
      <c r="IV4" s="8"/>
      <c r="IW4" s="8"/>
      <c r="IX4" s="8"/>
      <c r="IY4" s="8"/>
      <c r="IZ4" s="8"/>
      <c r="JA4" s="8"/>
      <c r="JB4" s="8"/>
      <c r="JC4" s="8"/>
      <c r="JD4" s="8"/>
      <c r="JE4" s="8"/>
      <c r="JF4" s="8"/>
      <c r="JG4" s="8"/>
      <c r="JH4" s="8"/>
      <c r="JI4" s="8"/>
      <c r="JJ4" s="8"/>
      <c r="JK4" s="8"/>
      <c r="JL4" s="8"/>
      <c r="JM4" s="8"/>
      <c r="JN4" s="8"/>
      <c r="JO4" s="8"/>
      <c r="JP4" s="8"/>
      <c r="JQ4" s="8"/>
      <c r="JR4" s="8"/>
      <c r="JS4" s="8"/>
      <c r="JT4" s="8"/>
      <c r="JU4" s="8"/>
      <c r="JV4" s="8"/>
      <c r="JW4" s="8"/>
      <c r="JX4" s="8"/>
      <c r="JY4" s="8"/>
      <c r="JZ4" s="8"/>
      <c r="KA4" s="8"/>
      <c r="KB4" s="8"/>
      <c r="KC4" s="8"/>
      <c r="KD4" s="8"/>
      <c r="KE4" s="8"/>
      <c r="KF4" s="8"/>
      <c r="KG4" s="8"/>
      <c r="KH4" s="8"/>
      <c r="KI4" s="8"/>
      <c r="KJ4" s="8"/>
      <c r="KK4" s="8"/>
      <c r="KL4" s="8"/>
      <c r="KM4" s="8"/>
      <c r="KN4" s="8"/>
      <c r="KO4" s="8"/>
      <c r="KP4" s="8"/>
      <c r="KQ4" s="8"/>
      <c r="KR4" s="8"/>
      <c r="KS4" s="8"/>
      <c r="KT4" s="8"/>
      <c r="KU4" s="8"/>
      <c r="KV4" s="8"/>
      <c r="KW4" s="8"/>
      <c r="KX4" s="8"/>
      <c r="KY4" s="8"/>
      <c r="KZ4" s="8"/>
      <c r="LA4" s="8"/>
      <c r="LB4" s="8"/>
      <c r="LC4" s="8"/>
      <c r="LD4" s="8"/>
      <c r="LE4" s="8"/>
      <c r="LF4" s="8"/>
      <c r="LG4" s="8"/>
      <c r="LH4" s="8"/>
      <c r="LI4" s="8"/>
      <c r="LJ4" s="8"/>
      <c r="LK4" s="8"/>
      <c r="LL4" s="8"/>
      <c r="LM4" s="8"/>
      <c r="LN4" s="8"/>
      <c r="LO4" s="8"/>
      <c r="LP4" s="8"/>
      <c r="LQ4" s="8"/>
      <c r="LR4" s="8"/>
      <c r="LS4" s="8"/>
      <c r="LT4" s="8"/>
      <c r="LU4" s="8"/>
      <c r="LV4" s="8"/>
      <c r="LW4" s="8"/>
      <c r="LX4" s="8"/>
      <c r="LY4" s="8"/>
      <c r="LZ4" s="8"/>
      <c r="MA4" s="8"/>
      <c r="MB4" s="8"/>
      <c r="MC4" s="8"/>
      <c r="MD4" s="8"/>
      <c r="ME4" s="8"/>
      <c r="MF4" s="8"/>
      <c r="MG4" s="8"/>
    </row>
    <row r="5" spans="1:345" s="1" customFormat="1" ht="35" x14ac:dyDescent="0.7">
      <c r="A5" s="7"/>
      <c r="C5" s="11"/>
      <c r="D5" s="61" t="s">
        <v>562</v>
      </c>
      <c r="E5" s="64" t="s">
        <v>564</v>
      </c>
      <c r="F5" s="8"/>
      <c r="G5" s="8"/>
      <c r="H5" s="8"/>
      <c r="I5" s="8"/>
      <c r="J5" s="8"/>
      <c r="K5" s="8"/>
      <c r="L5" s="8"/>
      <c r="M5" s="8"/>
      <c r="N5" s="8"/>
      <c r="O5" s="8"/>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c r="CK5" s="8"/>
      <c r="CL5" s="8"/>
      <c r="CM5" s="8"/>
      <c r="CN5" s="8"/>
      <c r="CO5" s="8"/>
      <c r="CP5" s="8"/>
      <c r="CQ5" s="8"/>
      <c r="CR5" s="8"/>
      <c r="CS5" s="8"/>
      <c r="CT5" s="8"/>
      <c r="CU5" s="8"/>
      <c r="CV5" s="8"/>
      <c r="CW5" s="8"/>
      <c r="CX5" s="8"/>
      <c r="CY5" s="8"/>
      <c r="CZ5" s="8"/>
      <c r="DA5" s="8"/>
      <c r="DB5" s="8"/>
      <c r="DC5" s="8"/>
      <c r="DD5" s="8"/>
      <c r="DE5" s="8"/>
      <c r="DF5" s="8"/>
      <c r="DG5" s="8"/>
      <c r="DH5" s="8"/>
      <c r="DI5" s="8"/>
      <c r="DJ5" s="8"/>
      <c r="DK5" s="8"/>
      <c r="DL5" s="8"/>
      <c r="DM5" s="8"/>
      <c r="DN5" s="8"/>
      <c r="DO5" s="8"/>
      <c r="DP5" s="8"/>
      <c r="DQ5" s="8"/>
      <c r="DR5" s="8"/>
      <c r="DS5" s="8"/>
      <c r="DT5" s="8"/>
      <c r="DU5" s="8"/>
      <c r="DV5" s="8"/>
      <c r="DW5" s="8"/>
      <c r="DX5" s="8"/>
      <c r="DY5" s="8"/>
      <c r="DZ5" s="8"/>
      <c r="EA5" s="8"/>
      <c r="EB5" s="8"/>
      <c r="EC5" s="8"/>
      <c r="ED5" s="8"/>
      <c r="EE5" s="8"/>
      <c r="EF5" s="8"/>
      <c r="EG5" s="8"/>
      <c r="EH5" s="8"/>
      <c r="EI5" s="8"/>
      <c r="EJ5" s="8"/>
      <c r="EK5" s="8"/>
      <c r="EL5" s="8"/>
      <c r="EM5" s="8"/>
      <c r="EN5" s="8"/>
      <c r="EO5" s="8"/>
      <c r="EP5" s="8"/>
      <c r="EQ5" s="8"/>
      <c r="ER5" s="8"/>
      <c r="ES5" s="8"/>
      <c r="ET5" s="8"/>
      <c r="EU5" s="8"/>
      <c r="EV5" s="8"/>
      <c r="EW5" s="8"/>
      <c r="EX5" s="8"/>
      <c r="EY5" s="8"/>
      <c r="EZ5" s="8"/>
      <c r="FA5" s="8"/>
      <c r="FB5" s="8"/>
      <c r="FC5" s="8"/>
      <c r="FD5" s="8"/>
      <c r="FE5" s="8"/>
      <c r="FF5" s="8"/>
      <c r="FG5" s="8"/>
      <c r="FH5" s="8"/>
      <c r="FI5" s="8"/>
      <c r="FJ5" s="8"/>
      <c r="FK5" s="8"/>
      <c r="FL5" s="8"/>
      <c r="FM5" s="8"/>
      <c r="FN5" s="8"/>
      <c r="FO5" s="8"/>
      <c r="FP5" s="8"/>
      <c r="FQ5" s="8"/>
      <c r="FR5" s="8"/>
      <c r="FS5" s="8"/>
      <c r="FT5" s="8"/>
      <c r="FU5" s="8"/>
      <c r="FV5" s="8"/>
      <c r="FW5" s="8"/>
      <c r="FX5" s="8"/>
      <c r="FY5" s="8"/>
      <c r="FZ5" s="8"/>
      <c r="GA5" s="8"/>
      <c r="GB5" s="8"/>
      <c r="GC5" s="8"/>
      <c r="GD5" s="8"/>
      <c r="GE5" s="8"/>
      <c r="GF5" s="8"/>
      <c r="GG5" s="8"/>
      <c r="GH5" s="8"/>
      <c r="GI5" s="8"/>
      <c r="GJ5" s="8"/>
      <c r="GK5" s="8"/>
      <c r="GL5" s="8"/>
      <c r="GM5" s="8"/>
      <c r="GN5" s="8"/>
      <c r="GO5" s="8"/>
      <c r="GP5" s="8"/>
      <c r="GQ5" s="8"/>
      <c r="GR5" s="8"/>
      <c r="GS5" s="8"/>
      <c r="GT5" s="8"/>
      <c r="GU5" s="8"/>
      <c r="GV5" s="8"/>
      <c r="GW5" s="8"/>
      <c r="GX5" s="8"/>
      <c r="GY5" s="8"/>
      <c r="GZ5" s="8"/>
      <c r="HA5" s="8"/>
      <c r="HB5" s="8"/>
      <c r="HC5" s="8"/>
      <c r="HD5" s="8"/>
      <c r="HE5" s="8"/>
      <c r="HF5" s="8"/>
      <c r="HG5" s="8"/>
      <c r="HH5" s="8"/>
      <c r="HI5" s="8"/>
      <c r="HJ5" s="8"/>
      <c r="HK5" s="8"/>
      <c r="HL5" s="8"/>
      <c r="HM5" s="8"/>
      <c r="HN5" s="8"/>
      <c r="HO5" s="8"/>
      <c r="HP5" s="8"/>
      <c r="HQ5" s="8"/>
      <c r="HR5" s="8"/>
      <c r="HS5" s="8"/>
      <c r="HT5" s="8"/>
      <c r="HU5" s="8"/>
      <c r="HV5" s="8"/>
      <c r="HW5" s="8"/>
      <c r="HX5" s="8"/>
      <c r="HY5" s="8"/>
      <c r="HZ5" s="8"/>
      <c r="IA5" s="8"/>
      <c r="IB5" s="8"/>
      <c r="IC5" s="8"/>
      <c r="ID5" s="8"/>
      <c r="IE5" s="8"/>
      <c r="IF5" s="8"/>
      <c r="IG5" s="8"/>
      <c r="IH5" s="8"/>
      <c r="II5" s="8"/>
      <c r="IJ5" s="8"/>
      <c r="IK5" s="8"/>
      <c r="IL5" s="8"/>
      <c r="IM5" s="8"/>
      <c r="IN5" s="8"/>
      <c r="IO5" s="8"/>
      <c r="IP5" s="8"/>
      <c r="IQ5" s="8"/>
      <c r="IR5" s="8"/>
      <c r="IS5" s="8"/>
      <c r="IT5" s="8"/>
      <c r="IU5" s="8"/>
      <c r="IV5" s="8"/>
      <c r="IW5" s="8"/>
      <c r="IX5" s="8"/>
      <c r="IY5" s="8"/>
      <c r="IZ5" s="8"/>
      <c r="JA5" s="8"/>
      <c r="JB5" s="8"/>
      <c r="JC5" s="8"/>
      <c r="JD5" s="8"/>
      <c r="JE5" s="8"/>
      <c r="JF5" s="8"/>
      <c r="JG5" s="8"/>
      <c r="JH5" s="8"/>
      <c r="JI5" s="8"/>
      <c r="JJ5" s="8"/>
      <c r="JK5" s="8"/>
      <c r="JL5" s="8"/>
      <c r="JM5" s="8"/>
      <c r="JN5" s="8"/>
      <c r="JO5" s="8"/>
      <c r="JP5" s="8"/>
      <c r="JQ5" s="8"/>
      <c r="JR5" s="8"/>
      <c r="JS5" s="8"/>
      <c r="JT5" s="8"/>
      <c r="JU5" s="8"/>
      <c r="JV5" s="8"/>
      <c r="JW5" s="8"/>
      <c r="JX5" s="8"/>
      <c r="JY5" s="8"/>
      <c r="JZ5" s="8"/>
      <c r="KA5" s="8"/>
      <c r="KB5" s="8"/>
      <c r="KC5" s="8"/>
      <c r="KD5" s="8"/>
      <c r="KE5" s="8"/>
      <c r="KF5" s="8"/>
      <c r="KG5" s="8"/>
      <c r="KH5" s="8"/>
      <c r="KI5" s="8"/>
      <c r="KJ5" s="8"/>
      <c r="KK5" s="8"/>
      <c r="KL5" s="8"/>
      <c r="KM5" s="8"/>
      <c r="KN5" s="8"/>
      <c r="KO5" s="8"/>
      <c r="KP5" s="8"/>
      <c r="KQ5" s="8"/>
      <c r="KR5" s="8"/>
      <c r="KS5" s="8"/>
      <c r="KT5" s="8"/>
      <c r="KU5" s="8"/>
      <c r="KV5" s="8"/>
      <c r="KW5" s="8"/>
      <c r="KX5" s="8"/>
      <c r="KY5" s="8"/>
      <c r="KZ5" s="8"/>
      <c r="LA5" s="8"/>
      <c r="LB5" s="8"/>
      <c r="LC5" s="8"/>
      <c r="LD5" s="8"/>
      <c r="LE5" s="8"/>
      <c r="LF5" s="8"/>
      <c r="LG5" s="8"/>
      <c r="LH5" s="8"/>
      <c r="LI5" s="8"/>
      <c r="LJ5" s="8"/>
      <c r="LK5" s="8"/>
      <c r="LL5" s="8"/>
      <c r="LM5" s="8"/>
      <c r="LN5" s="8"/>
      <c r="LO5" s="8"/>
      <c r="LP5" s="8"/>
      <c r="LQ5" s="8"/>
      <c r="LR5" s="8"/>
      <c r="LS5" s="8"/>
      <c r="LT5" s="8"/>
      <c r="LU5" s="8"/>
      <c r="LV5" s="8"/>
      <c r="LW5" s="8"/>
      <c r="LX5" s="8"/>
      <c r="LY5" s="8"/>
      <c r="LZ5" s="8"/>
      <c r="MA5" s="8"/>
      <c r="MB5" s="8"/>
      <c r="MC5" s="8"/>
      <c r="MD5" s="8"/>
      <c r="ME5" s="8"/>
      <c r="MF5" s="8"/>
      <c r="MG5" s="8"/>
    </row>
    <row r="6" spans="1:345" s="1" customFormat="1" ht="35.5" thickBot="1" x14ac:dyDescent="0.75">
      <c r="A6" s="7"/>
      <c r="B6" s="11"/>
      <c r="C6" s="11"/>
      <c r="D6" s="61" t="s">
        <v>563</v>
      </c>
      <c r="E6" s="65" t="s">
        <v>565</v>
      </c>
      <c r="F6" s="8"/>
      <c r="G6" s="8"/>
      <c r="H6" s="8"/>
      <c r="I6" s="8"/>
      <c r="J6" s="8"/>
      <c r="K6" s="8"/>
      <c r="L6" s="8"/>
      <c r="M6" s="8"/>
      <c r="N6" s="8"/>
      <c r="O6" s="8"/>
      <c r="P6" s="8"/>
      <c r="Q6" s="8"/>
      <c r="R6" s="8"/>
      <c r="S6" s="8"/>
      <c r="T6" s="8"/>
      <c r="U6" s="8"/>
      <c r="V6" s="8"/>
      <c r="W6" s="8"/>
      <c r="X6" s="8"/>
      <c r="Y6" s="8"/>
      <c r="Z6" s="8"/>
      <c r="AA6" s="8"/>
      <c r="AB6" s="8"/>
      <c r="AC6" s="8"/>
      <c r="AD6" s="8"/>
      <c r="AE6" s="8"/>
      <c r="AF6" s="8"/>
      <c r="AG6" s="8"/>
      <c r="AH6" s="8"/>
      <c r="AI6" s="8"/>
      <c r="AJ6" s="8"/>
      <c r="AK6" s="8"/>
      <c r="AL6" s="8"/>
      <c r="AM6" s="8"/>
      <c r="AN6" s="8"/>
      <c r="AO6" s="8"/>
      <c r="AP6" s="8"/>
      <c r="AQ6" s="8"/>
      <c r="AR6" s="8"/>
      <c r="AS6" s="8"/>
      <c r="AT6" s="8"/>
      <c r="AU6" s="8"/>
      <c r="AV6" s="8"/>
      <c r="AW6" s="8"/>
      <c r="AX6" s="8"/>
      <c r="AY6" s="8"/>
      <c r="AZ6" s="8"/>
      <c r="BA6" s="8"/>
      <c r="BB6" s="8"/>
      <c r="BC6" s="8"/>
      <c r="BD6" s="8"/>
      <c r="BE6" s="8"/>
      <c r="BF6" s="8"/>
      <c r="BG6" s="8"/>
      <c r="BH6" s="8"/>
      <c r="BI6" s="8"/>
      <c r="BJ6" s="8"/>
      <c r="BK6" s="8"/>
      <c r="BL6" s="8"/>
      <c r="BM6" s="8"/>
      <c r="BN6" s="8"/>
      <c r="BO6" s="8"/>
      <c r="BP6" s="8"/>
      <c r="BQ6" s="8"/>
      <c r="BR6" s="8"/>
      <c r="BS6" s="8"/>
      <c r="BT6" s="8"/>
      <c r="BU6" s="8"/>
      <c r="BV6" s="8"/>
      <c r="BW6" s="8"/>
      <c r="BX6" s="8"/>
      <c r="BY6" s="8"/>
      <c r="BZ6" s="8"/>
      <c r="CA6" s="8"/>
      <c r="CB6" s="8"/>
      <c r="CC6" s="8"/>
      <c r="CD6" s="8"/>
      <c r="CE6" s="8"/>
      <c r="CF6" s="8"/>
      <c r="CG6" s="8"/>
      <c r="CH6" s="8"/>
      <c r="CI6" s="8"/>
      <c r="CJ6" s="8"/>
      <c r="CK6" s="8"/>
      <c r="CL6" s="8"/>
      <c r="CM6" s="8"/>
      <c r="CN6" s="8"/>
      <c r="CO6" s="8"/>
      <c r="CP6" s="8"/>
      <c r="CQ6" s="8"/>
      <c r="CR6" s="8"/>
      <c r="CS6" s="8"/>
      <c r="CT6" s="8"/>
      <c r="CU6" s="8"/>
      <c r="CV6" s="8"/>
      <c r="CW6" s="8"/>
      <c r="CX6" s="8"/>
      <c r="CY6" s="8"/>
      <c r="CZ6" s="8"/>
      <c r="DA6" s="8"/>
      <c r="DB6" s="8"/>
      <c r="DC6" s="8"/>
      <c r="DD6" s="8"/>
      <c r="DE6" s="8"/>
      <c r="DF6" s="8"/>
      <c r="DG6" s="8"/>
      <c r="DH6" s="8"/>
      <c r="DI6" s="8"/>
      <c r="DJ6" s="8"/>
      <c r="DK6" s="8"/>
      <c r="DL6" s="8"/>
      <c r="DM6" s="8"/>
      <c r="DN6" s="8"/>
      <c r="DO6" s="8"/>
      <c r="DP6" s="8"/>
      <c r="DQ6" s="8"/>
      <c r="DR6" s="8"/>
      <c r="DS6" s="8"/>
      <c r="DT6" s="8"/>
      <c r="DU6" s="8"/>
      <c r="DV6" s="8"/>
      <c r="DW6" s="8"/>
      <c r="DX6" s="8"/>
      <c r="DY6" s="8"/>
      <c r="DZ6" s="8"/>
      <c r="EA6" s="8"/>
      <c r="EB6" s="8"/>
      <c r="EC6" s="8"/>
      <c r="ED6" s="8"/>
      <c r="EE6" s="8"/>
      <c r="EF6" s="8"/>
      <c r="EG6" s="8"/>
      <c r="EH6" s="8"/>
      <c r="EI6" s="8"/>
      <c r="EJ6" s="8"/>
      <c r="EK6" s="8"/>
      <c r="EL6" s="8"/>
      <c r="EM6" s="8"/>
      <c r="EN6" s="8"/>
      <c r="EO6" s="8"/>
      <c r="EP6" s="8"/>
      <c r="EQ6" s="8"/>
      <c r="ER6" s="8"/>
      <c r="ES6" s="8"/>
      <c r="ET6" s="8"/>
      <c r="EU6" s="8"/>
      <c r="EV6" s="8"/>
      <c r="EW6" s="8"/>
      <c r="EX6" s="8"/>
      <c r="EY6" s="8"/>
      <c r="EZ6" s="8"/>
      <c r="FA6" s="8"/>
      <c r="FB6" s="8"/>
      <c r="FC6" s="8"/>
      <c r="FD6" s="8"/>
      <c r="FE6" s="8"/>
      <c r="FF6" s="8"/>
      <c r="FG6" s="8"/>
      <c r="FH6" s="8"/>
      <c r="FI6" s="8"/>
      <c r="FJ6" s="8"/>
      <c r="FK6" s="8"/>
      <c r="FL6" s="8"/>
      <c r="FM6" s="8"/>
      <c r="FN6" s="8"/>
      <c r="FO6" s="8"/>
      <c r="FP6" s="8"/>
      <c r="FQ6" s="8"/>
      <c r="FR6" s="8"/>
      <c r="FS6" s="8"/>
      <c r="FT6" s="8"/>
      <c r="FU6" s="8"/>
      <c r="FV6" s="8"/>
      <c r="FW6" s="8"/>
      <c r="FX6" s="8"/>
      <c r="FY6" s="8"/>
      <c r="FZ6" s="8"/>
      <c r="GA6" s="8"/>
      <c r="GB6" s="8"/>
      <c r="GC6" s="8"/>
      <c r="GD6" s="8"/>
      <c r="GE6" s="8"/>
      <c r="GF6" s="8"/>
      <c r="GG6" s="8"/>
      <c r="GH6" s="8"/>
      <c r="GI6" s="8"/>
      <c r="GJ6" s="8"/>
      <c r="GK6" s="8"/>
      <c r="GL6" s="8"/>
      <c r="GM6" s="8"/>
      <c r="GN6" s="8"/>
      <c r="GO6" s="8"/>
      <c r="GP6" s="8"/>
      <c r="GQ6" s="8"/>
      <c r="GR6" s="8"/>
      <c r="GS6" s="8"/>
      <c r="GT6" s="8"/>
      <c r="GU6" s="8"/>
      <c r="GV6" s="8"/>
      <c r="GW6" s="8"/>
      <c r="GX6" s="8"/>
      <c r="GY6" s="8"/>
      <c r="GZ6" s="8"/>
      <c r="HA6" s="8"/>
      <c r="HB6" s="8"/>
      <c r="HC6" s="8"/>
      <c r="HD6" s="8"/>
      <c r="HE6" s="8"/>
      <c r="HF6" s="8"/>
      <c r="HG6" s="8"/>
      <c r="HH6" s="8"/>
      <c r="HI6" s="8"/>
      <c r="HJ6" s="8"/>
      <c r="HK6" s="8"/>
      <c r="HL6" s="8"/>
      <c r="HM6" s="8"/>
      <c r="HN6" s="8"/>
      <c r="HO6" s="8"/>
      <c r="HP6" s="8"/>
      <c r="HQ6" s="8"/>
      <c r="HR6" s="8"/>
      <c r="HS6" s="8"/>
      <c r="HT6" s="8"/>
      <c r="HU6" s="8"/>
      <c r="HV6" s="8"/>
      <c r="HW6" s="8"/>
      <c r="HX6" s="8"/>
      <c r="HY6" s="8"/>
      <c r="HZ6" s="8"/>
      <c r="IA6" s="8"/>
      <c r="IB6" s="8"/>
      <c r="IC6" s="8"/>
      <c r="ID6" s="8"/>
      <c r="IE6" s="8"/>
      <c r="IF6" s="8"/>
      <c r="IG6" s="8"/>
      <c r="IH6" s="8"/>
      <c r="II6" s="8"/>
      <c r="IJ6" s="8"/>
      <c r="IK6" s="8"/>
      <c r="IL6" s="8"/>
      <c r="IM6" s="8"/>
      <c r="IN6" s="8"/>
      <c r="IO6" s="8"/>
      <c r="IP6" s="8"/>
      <c r="IQ6" s="8"/>
      <c r="IR6" s="8"/>
      <c r="IS6" s="8"/>
      <c r="IT6" s="8"/>
      <c r="IU6" s="8"/>
      <c r="IV6" s="8"/>
      <c r="IW6" s="8"/>
      <c r="IX6" s="8"/>
      <c r="IY6" s="8"/>
      <c r="IZ6" s="8"/>
      <c r="JA6" s="8"/>
      <c r="JB6" s="8"/>
      <c r="JC6" s="8"/>
      <c r="JD6" s="8"/>
      <c r="JE6" s="8"/>
      <c r="JF6" s="8"/>
      <c r="JG6" s="8"/>
      <c r="JH6" s="8"/>
      <c r="JI6" s="8"/>
      <c r="JJ6" s="8"/>
      <c r="JK6" s="8"/>
      <c r="JL6" s="8"/>
      <c r="JM6" s="8"/>
      <c r="JN6" s="8"/>
      <c r="JO6" s="8"/>
      <c r="JP6" s="8"/>
      <c r="JQ6" s="8"/>
      <c r="JR6" s="8"/>
      <c r="JS6" s="8"/>
      <c r="JT6" s="8"/>
      <c r="JU6" s="8"/>
      <c r="JV6" s="8"/>
      <c r="JW6" s="8"/>
      <c r="JX6" s="8"/>
      <c r="JY6" s="8"/>
      <c r="JZ6" s="8"/>
      <c r="KA6" s="8"/>
      <c r="KB6" s="8"/>
      <c r="KC6" s="8"/>
      <c r="KD6" s="8"/>
      <c r="KE6" s="8"/>
      <c r="KF6" s="8"/>
      <c r="KG6" s="8"/>
      <c r="KH6" s="8"/>
      <c r="KI6" s="8"/>
      <c r="KJ6" s="8"/>
      <c r="KK6" s="8"/>
      <c r="KL6" s="8"/>
      <c r="KM6" s="8"/>
      <c r="KN6" s="8"/>
      <c r="KO6" s="8"/>
      <c r="KP6" s="8"/>
      <c r="KQ6" s="8"/>
      <c r="KR6" s="8"/>
      <c r="KS6" s="8"/>
      <c r="KT6" s="8"/>
      <c r="KU6" s="8"/>
      <c r="KV6" s="8"/>
      <c r="KW6" s="8"/>
      <c r="KX6" s="8"/>
      <c r="KY6" s="8"/>
      <c r="KZ6" s="8"/>
      <c r="LA6" s="8"/>
      <c r="LB6" s="8"/>
      <c r="LC6" s="8"/>
      <c r="LD6" s="8"/>
      <c r="LE6" s="8"/>
      <c r="LF6" s="8"/>
      <c r="LG6" s="8"/>
      <c r="LH6" s="8"/>
      <c r="LI6" s="8"/>
      <c r="LJ6" s="8"/>
      <c r="LK6" s="8"/>
      <c r="LL6" s="8"/>
      <c r="LM6" s="8"/>
      <c r="LN6" s="8"/>
      <c r="LO6" s="8"/>
      <c r="LP6" s="8"/>
      <c r="LQ6" s="8"/>
      <c r="LR6" s="8"/>
      <c r="LS6" s="8"/>
      <c r="LT6" s="8"/>
      <c r="LU6" s="8"/>
      <c r="LV6" s="8"/>
      <c r="LW6" s="8"/>
      <c r="LX6" s="8"/>
      <c r="LY6" s="8"/>
      <c r="LZ6" s="8"/>
      <c r="MA6" s="8"/>
      <c r="MB6" s="8"/>
      <c r="MC6" s="8"/>
      <c r="MD6" s="8"/>
      <c r="ME6" s="8"/>
      <c r="MF6" s="8"/>
      <c r="MG6" s="8"/>
    </row>
    <row r="7" spans="1:345" s="1" customFormat="1" ht="35.5" hidden="1" thickBot="1" x14ac:dyDescent="0.75">
      <c r="A7" s="7"/>
      <c r="C7" s="11"/>
      <c r="D7" s="11"/>
      <c r="E7" s="8"/>
      <c r="F7" s="8"/>
      <c r="G7" s="8"/>
      <c r="H7" s="8"/>
      <c r="I7" s="8"/>
      <c r="J7" s="8"/>
      <c r="K7" s="8"/>
      <c r="L7" s="8"/>
      <c r="M7" s="8"/>
      <c r="N7" s="8"/>
      <c r="O7" s="8"/>
      <c r="P7" s="8"/>
      <c r="Q7" s="8"/>
      <c r="R7" s="8"/>
      <c r="S7" s="8"/>
      <c r="T7" s="8"/>
      <c r="U7" s="8"/>
      <c r="V7" s="8"/>
      <c r="W7" s="8"/>
      <c r="X7" s="8"/>
      <c r="Y7" s="8"/>
      <c r="Z7" s="8"/>
      <c r="AA7" s="8"/>
      <c r="AB7" s="8"/>
      <c r="AC7" s="8"/>
      <c r="AD7" s="8"/>
      <c r="AE7" s="8"/>
      <c r="AF7" s="8"/>
      <c r="AG7" s="8"/>
      <c r="AH7" s="8"/>
      <c r="AI7" s="8"/>
      <c r="AJ7" s="8"/>
      <c r="AK7" s="8"/>
      <c r="AL7" s="8"/>
      <c r="AM7" s="8"/>
      <c r="AN7" s="8"/>
      <c r="AO7" s="8"/>
      <c r="AP7" s="8"/>
      <c r="AQ7" s="8"/>
      <c r="AR7" s="8"/>
      <c r="AS7" s="8"/>
      <c r="AT7" s="8"/>
      <c r="AU7" s="8"/>
      <c r="AV7" s="8"/>
      <c r="AW7" s="8"/>
      <c r="AX7" s="8"/>
      <c r="AY7" s="8"/>
      <c r="AZ7" s="8"/>
      <c r="BA7" s="8"/>
      <c r="BB7" s="8"/>
      <c r="BC7" s="8"/>
      <c r="BD7" s="8"/>
      <c r="BE7" s="8"/>
      <c r="BF7" s="8"/>
      <c r="BG7" s="8"/>
      <c r="BH7" s="8"/>
      <c r="BI7" s="8"/>
      <c r="BJ7" s="8"/>
      <c r="BK7" s="8"/>
      <c r="BL7" s="8"/>
      <c r="BM7" s="8"/>
      <c r="BN7" s="8"/>
      <c r="BO7" s="8"/>
      <c r="BP7" s="8"/>
      <c r="BQ7" s="8"/>
      <c r="BR7" s="8"/>
      <c r="BS7" s="8"/>
      <c r="BT7" s="8"/>
      <c r="BU7" s="8"/>
      <c r="BV7" s="8"/>
      <c r="BW7" s="8"/>
      <c r="BX7" s="8"/>
      <c r="BY7" s="8"/>
      <c r="BZ7" s="8"/>
      <c r="CA7" s="8"/>
      <c r="CB7" s="8"/>
      <c r="CC7" s="8"/>
      <c r="CD7" s="8"/>
      <c r="CE7" s="8"/>
      <c r="CF7" s="8"/>
      <c r="CG7" s="8"/>
      <c r="CH7" s="8"/>
      <c r="CI7" s="8"/>
      <c r="CJ7" s="8"/>
      <c r="CK7" s="8"/>
      <c r="CL7" s="8"/>
      <c r="CM7" s="8"/>
      <c r="CN7" s="8"/>
      <c r="CO7" s="8"/>
      <c r="CP7" s="8"/>
      <c r="CQ7" s="8"/>
      <c r="CR7" s="8"/>
      <c r="CS7" s="8"/>
      <c r="CT7" s="8"/>
      <c r="CU7" s="8"/>
      <c r="CV7" s="8"/>
      <c r="CW7" s="8"/>
      <c r="CX7" s="8"/>
      <c r="CY7" s="8"/>
      <c r="CZ7" s="8"/>
      <c r="DA7" s="8"/>
      <c r="DB7" s="8"/>
      <c r="DC7" s="8"/>
      <c r="DD7" s="8"/>
      <c r="DE7" s="8"/>
      <c r="DF7" s="8"/>
      <c r="DG7" s="8"/>
      <c r="DH7" s="8"/>
      <c r="DI7" s="8"/>
      <c r="DJ7" s="8"/>
      <c r="DK7" s="8"/>
      <c r="DL7" s="8"/>
      <c r="DM7" s="8"/>
      <c r="DN7" s="8"/>
      <c r="DO7" s="8"/>
      <c r="DP7" s="8"/>
      <c r="DQ7" s="8"/>
      <c r="DR7" s="8"/>
      <c r="DS7" s="8"/>
      <c r="DT7" s="8"/>
      <c r="DU7" s="8"/>
      <c r="DV7" s="8"/>
      <c r="DW7" s="8"/>
      <c r="DX7" s="8"/>
      <c r="DY7" s="8"/>
      <c r="DZ7" s="8"/>
      <c r="EA7" s="8"/>
      <c r="EB7" s="8"/>
      <c r="EC7" s="8"/>
      <c r="ED7" s="8"/>
      <c r="EE7" s="8"/>
      <c r="EF7" s="8"/>
      <c r="EG7" s="8"/>
      <c r="EH7" s="8"/>
      <c r="EI7" s="8"/>
      <c r="EJ7" s="8"/>
      <c r="EK7" s="8"/>
      <c r="EL7" s="8"/>
      <c r="EM7" s="8"/>
      <c r="EN7" s="8"/>
      <c r="EO7" s="8"/>
      <c r="EP7" s="8"/>
      <c r="EQ7" s="8"/>
      <c r="ER7" s="8"/>
      <c r="ES7" s="8"/>
      <c r="ET7" s="8"/>
      <c r="EU7" s="8"/>
      <c r="EV7" s="8"/>
      <c r="EW7" s="8"/>
      <c r="EX7" s="8"/>
      <c r="EY7" s="8"/>
      <c r="EZ7" s="8"/>
      <c r="FA7" s="8"/>
      <c r="FB7" s="8"/>
      <c r="FC7" s="8"/>
      <c r="FD7" s="8"/>
      <c r="FE7" s="8"/>
      <c r="FF7" s="8"/>
      <c r="FG7" s="8"/>
      <c r="FH7" s="8"/>
      <c r="FI7" s="8"/>
      <c r="FJ7" s="8"/>
      <c r="FK7" s="8"/>
      <c r="FL7" s="8"/>
      <c r="FM7" s="8"/>
      <c r="FN7" s="8"/>
      <c r="FO7" s="8"/>
      <c r="FP7" s="8"/>
      <c r="FQ7" s="8"/>
      <c r="FR7" s="8"/>
      <c r="FS7" s="8"/>
      <c r="FT7" s="8"/>
      <c r="FU7" s="8"/>
      <c r="FV7" s="8"/>
      <c r="FW7" s="8"/>
      <c r="FX7" s="8"/>
      <c r="FY7" s="8"/>
      <c r="FZ7" s="8"/>
      <c r="GA7" s="8"/>
      <c r="GB7" s="8"/>
      <c r="GC7" s="8"/>
      <c r="GD7" s="8"/>
      <c r="GE7" s="8"/>
      <c r="GF7" s="8"/>
      <c r="GG7" s="8"/>
      <c r="GH7" s="8"/>
      <c r="GI7" s="8"/>
      <c r="GJ7" s="8"/>
      <c r="GK7" s="8"/>
      <c r="GL7" s="8"/>
      <c r="GM7" s="8"/>
      <c r="GN7" s="8"/>
      <c r="GO7" s="8"/>
      <c r="GP7" s="8"/>
      <c r="GQ7" s="8"/>
      <c r="GR7" s="8"/>
      <c r="GS7" s="8"/>
      <c r="GT7" s="8"/>
      <c r="GU7" s="8"/>
      <c r="GV7" s="8"/>
      <c r="GW7" s="8"/>
      <c r="GX7" s="8"/>
      <c r="GY7" s="8"/>
      <c r="GZ7" s="8"/>
      <c r="HA7" s="8"/>
      <c r="HB7" s="8"/>
      <c r="HC7" s="8"/>
      <c r="HD7" s="8"/>
      <c r="HE7" s="8"/>
      <c r="HF7" s="8"/>
      <c r="HG7" s="8"/>
      <c r="HH7" s="8"/>
      <c r="HI7" s="8"/>
      <c r="HJ7" s="8"/>
      <c r="HK7" s="8"/>
      <c r="HL7" s="8"/>
      <c r="HM7" s="8"/>
      <c r="HN7" s="8"/>
      <c r="HO7" s="8"/>
      <c r="HP7" s="8"/>
      <c r="HQ7" s="8"/>
      <c r="HR7" s="8"/>
      <c r="HS7" s="8"/>
      <c r="HT7" s="8"/>
      <c r="HU7" s="8"/>
      <c r="HV7" s="8"/>
      <c r="HW7" s="8"/>
      <c r="HX7" s="8"/>
      <c r="HY7" s="8"/>
      <c r="HZ7" s="8"/>
      <c r="IA7" s="8"/>
      <c r="IB7" s="8"/>
      <c r="IC7" s="8"/>
      <c r="ID7" s="8"/>
      <c r="IE7" s="8"/>
      <c r="IF7" s="8"/>
      <c r="IG7" s="8"/>
      <c r="IH7" s="8"/>
      <c r="II7" s="8"/>
      <c r="IJ7" s="8"/>
      <c r="IK7" s="8"/>
      <c r="IL7" s="8"/>
      <c r="IM7" s="8"/>
      <c r="IN7" s="8"/>
      <c r="IO7" s="8"/>
      <c r="IP7" s="8"/>
      <c r="IQ7" s="8"/>
      <c r="IR7" s="8"/>
      <c r="IS7" s="8"/>
      <c r="IT7" s="8"/>
      <c r="IU7" s="8"/>
      <c r="IV7" s="8"/>
      <c r="IW7" s="8"/>
      <c r="IX7" s="8"/>
      <c r="IY7" s="8"/>
      <c r="IZ7" s="8"/>
      <c r="JA7" s="8"/>
      <c r="JB7" s="8"/>
      <c r="JC7" s="8"/>
      <c r="JD7" s="8"/>
      <c r="JE7" s="8"/>
      <c r="JF7" s="8"/>
      <c r="JG7" s="8"/>
      <c r="JH7" s="8"/>
      <c r="JI7" s="8"/>
      <c r="JJ7" s="8"/>
      <c r="JK7" s="8"/>
      <c r="JL7" s="8"/>
      <c r="JM7" s="8"/>
      <c r="JN7" s="8"/>
      <c r="JO7" s="8"/>
      <c r="JP7" s="8"/>
      <c r="JQ7" s="8"/>
      <c r="JR7" s="8"/>
      <c r="JS7" s="8"/>
      <c r="JT7" s="8"/>
      <c r="JU7" s="8"/>
      <c r="JV7" s="8"/>
      <c r="JW7" s="8"/>
      <c r="JX7" s="8"/>
      <c r="JY7" s="8"/>
      <c r="JZ7" s="8"/>
      <c r="KA7" s="8"/>
      <c r="KB7" s="8"/>
      <c r="KC7" s="8"/>
      <c r="KD7" s="8"/>
      <c r="KE7" s="8"/>
      <c r="KF7" s="8"/>
      <c r="KG7" s="8"/>
      <c r="KH7" s="8"/>
      <c r="KI7" s="8"/>
      <c r="KJ7" s="8"/>
      <c r="KK7" s="8"/>
      <c r="KL7" s="8"/>
      <c r="KM7" s="8"/>
      <c r="KN7" s="8"/>
      <c r="KO7" s="8"/>
      <c r="KP7" s="8"/>
      <c r="KQ7" s="8"/>
      <c r="KR7" s="8"/>
      <c r="KS7" s="8"/>
      <c r="KT7" s="8"/>
      <c r="KU7" s="8"/>
      <c r="KV7" s="8"/>
      <c r="KW7" s="8"/>
      <c r="KX7" s="8"/>
      <c r="KY7" s="8"/>
      <c r="KZ7" s="8"/>
      <c r="LA7" s="8"/>
      <c r="LB7" s="8"/>
      <c r="LC7" s="8"/>
      <c r="LD7" s="8"/>
      <c r="LE7" s="8"/>
      <c r="LF7" s="8"/>
      <c r="LG7" s="8"/>
      <c r="LH7" s="8"/>
      <c r="LI7" s="8"/>
      <c r="LJ7" s="8"/>
      <c r="LK7" s="8"/>
      <c r="LL7" s="8"/>
      <c r="LM7" s="8"/>
      <c r="LN7" s="8"/>
      <c r="LO7" s="8"/>
      <c r="LP7" s="8"/>
      <c r="LQ7" s="8"/>
      <c r="LR7" s="8"/>
      <c r="LS7" s="8"/>
      <c r="LT7" s="8"/>
      <c r="LU7" s="8"/>
      <c r="LV7" s="8"/>
      <c r="LW7" s="8"/>
      <c r="LX7" s="8"/>
      <c r="LY7" s="8"/>
      <c r="LZ7" s="8"/>
      <c r="MA7" s="8"/>
      <c r="MB7" s="8"/>
      <c r="MC7" s="8"/>
      <c r="MD7" s="8"/>
      <c r="ME7" s="8"/>
      <c r="MF7" s="8"/>
      <c r="MG7" s="8"/>
    </row>
    <row r="8" spans="1:345" s="1" customFormat="1" ht="16" hidden="1" thickBot="1" x14ac:dyDescent="0.3">
      <c r="A8" s="7"/>
      <c r="C8" s="12"/>
      <c r="D8" s="14" t="s">
        <v>278</v>
      </c>
      <c r="E8" s="8"/>
      <c r="F8" s="8"/>
      <c r="G8" s="8"/>
      <c r="H8" s="8"/>
      <c r="I8" s="8"/>
      <c r="J8" s="8"/>
      <c r="K8" s="8"/>
      <c r="L8" s="8"/>
      <c r="M8" s="8"/>
      <c r="N8" s="8"/>
      <c r="O8" s="8"/>
    </row>
    <row r="9" spans="1:345" s="1" customFormat="1" ht="16" hidden="1" thickBot="1" x14ac:dyDescent="0.3">
      <c r="A9" s="7"/>
      <c r="C9" s="12"/>
      <c r="D9" s="15" t="s">
        <v>206</v>
      </c>
      <c r="E9" s="8"/>
      <c r="F9" s="8"/>
      <c r="G9" s="8"/>
      <c r="H9" s="8"/>
      <c r="I9" s="8"/>
      <c r="J9" s="8"/>
      <c r="K9" s="8"/>
      <c r="L9" s="8"/>
      <c r="M9" s="8"/>
      <c r="N9" s="8"/>
      <c r="O9" s="8"/>
    </row>
    <row r="10" spans="1:345" s="1" customFormat="1" ht="35.5" hidden="1" thickBot="1" x14ac:dyDescent="0.75">
      <c r="A10" s="7"/>
      <c r="C10" s="11"/>
      <c r="D10" s="16" t="s">
        <v>4442</v>
      </c>
      <c r="E10" s="8"/>
      <c r="F10" s="8"/>
      <c r="G10" s="8"/>
      <c r="H10" s="8"/>
      <c r="I10" s="8"/>
      <c r="J10" s="8"/>
      <c r="K10" s="8"/>
      <c r="L10" s="8"/>
      <c r="M10" s="8"/>
      <c r="N10" s="8"/>
      <c r="O10" s="8"/>
    </row>
    <row r="11" spans="1:345" s="1" customFormat="1" ht="35.5" hidden="1" thickBot="1" x14ac:dyDescent="0.75">
      <c r="A11" s="7"/>
      <c r="C11" s="11"/>
      <c r="D11" s="109" t="s">
        <v>4443</v>
      </c>
      <c r="E11" s="8"/>
      <c r="F11" s="8"/>
      <c r="G11" s="8"/>
      <c r="H11" s="8"/>
      <c r="I11" s="8"/>
      <c r="J11" s="8"/>
      <c r="K11" s="8"/>
      <c r="L11" s="8"/>
      <c r="M11" s="8"/>
      <c r="N11" s="8"/>
      <c r="O11" s="8"/>
    </row>
    <row r="12" spans="1:345" s="1" customFormat="1" ht="35.5" hidden="1" thickBot="1" x14ac:dyDescent="0.75">
      <c r="A12" s="7"/>
      <c r="B12" s="131">
        <f ca="1">TODAY()</f>
        <v>44473</v>
      </c>
      <c r="C12" s="131"/>
      <c r="D12" s="11"/>
      <c r="E12" s="8"/>
      <c r="F12" s="8"/>
      <c r="G12" s="8"/>
      <c r="H12" s="8"/>
      <c r="I12" s="8"/>
      <c r="J12" s="8"/>
      <c r="K12" s="8"/>
      <c r="L12" s="8"/>
      <c r="M12" s="8"/>
      <c r="N12" s="8"/>
      <c r="O12" s="8"/>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c r="CK12" s="8"/>
      <c r="CL12" s="8"/>
      <c r="CM12" s="8"/>
      <c r="CN12" s="8"/>
      <c r="CO12" s="8"/>
      <c r="CP12" s="8"/>
      <c r="CQ12" s="8"/>
      <c r="CR12" s="8"/>
      <c r="CS12" s="8"/>
      <c r="CT12" s="8"/>
      <c r="CU12" s="8"/>
      <c r="CV12" s="8"/>
      <c r="CW12" s="8"/>
      <c r="CX12" s="8"/>
      <c r="CY12" s="8"/>
      <c r="CZ12" s="8"/>
      <c r="DA12" s="8"/>
      <c r="DB12" s="8"/>
      <c r="DC12" s="8"/>
      <c r="DD12" s="8"/>
      <c r="DE12" s="8"/>
      <c r="DF12" s="8"/>
      <c r="DG12" s="8"/>
      <c r="DH12" s="8"/>
      <c r="DI12" s="8"/>
      <c r="DJ12" s="8"/>
      <c r="DK12" s="8"/>
      <c r="DL12" s="8"/>
      <c r="DM12" s="8"/>
      <c r="DN12" s="8"/>
      <c r="DO12" s="8"/>
      <c r="DP12" s="8"/>
      <c r="DQ12" s="8"/>
      <c r="DR12" s="8"/>
      <c r="DS12" s="8"/>
      <c r="DT12" s="8"/>
      <c r="DU12" s="8"/>
      <c r="DV12" s="8"/>
      <c r="DW12" s="8"/>
      <c r="DX12" s="8"/>
      <c r="DY12" s="8"/>
      <c r="DZ12" s="8"/>
      <c r="EA12" s="8"/>
      <c r="EB12" s="8"/>
      <c r="EC12" s="8"/>
      <c r="ED12" s="8"/>
      <c r="EE12" s="8"/>
      <c r="EF12" s="8"/>
      <c r="EG12" s="8"/>
      <c r="EH12" s="8"/>
      <c r="EI12" s="8"/>
      <c r="EJ12" s="8"/>
      <c r="EK12" s="8"/>
      <c r="EL12" s="8"/>
      <c r="EM12" s="8"/>
      <c r="EN12" s="8"/>
      <c r="EO12" s="8"/>
      <c r="EP12" s="8"/>
      <c r="EQ12" s="8"/>
      <c r="ER12" s="8"/>
      <c r="ES12" s="8"/>
      <c r="ET12" s="8"/>
      <c r="EU12" s="8"/>
      <c r="EV12" s="8"/>
      <c r="EW12" s="8"/>
      <c r="EX12" s="8"/>
      <c r="EY12" s="8"/>
      <c r="EZ12" s="8"/>
      <c r="FA12" s="8"/>
      <c r="FB12" s="8"/>
      <c r="FC12" s="8"/>
      <c r="FD12" s="8"/>
      <c r="FE12" s="8"/>
      <c r="FF12" s="8"/>
      <c r="FG12" s="8"/>
      <c r="FH12" s="8"/>
      <c r="FI12" s="8"/>
      <c r="FJ12" s="8"/>
      <c r="FK12" s="8"/>
      <c r="FL12" s="8"/>
      <c r="FM12" s="8"/>
      <c r="FN12" s="8"/>
      <c r="FO12" s="8"/>
      <c r="FP12" s="8"/>
      <c r="FQ12" s="8"/>
      <c r="FR12" s="8"/>
      <c r="FS12" s="8"/>
      <c r="FT12" s="8"/>
      <c r="FU12" s="8"/>
      <c r="FV12" s="8"/>
      <c r="FW12" s="8"/>
      <c r="FX12" s="8"/>
      <c r="FY12" s="8"/>
      <c r="FZ12" s="8"/>
      <c r="GA12" s="8"/>
      <c r="GB12" s="8"/>
      <c r="GC12" s="8"/>
      <c r="GD12" s="8"/>
      <c r="GE12" s="8"/>
      <c r="GF12" s="8"/>
      <c r="GG12" s="8"/>
      <c r="GH12" s="8"/>
      <c r="GI12" s="8"/>
      <c r="GJ12" s="8"/>
      <c r="GK12" s="8"/>
      <c r="GL12" s="8"/>
      <c r="GM12" s="8"/>
      <c r="GN12" s="8"/>
      <c r="GO12" s="8"/>
      <c r="GP12" s="8"/>
      <c r="GQ12" s="8"/>
      <c r="GR12" s="8"/>
      <c r="GS12" s="8"/>
      <c r="GT12" s="8"/>
      <c r="GU12" s="8"/>
      <c r="GV12" s="8"/>
      <c r="GW12" s="8"/>
      <c r="GX12" s="8"/>
      <c r="GY12" s="8"/>
      <c r="GZ12" s="8"/>
      <c r="HA12" s="8"/>
      <c r="HB12" s="8"/>
      <c r="HC12" s="8"/>
      <c r="HD12" s="8"/>
      <c r="HE12" s="8"/>
      <c r="HF12" s="8"/>
      <c r="HG12" s="8"/>
      <c r="HH12" s="8"/>
      <c r="HI12" s="8"/>
      <c r="HJ12" s="8"/>
      <c r="HK12" s="8"/>
      <c r="HL12" s="8"/>
      <c r="HM12" s="8"/>
      <c r="HN12" s="8"/>
      <c r="HO12" s="8"/>
      <c r="HP12" s="8"/>
      <c r="HQ12" s="8"/>
      <c r="HR12" s="8"/>
      <c r="HS12" s="8"/>
      <c r="HT12" s="8"/>
      <c r="HU12" s="8"/>
      <c r="HV12" s="8"/>
      <c r="HW12" s="8"/>
      <c r="HX12" s="8"/>
      <c r="HY12" s="8"/>
      <c r="HZ12" s="8"/>
      <c r="IA12" s="8"/>
      <c r="IB12" s="8"/>
      <c r="IC12" s="8"/>
      <c r="ID12" s="8"/>
      <c r="IE12" s="8"/>
      <c r="IF12" s="8"/>
      <c r="IG12" s="8"/>
      <c r="IH12" s="8"/>
      <c r="II12" s="8"/>
      <c r="IJ12" s="8"/>
      <c r="IK12" s="8"/>
      <c r="IL12" s="8"/>
      <c r="IM12" s="8"/>
      <c r="IN12" s="8"/>
      <c r="IO12" s="8"/>
      <c r="IP12" s="8"/>
      <c r="IQ12" s="8"/>
      <c r="IR12" s="8"/>
      <c r="IS12" s="8"/>
      <c r="IT12" s="8"/>
      <c r="IU12" s="8"/>
      <c r="IV12" s="8"/>
      <c r="IW12" s="8"/>
      <c r="IX12" s="8"/>
      <c r="IY12" s="8"/>
      <c r="IZ12" s="8"/>
      <c r="JA12" s="8"/>
      <c r="JB12" s="8"/>
      <c r="JC12" s="8"/>
      <c r="JD12" s="8"/>
      <c r="JE12" s="8"/>
      <c r="JF12" s="8"/>
      <c r="JG12" s="8"/>
      <c r="JH12" s="8"/>
      <c r="JI12" s="8"/>
      <c r="JJ12" s="8"/>
      <c r="JK12" s="8"/>
      <c r="JL12" s="8"/>
      <c r="JM12" s="8"/>
      <c r="JN12" s="8"/>
      <c r="JO12" s="8"/>
      <c r="JP12" s="8"/>
      <c r="JQ12" s="8"/>
      <c r="JR12" s="8"/>
      <c r="JS12" s="8"/>
      <c r="JT12" s="8"/>
      <c r="JU12" s="8"/>
      <c r="JV12" s="8"/>
      <c r="JW12" s="8"/>
      <c r="JX12" s="8"/>
      <c r="JY12" s="8"/>
      <c r="JZ12" s="8"/>
      <c r="KA12" s="8"/>
      <c r="KB12" s="8"/>
      <c r="KC12" s="8"/>
      <c r="KD12" s="8"/>
      <c r="KE12" s="8"/>
      <c r="KF12" s="8"/>
      <c r="KG12" s="8"/>
      <c r="KH12" s="8"/>
      <c r="KI12" s="8"/>
      <c r="KJ12" s="8"/>
      <c r="KK12" s="8"/>
      <c r="KL12" s="8"/>
      <c r="KM12" s="8"/>
      <c r="KN12" s="8"/>
      <c r="KO12" s="8"/>
      <c r="KP12" s="8"/>
      <c r="KQ12" s="8"/>
      <c r="KR12" s="8"/>
      <c r="KS12" s="8"/>
      <c r="KT12" s="8"/>
      <c r="KU12" s="8"/>
      <c r="KV12" s="8"/>
      <c r="KW12" s="8"/>
      <c r="KX12" s="8"/>
      <c r="KY12" s="8"/>
      <c r="KZ12" s="8"/>
      <c r="LA12" s="8"/>
      <c r="LB12" s="8"/>
      <c r="LC12" s="8"/>
      <c r="LD12" s="8"/>
      <c r="LE12" s="8"/>
      <c r="LF12" s="8"/>
      <c r="LG12" s="8"/>
      <c r="LH12" s="8"/>
      <c r="LI12" s="8"/>
      <c r="LJ12" s="8"/>
      <c r="LK12" s="8"/>
      <c r="LL12" s="8"/>
      <c r="LM12" s="8"/>
      <c r="LN12" s="8"/>
      <c r="LO12" s="8"/>
      <c r="LP12" s="8"/>
      <c r="LQ12" s="8"/>
      <c r="LR12" s="8"/>
      <c r="LS12" s="8"/>
      <c r="LT12" s="8"/>
      <c r="LU12" s="8"/>
      <c r="LV12" s="8"/>
      <c r="LW12" s="8"/>
      <c r="LX12" s="8"/>
      <c r="LY12" s="8"/>
      <c r="LZ12" s="8"/>
      <c r="MA12" s="8"/>
      <c r="MB12" s="8"/>
      <c r="MC12" s="8"/>
      <c r="MD12" s="8"/>
      <c r="ME12" s="8"/>
      <c r="MF12" s="8"/>
      <c r="MG12" s="8"/>
    </row>
    <row r="13" spans="1:345" s="1" customFormat="1" ht="13" hidden="1" thickBot="1" x14ac:dyDescent="0.3">
      <c r="A13" s="7"/>
      <c r="B13" s="129"/>
      <c r="C13" s="129"/>
      <c r="D13" s="129"/>
      <c r="E13" s="8"/>
      <c r="F13" s="8"/>
      <c r="G13" s="8"/>
      <c r="H13" s="8"/>
      <c r="I13" s="8"/>
      <c r="J13" s="8"/>
      <c r="K13" s="8"/>
      <c r="L13" s="8"/>
      <c r="M13" s="8"/>
      <c r="N13" s="8"/>
      <c r="O13" s="8"/>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c r="CK13" s="8"/>
      <c r="CL13" s="8"/>
      <c r="CM13" s="8"/>
      <c r="CN13" s="8"/>
      <c r="CO13" s="8"/>
      <c r="CP13" s="8"/>
      <c r="CQ13" s="8"/>
      <c r="CR13" s="8"/>
      <c r="CS13" s="8"/>
      <c r="CT13" s="8"/>
      <c r="CU13" s="8"/>
      <c r="CV13" s="8"/>
      <c r="CW13" s="8"/>
      <c r="CX13" s="8"/>
      <c r="CY13" s="8"/>
      <c r="CZ13" s="8"/>
      <c r="DA13" s="8"/>
      <c r="DB13" s="8"/>
      <c r="DC13" s="8"/>
      <c r="DD13" s="8"/>
      <c r="DE13" s="8"/>
      <c r="DF13" s="8"/>
      <c r="DG13" s="8"/>
      <c r="DH13" s="8"/>
      <c r="DI13" s="8"/>
      <c r="DJ13" s="8"/>
      <c r="DK13" s="8"/>
      <c r="DL13" s="8"/>
      <c r="DM13" s="8"/>
      <c r="DN13" s="8"/>
      <c r="DO13" s="8"/>
      <c r="DP13" s="8"/>
      <c r="DQ13" s="8"/>
      <c r="DR13" s="8"/>
      <c r="DS13" s="8"/>
      <c r="DT13" s="8"/>
      <c r="DU13" s="8"/>
      <c r="DV13" s="8"/>
      <c r="DW13" s="8"/>
      <c r="DX13" s="8"/>
      <c r="DY13" s="8"/>
      <c r="DZ13" s="8"/>
      <c r="EA13" s="8"/>
      <c r="EB13" s="8"/>
      <c r="EC13" s="8"/>
      <c r="ED13" s="8"/>
      <c r="EE13" s="8"/>
      <c r="EF13" s="8"/>
      <c r="EG13" s="8"/>
      <c r="EH13" s="8"/>
      <c r="EI13" s="8"/>
      <c r="EJ13" s="8"/>
      <c r="EK13" s="8"/>
      <c r="EL13" s="8"/>
      <c r="EM13" s="8"/>
      <c r="EN13" s="8"/>
      <c r="EO13" s="8"/>
      <c r="EP13" s="8"/>
      <c r="EQ13" s="8"/>
      <c r="ER13" s="8"/>
      <c r="ES13" s="8"/>
      <c r="ET13" s="8"/>
      <c r="EU13" s="8"/>
      <c r="EV13" s="8"/>
      <c r="EW13" s="8"/>
      <c r="EX13" s="8"/>
      <c r="EY13" s="8"/>
      <c r="EZ13" s="8"/>
      <c r="FA13" s="8"/>
      <c r="FB13" s="8"/>
      <c r="FC13" s="8"/>
      <c r="FD13" s="8"/>
      <c r="FE13" s="8"/>
      <c r="FF13" s="8"/>
      <c r="FG13" s="8"/>
      <c r="FH13" s="8"/>
      <c r="FI13" s="8"/>
      <c r="FJ13" s="8"/>
      <c r="FK13" s="8"/>
      <c r="FL13" s="8"/>
      <c r="FM13" s="8"/>
      <c r="FN13" s="8"/>
      <c r="FO13" s="8"/>
      <c r="FP13" s="8"/>
      <c r="FQ13" s="8"/>
      <c r="FR13" s="8"/>
      <c r="FS13" s="8"/>
      <c r="FT13" s="8"/>
      <c r="FU13" s="8"/>
      <c r="FV13" s="8"/>
      <c r="FW13" s="8"/>
      <c r="FX13" s="8"/>
      <c r="FY13" s="8"/>
      <c r="FZ13" s="8"/>
      <c r="GA13" s="8"/>
      <c r="GB13" s="8"/>
      <c r="GC13" s="8"/>
      <c r="GD13" s="8"/>
      <c r="GE13" s="8"/>
      <c r="GF13" s="8"/>
      <c r="GG13" s="8"/>
      <c r="GH13" s="8"/>
      <c r="GI13" s="8"/>
      <c r="GJ13" s="8"/>
      <c r="GK13" s="8"/>
      <c r="GL13" s="8"/>
      <c r="GM13" s="8"/>
      <c r="GN13" s="8"/>
      <c r="GO13" s="8"/>
      <c r="GP13" s="8"/>
      <c r="GQ13" s="8"/>
      <c r="GR13" s="8"/>
      <c r="GS13" s="8"/>
      <c r="GT13" s="8"/>
      <c r="GU13" s="8"/>
      <c r="GV13" s="8"/>
      <c r="GW13" s="8"/>
      <c r="GX13" s="8"/>
      <c r="GY13" s="8"/>
      <c r="GZ13" s="8"/>
      <c r="HA13" s="8"/>
      <c r="HB13" s="8"/>
      <c r="HC13" s="8"/>
      <c r="HD13" s="8"/>
      <c r="HE13" s="8"/>
      <c r="HF13" s="8"/>
      <c r="HG13" s="8"/>
      <c r="HH13" s="8"/>
      <c r="HI13" s="8"/>
      <c r="HJ13" s="8"/>
      <c r="HK13" s="8"/>
      <c r="HL13" s="8"/>
      <c r="HM13" s="8"/>
      <c r="HN13" s="8"/>
      <c r="HO13" s="8"/>
      <c r="HP13" s="8"/>
      <c r="HQ13" s="8"/>
      <c r="HR13" s="8"/>
      <c r="HS13" s="8"/>
      <c r="HT13" s="8"/>
      <c r="HU13" s="8"/>
      <c r="HV13" s="8"/>
      <c r="HW13" s="8"/>
      <c r="HX13" s="8"/>
      <c r="HY13" s="8"/>
      <c r="HZ13" s="8"/>
      <c r="IA13" s="8"/>
      <c r="IB13" s="8"/>
      <c r="IC13" s="8"/>
      <c r="ID13" s="8"/>
      <c r="IE13" s="8"/>
      <c r="IF13" s="8"/>
      <c r="IG13" s="8"/>
      <c r="IH13" s="8"/>
      <c r="II13" s="8"/>
      <c r="IJ13" s="8"/>
      <c r="IK13" s="8"/>
      <c r="IL13" s="8"/>
      <c r="IM13" s="8"/>
      <c r="IN13" s="8"/>
      <c r="IO13" s="8"/>
      <c r="IP13" s="8"/>
      <c r="IQ13" s="8"/>
      <c r="IR13" s="8"/>
      <c r="IS13" s="8"/>
      <c r="IT13" s="8"/>
      <c r="IU13" s="8"/>
      <c r="IV13" s="8"/>
      <c r="IW13" s="8"/>
      <c r="IX13" s="8"/>
      <c r="IY13" s="8"/>
      <c r="IZ13" s="8"/>
      <c r="JA13" s="8"/>
      <c r="JB13" s="8"/>
      <c r="JC13" s="8"/>
      <c r="JD13" s="8"/>
      <c r="JE13" s="8"/>
      <c r="JF13" s="8"/>
      <c r="JG13" s="8"/>
      <c r="JH13" s="8"/>
      <c r="JI13" s="8"/>
      <c r="JJ13" s="8"/>
      <c r="JK13" s="8"/>
      <c r="JL13" s="8"/>
      <c r="JM13" s="8"/>
      <c r="JN13" s="8"/>
      <c r="JO13" s="8"/>
      <c r="JP13" s="8"/>
      <c r="JQ13" s="8"/>
      <c r="JR13" s="8"/>
      <c r="JS13" s="8"/>
      <c r="JT13" s="8"/>
      <c r="JU13" s="8"/>
      <c r="JV13" s="8"/>
      <c r="JW13" s="8"/>
      <c r="JX13" s="8"/>
      <c r="JY13" s="8"/>
      <c r="JZ13" s="8"/>
      <c r="KA13" s="8"/>
      <c r="KB13" s="8"/>
      <c r="KC13" s="8"/>
      <c r="KD13" s="8"/>
      <c r="KE13" s="8"/>
      <c r="KF13" s="8"/>
      <c r="KG13" s="8"/>
      <c r="KH13" s="8"/>
      <c r="KI13" s="8"/>
      <c r="KJ13" s="8"/>
      <c r="KK13" s="8"/>
      <c r="KL13" s="8"/>
      <c r="KM13" s="8"/>
      <c r="KN13" s="8"/>
      <c r="KO13" s="8"/>
      <c r="KP13" s="8"/>
      <c r="KQ13" s="8"/>
      <c r="KR13" s="8"/>
      <c r="KS13" s="8"/>
      <c r="KT13" s="8"/>
      <c r="KU13" s="8"/>
      <c r="KV13" s="8"/>
      <c r="KW13" s="8"/>
      <c r="KX13" s="8"/>
      <c r="KY13" s="8"/>
      <c r="KZ13" s="8"/>
      <c r="LA13" s="8"/>
      <c r="LB13" s="8"/>
      <c r="LC13" s="8"/>
      <c r="LD13" s="8"/>
      <c r="LE13" s="8"/>
      <c r="LF13" s="8"/>
      <c r="LG13" s="8"/>
      <c r="LH13" s="8"/>
      <c r="LI13" s="8"/>
      <c r="LJ13" s="8"/>
      <c r="LK13" s="8"/>
      <c r="LL13" s="8"/>
      <c r="LM13" s="8"/>
      <c r="LN13" s="8"/>
      <c r="LO13" s="8"/>
      <c r="LP13" s="8"/>
      <c r="LQ13" s="8"/>
      <c r="LR13" s="8"/>
      <c r="LS13" s="8"/>
      <c r="LT13" s="8"/>
      <c r="LU13" s="8"/>
      <c r="LV13" s="8"/>
      <c r="LW13" s="8"/>
      <c r="LX13" s="8"/>
      <c r="LY13" s="8"/>
      <c r="LZ13" s="8"/>
      <c r="MA13" s="8"/>
      <c r="MB13" s="8"/>
      <c r="MC13" s="8"/>
      <c r="MD13" s="8"/>
      <c r="ME13" s="8"/>
      <c r="MF13" s="8"/>
      <c r="MG13" s="8"/>
    </row>
    <row r="14" spans="1:345" s="1" customFormat="1" ht="13" hidden="1" thickBot="1" x14ac:dyDescent="0.3">
      <c r="A14" s="7"/>
      <c r="B14" s="130"/>
      <c r="C14" s="130"/>
      <c r="D14" s="130"/>
      <c r="E14" s="8"/>
      <c r="F14" s="8"/>
      <c r="G14" s="8"/>
      <c r="H14" s="8"/>
      <c r="I14" s="8"/>
      <c r="J14" s="8"/>
      <c r="K14" s="8"/>
      <c r="L14" s="8"/>
      <c r="M14" s="8"/>
      <c r="N14" s="8"/>
      <c r="O14" s="8"/>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c r="CK14" s="8"/>
      <c r="CL14" s="8"/>
      <c r="CM14" s="8"/>
      <c r="CN14" s="8"/>
      <c r="CO14" s="8"/>
      <c r="CP14" s="8"/>
      <c r="CQ14" s="8"/>
      <c r="CR14" s="8"/>
      <c r="CS14" s="8"/>
      <c r="CT14" s="8"/>
      <c r="CU14" s="8"/>
      <c r="CV14" s="8"/>
      <c r="CW14" s="8"/>
      <c r="CX14" s="8"/>
      <c r="CY14" s="8"/>
      <c r="CZ14" s="8"/>
      <c r="DA14" s="8"/>
      <c r="DB14" s="8"/>
      <c r="DC14" s="8"/>
      <c r="DD14" s="8"/>
      <c r="DE14" s="8"/>
      <c r="DF14" s="8"/>
      <c r="DG14" s="8"/>
      <c r="DH14" s="8"/>
      <c r="DI14" s="8"/>
      <c r="DJ14" s="8"/>
      <c r="DK14" s="8"/>
      <c r="DL14" s="8"/>
      <c r="DM14" s="8"/>
      <c r="DN14" s="8"/>
      <c r="DO14" s="8"/>
      <c r="DP14" s="8"/>
      <c r="DQ14" s="8"/>
      <c r="DR14" s="8"/>
      <c r="DS14" s="8"/>
      <c r="DT14" s="8"/>
      <c r="DU14" s="8"/>
      <c r="DV14" s="8"/>
      <c r="DW14" s="8"/>
      <c r="DX14" s="8"/>
      <c r="DY14" s="8"/>
      <c r="DZ14" s="8"/>
      <c r="EA14" s="8"/>
      <c r="EB14" s="8"/>
      <c r="EC14" s="8"/>
      <c r="ED14" s="8"/>
      <c r="EE14" s="8"/>
      <c r="EF14" s="8"/>
      <c r="EG14" s="8"/>
      <c r="EH14" s="8"/>
      <c r="EI14" s="8"/>
      <c r="EJ14" s="8"/>
      <c r="EK14" s="8"/>
      <c r="EL14" s="8"/>
      <c r="EM14" s="8"/>
      <c r="EN14" s="8"/>
      <c r="EO14" s="8"/>
      <c r="EP14" s="8"/>
      <c r="EQ14" s="8"/>
      <c r="ER14" s="8"/>
      <c r="ES14" s="8"/>
      <c r="ET14" s="8"/>
      <c r="EU14" s="8"/>
      <c r="EV14" s="8"/>
      <c r="EW14" s="8"/>
      <c r="EX14" s="8"/>
      <c r="EY14" s="8"/>
      <c r="EZ14" s="8"/>
      <c r="FA14" s="8"/>
      <c r="FB14" s="8"/>
      <c r="FC14" s="8"/>
      <c r="FD14" s="8"/>
      <c r="FE14" s="8"/>
      <c r="FF14" s="8"/>
      <c r="FG14" s="8"/>
      <c r="FH14" s="8"/>
      <c r="FI14" s="8"/>
      <c r="FJ14" s="8"/>
      <c r="FK14" s="8"/>
      <c r="FL14" s="8"/>
      <c r="FM14" s="8"/>
      <c r="FN14" s="8"/>
      <c r="FO14" s="8"/>
      <c r="FP14" s="8"/>
      <c r="FQ14" s="8"/>
      <c r="FR14" s="8"/>
      <c r="FS14" s="8"/>
      <c r="FT14" s="8"/>
      <c r="FU14" s="8"/>
      <c r="FV14" s="8"/>
      <c r="FW14" s="8"/>
      <c r="FX14" s="8"/>
      <c r="FY14" s="8"/>
      <c r="FZ14" s="8"/>
      <c r="GA14" s="8"/>
      <c r="GB14" s="8"/>
      <c r="GC14" s="8"/>
      <c r="GD14" s="8"/>
      <c r="GE14" s="8"/>
      <c r="GF14" s="8"/>
      <c r="GG14" s="8"/>
      <c r="GH14" s="8"/>
      <c r="GI14" s="8"/>
      <c r="GJ14" s="8"/>
      <c r="GK14" s="8"/>
      <c r="GL14" s="8"/>
      <c r="GM14" s="8"/>
      <c r="GN14" s="8"/>
      <c r="GO14" s="8"/>
      <c r="GP14" s="8"/>
      <c r="GQ14" s="8"/>
      <c r="GR14" s="8"/>
      <c r="GS14" s="8"/>
      <c r="GT14" s="8"/>
      <c r="GU14" s="8"/>
      <c r="GV14" s="8"/>
      <c r="GW14" s="8"/>
      <c r="GX14" s="8"/>
      <c r="GY14" s="8"/>
      <c r="GZ14" s="8"/>
      <c r="HA14" s="8"/>
      <c r="HB14" s="8"/>
      <c r="HC14" s="8"/>
      <c r="HD14" s="8"/>
      <c r="HE14" s="8"/>
      <c r="HF14" s="8"/>
      <c r="HG14" s="8"/>
      <c r="HH14" s="8"/>
      <c r="HI14" s="8"/>
      <c r="HJ14" s="8"/>
      <c r="HK14" s="8"/>
      <c r="HL14" s="8"/>
      <c r="HM14" s="8"/>
      <c r="HN14" s="8"/>
      <c r="HO14" s="8"/>
      <c r="HP14" s="8"/>
      <c r="HQ14" s="8"/>
      <c r="HR14" s="8"/>
      <c r="HS14" s="8"/>
      <c r="HT14" s="8"/>
      <c r="HU14" s="8"/>
      <c r="HV14" s="8"/>
      <c r="HW14" s="8"/>
      <c r="HX14" s="8"/>
      <c r="HY14" s="8"/>
      <c r="HZ14" s="8"/>
      <c r="IA14" s="8"/>
      <c r="IB14" s="8"/>
      <c r="IC14" s="8"/>
      <c r="ID14" s="8"/>
      <c r="IE14" s="8"/>
      <c r="IF14" s="8"/>
      <c r="IG14" s="8"/>
      <c r="IH14" s="8"/>
      <c r="II14" s="8"/>
      <c r="IJ14" s="8"/>
      <c r="IK14" s="8"/>
      <c r="IL14" s="8"/>
      <c r="IM14" s="8"/>
      <c r="IN14" s="8"/>
      <c r="IO14" s="8"/>
      <c r="IP14" s="8"/>
      <c r="IQ14" s="8"/>
      <c r="IR14" s="8"/>
      <c r="IS14" s="8"/>
      <c r="IT14" s="8"/>
      <c r="IU14" s="8"/>
      <c r="IV14" s="8"/>
      <c r="IW14" s="8"/>
      <c r="IX14" s="8"/>
      <c r="IY14" s="8"/>
      <c r="IZ14" s="8"/>
      <c r="JA14" s="8"/>
      <c r="JB14" s="8"/>
      <c r="JC14" s="8"/>
      <c r="JD14" s="8"/>
      <c r="JE14" s="8"/>
      <c r="JF14" s="8"/>
      <c r="JG14" s="8"/>
      <c r="JH14" s="8"/>
      <c r="JI14" s="8"/>
      <c r="JJ14" s="8"/>
      <c r="JK14" s="8"/>
      <c r="JL14" s="8"/>
      <c r="JM14" s="8"/>
      <c r="JN14" s="8"/>
      <c r="JO14" s="8"/>
      <c r="JP14" s="8"/>
      <c r="JQ14" s="8"/>
      <c r="JR14" s="8"/>
      <c r="JS14" s="8"/>
      <c r="JT14" s="8"/>
      <c r="JU14" s="8"/>
      <c r="JV14" s="8"/>
      <c r="JW14" s="8"/>
      <c r="JX14" s="8"/>
      <c r="JY14" s="8"/>
      <c r="JZ14" s="8"/>
      <c r="KA14" s="8"/>
      <c r="KB14" s="8"/>
      <c r="KC14" s="8"/>
      <c r="KD14" s="8"/>
      <c r="KE14" s="8"/>
      <c r="KF14" s="8"/>
      <c r="KG14" s="8"/>
      <c r="KH14" s="8"/>
      <c r="KI14" s="8"/>
      <c r="KJ14" s="8"/>
      <c r="KK14" s="8"/>
      <c r="KL14" s="8"/>
      <c r="KM14" s="8"/>
      <c r="KN14" s="8"/>
      <c r="KO14" s="8"/>
      <c r="KP14" s="8"/>
      <c r="KQ14" s="8"/>
      <c r="KR14" s="8"/>
      <c r="KS14" s="8"/>
      <c r="KT14" s="8"/>
      <c r="KU14" s="8"/>
      <c r="KV14" s="8"/>
      <c r="KW14" s="8"/>
      <c r="KX14" s="8"/>
      <c r="KY14" s="8"/>
      <c r="KZ14" s="8"/>
      <c r="LA14" s="8"/>
      <c r="LB14" s="8"/>
      <c r="LC14" s="8"/>
      <c r="LD14" s="8"/>
      <c r="LE14" s="8"/>
      <c r="LF14" s="8"/>
      <c r="LG14" s="8"/>
      <c r="LH14" s="8"/>
      <c r="LI14" s="8"/>
      <c r="LJ14" s="8"/>
      <c r="LK14" s="8"/>
      <c r="LL14" s="8"/>
      <c r="LM14" s="8"/>
      <c r="LN14" s="8"/>
      <c r="LO14" s="8"/>
      <c r="LP14" s="8"/>
      <c r="LQ14" s="8"/>
      <c r="LR14" s="8"/>
      <c r="LS14" s="8"/>
      <c r="LT14" s="8"/>
      <c r="LU14" s="8"/>
      <c r="LV14" s="8"/>
      <c r="LW14" s="8"/>
      <c r="LX14" s="8"/>
      <c r="LY14" s="8"/>
      <c r="LZ14" s="8"/>
      <c r="MA14" s="8"/>
      <c r="MB14" s="8"/>
      <c r="MC14" s="8"/>
      <c r="MD14" s="8"/>
      <c r="ME14" s="8"/>
      <c r="MF14" s="8"/>
      <c r="MG14" s="8"/>
    </row>
    <row r="15" spans="1:345" ht="39" x14ac:dyDescent="0.25">
      <c r="B15" s="4" t="s">
        <v>0</v>
      </c>
      <c r="C15" s="5" t="s">
        <v>1</v>
      </c>
      <c r="D15" s="5" t="s">
        <v>6</v>
      </c>
      <c r="E15" s="5" t="s">
        <v>2</v>
      </c>
      <c r="F15" s="5" t="s">
        <v>49</v>
      </c>
      <c r="G15" s="5" t="s">
        <v>3</v>
      </c>
      <c r="H15" s="5" t="s">
        <v>45</v>
      </c>
      <c r="I15" s="5" t="s">
        <v>46</v>
      </c>
      <c r="J15" s="5" t="s">
        <v>4</v>
      </c>
      <c r="K15" s="5" t="s">
        <v>5</v>
      </c>
      <c r="L15" s="5" t="s">
        <v>7</v>
      </c>
      <c r="M15" s="6" t="s">
        <v>4441</v>
      </c>
      <c r="N15" s="6" t="s">
        <v>44</v>
      </c>
      <c r="O15" s="6" t="s">
        <v>208</v>
      </c>
      <c r="P15" s="35"/>
    </row>
    <row r="16" spans="1:345" ht="35.15" hidden="1" customHeight="1" x14ac:dyDescent="0.25">
      <c r="B16" s="28" t="s">
        <v>217</v>
      </c>
      <c r="C16" s="24" t="s">
        <v>23</v>
      </c>
      <c r="D16" s="19" t="s">
        <v>343</v>
      </c>
      <c r="E16" s="23">
        <v>11107</v>
      </c>
      <c r="F16" s="27">
        <f t="shared" ref="F16:F79" ca="1" si="0">IF(E16&lt;&gt;"",TODAY()-E16,"")</f>
        <v>33366</v>
      </c>
      <c r="G16" s="34">
        <v>43980</v>
      </c>
      <c r="H16" s="42" t="s">
        <v>351</v>
      </c>
      <c r="I16" s="25" t="s">
        <v>206</v>
      </c>
      <c r="J16" s="34"/>
      <c r="K16" s="22"/>
      <c r="L16" s="23">
        <v>43981</v>
      </c>
      <c r="M16" s="23"/>
      <c r="N16" s="33" t="s">
        <v>360</v>
      </c>
      <c r="O16" s="26" t="s">
        <v>57</v>
      </c>
      <c r="R16" s="20"/>
    </row>
    <row r="17" spans="2:18" ht="35.15" hidden="1" customHeight="1" x14ac:dyDescent="0.25">
      <c r="B17" s="28" t="s">
        <v>248</v>
      </c>
      <c r="C17" s="21" t="s">
        <v>37</v>
      </c>
      <c r="D17" s="19" t="s">
        <v>438</v>
      </c>
      <c r="E17" s="18">
        <v>11138</v>
      </c>
      <c r="F17" s="27">
        <f t="shared" ca="1" si="0"/>
        <v>33335</v>
      </c>
      <c r="G17" s="34"/>
      <c r="H17" s="25"/>
      <c r="I17" s="25" t="s">
        <v>206</v>
      </c>
      <c r="J17" s="34"/>
      <c r="K17" s="22"/>
      <c r="L17" s="23">
        <v>44011</v>
      </c>
      <c r="M17" s="23"/>
      <c r="N17" s="33" t="s">
        <v>153</v>
      </c>
      <c r="O17" s="26"/>
      <c r="R17" s="20"/>
    </row>
    <row r="18" spans="2:18" ht="35.15" hidden="1" customHeight="1" x14ac:dyDescent="0.25">
      <c r="B18" s="28" t="s">
        <v>274</v>
      </c>
      <c r="C18" s="21" t="s">
        <v>23</v>
      </c>
      <c r="D18" s="19" t="s">
        <v>64</v>
      </c>
      <c r="E18" s="18">
        <v>43881</v>
      </c>
      <c r="F18" s="27">
        <f t="shared" ca="1" si="0"/>
        <v>592</v>
      </c>
      <c r="G18" s="34"/>
      <c r="H18" s="25"/>
      <c r="I18" s="25"/>
      <c r="J18" s="34"/>
      <c r="K18" s="22"/>
      <c r="L18" s="23">
        <v>43892</v>
      </c>
      <c r="M18" s="23"/>
      <c r="N18" s="33" t="s">
        <v>67</v>
      </c>
      <c r="O18" s="26" t="s">
        <v>57</v>
      </c>
      <c r="R18" s="20"/>
    </row>
    <row r="19" spans="2:18" ht="35.15" hidden="1" customHeight="1" x14ac:dyDescent="0.25">
      <c r="B19" s="28" t="s">
        <v>273</v>
      </c>
      <c r="C19" s="21" t="s">
        <v>12</v>
      </c>
      <c r="D19" s="21" t="s">
        <v>65</v>
      </c>
      <c r="E19" s="18">
        <v>43888</v>
      </c>
      <c r="F19" s="27">
        <f t="shared" ca="1" si="0"/>
        <v>585</v>
      </c>
      <c r="G19" s="34"/>
      <c r="H19" s="25"/>
      <c r="I19" s="25"/>
      <c r="J19" s="34"/>
      <c r="K19" s="22"/>
      <c r="L19" s="23">
        <v>43892</v>
      </c>
      <c r="M19" s="23"/>
      <c r="N19" s="33" t="s">
        <v>67</v>
      </c>
      <c r="O19" s="26" t="s">
        <v>66</v>
      </c>
      <c r="R19" s="20"/>
    </row>
    <row r="20" spans="2:18" ht="35.15" hidden="1" customHeight="1" x14ac:dyDescent="0.25">
      <c r="B20" s="28" t="s">
        <v>273</v>
      </c>
      <c r="C20" s="21" t="s">
        <v>33</v>
      </c>
      <c r="D20" s="21" t="s">
        <v>68</v>
      </c>
      <c r="E20" s="18">
        <v>43888</v>
      </c>
      <c r="F20" s="27">
        <f t="shared" ca="1" si="0"/>
        <v>585</v>
      </c>
      <c r="G20" s="34"/>
      <c r="H20" s="25"/>
      <c r="I20" s="25"/>
      <c r="J20" s="34"/>
      <c r="K20" s="22"/>
      <c r="L20" s="23">
        <v>43896</v>
      </c>
      <c r="M20" s="23"/>
      <c r="N20" s="33"/>
      <c r="O20" s="26" t="s">
        <v>86</v>
      </c>
      <c r="R20" s="20"/>
    </row>
    <row r="21" spans="2:18" ht="35.15" hidden="1" customHeight="1" x14ac:dyDescent="0.25">
      <c r="B21" s="28" t="s">
        <v>238</v>
      </c>
      <c r="C21" s="21" t="s">
        <v>60</v>
      </c>
      <c r="D21" s="19" t="s">
        <v>72</v>
      </c>
      <c r="E21" s="18">
        <v>43893</v>
      </c>
      <c r="F21" s="27">
        <f t="shared" ca="1" si="0"/>
        <v>580</v>
      </c>
      <c r="G21" s="34"/>
      <c r="H21" s="25"/>
      <c r="I21" s="25"/>
      <c r="J21" s="34"/>
      <c r="K21" s="22"/>
      <c r="L21" s="18">
        <v>43893</v>
      </c>
      <c r="M21" s="18"/>
      <c r="N21" s="33"/>
      <c r="O21" s="26" t="s">
        <v>74</v>
      </c>
      <c r="R21" s="20"/>
    </row>
    <row r="22" spans="2:18" ht="35.15" hidden="1" customHeight="1" x14ac:dyDescent="0.25">
      <c r="B22" s="28" t="s">
        <v>239</v>
      </c>
      <c r="C22" s="24" t="s">
        <v>37</v>
      </c>
      <c r="D22" s="19" t="s">
        <v>73</v>
      </c>
      <c r="E22" s="18">
        <v>43893</v>
      </c>
      <c r="F22" s="27">
        <f t="shared" ca="1" si="0"/>
        <v>580</v>
      </c>
      <c r="G22" s="34"/>
      <c r="H22" s="25"/>
      <c r="I22" s="25"/>
      <c r="J22" s="34"/>
      <c r="K22" s="22"/>
      <c r="L22" s="18">
        <v>43893</v>
      </c>
      <c r="M22" s="18"/>
      <c r="N22" s="33"/>
      <c r="O22" s="26" t="s">
        <v>75</v>
      </c>
      <c r="R22" s="20"/>
    </row>
    <row r="23" spans="2:18" ht="35.15" hidden="1" customHeight="1" x14ac:dyDescent="0.25">
      <c r="B23" s="28" t="s">
        <v>273</v>
      </c>
      <c r="C23" s="21" t="s">
        <v>12</v>
      </c>
      <c r="D23" s="21" t="s">
        <v>70</v>
      </c>
      <c r="E23" s="18">
        <v>43893</v>
      </c>
      <c r="F23" s="27">
        <f t="shared" ca="1" si="0"/>
        <v>580</v>
      </c>
      <c r="G23" s="34"/>
      <c r="H23" s="25"/>
      <c r="I23" s="25"/>
      <c r="J23" s="34"/>
      <c r="K23" s="22"/>
      <c r="L23" s="23">
        <v>43896</v>
      </c>
      <c r="M23" s="23"/>
      <c r="N23" s="33"/>
      <c r="O23" s="26" t="s">
        <v>87</v>
      </c>
      <c r="R23" s="20"/>
    </row>
    <row r="24" spans="2:18" ht="35.15" hidden="1" customHeight="1" x14ac:dyDescent="0.25">
      <c r="B24" s="28" t="s">
        <v>251</v>
      </c>
      <c r="C24" s="24" t="s">
        <v>12</v>
      </c>
      <c r="D24" s="19" t="s">
        <v>71</v>
      </c>
      <c r="E24" s="18">
        <v>43893</v>
      </c>
      <c r="F24" s="27">
        <f t="shared" ca="1" si="0"/>
        <v>580</v>
      </c>
      <c r="G24" s="34"/>
      <c r="H24" s="25"/>
      <c r="I24" s="25"/>
      <c r="J24" s="34"/>
      <c r="K24" s="22"/>
      <c r="L24" s="18">
        <v>43893</v>
      </c>
      <c r="M24" s="18"/>
      <c r="N24" s="33"/>
      <c r="O24" s="26" t="s">
        <v>76</v>
      </c>
      <c r="R24" s="20"/>
    </row>
    <row r="25" spans="2:18" ht="35.15" hidden="1" customHeight="1" x14ac:dyDescent="0.25">
      <c r="B25" s="28" t="s">
        <v>256</v>
      </c>
      <c r="C25" s="21" t="s">
        <v>23</v>
      </c>
      <c r="D25" s="19" t="s">
        <v>53</v>
      </c>
      <c r="E25" s="18">
        <v>43893</v>
      </c>
      <c r="F25" s="27">
        <f t="shared" ca="1" si="0"/>
        <v>580</v>
      </c>
      <c r="G25" s="34"/>
      <c r="H25" s="25"/>
      <c r="I25" s="25"/>
      <c r="J25" s="34"/>
      <c r="K25" s="22"/>
      <c r="L25" s="18">
        <v>43893</v>
      </c>
      <c r="M25" s="18"/>
      <c r="N25" s="33"/>
      <c r="O25" s="26" t="s">
        <v>63</v>
      </c>
      <c r="R25" s="20"/>
    </row>
    <row r="26" spans="2:18" ht="35.15" hidden="1" customHeight="1" x14ac:dyDescent="0.25">
      <c r="B26" s="28" t="s">
        <v>242</v>
      </c>
      <c r="C26" s="24" t="s">
        <v>60</v>
      </c>
      <c r="D26" s="19" t="s">
        <v>91</v>
      </c>
      <c r="E26" s="18">
        <v>43894</v>
      </c>
      <c r="F26" s="27">
        <f t="shared" ca="1" si="0"/>
        <v>579</v>
      </c>
      <c r="G26" s="34"/>
      <c r="H26" s="25"/>
      <c r="I26" s="25"/>
      <c r="J26" s="34"/>
      <c r="K26" s="22"/>
      <c r="L26" s="23">
        <v>43901</v>
      </c>
      <c r="M26" s="23"/>
      <c r="N26" s="33"/>
      <c r="O26" s="26" t="s">
        <v>90</v>
      </c>
      <c r="R26" s="20"/>
    </row>
    <row r="27" spans="2:18" ht="35.15" hidden="1" customHeight="1" x14ac:dyDescent="0.25">
      <c r="B27" s="28" t="s">
        <v>244</v>
      </c>
      <c r="C27" s="21" t="s">
        <v>23</v>
      </c>
      <c r="D27" s="19" t="s">
        <v>80</v>
      </c>
      <c r="E27" s="18">
        <v>43894</v>
      </c>
      <c r="F27" s="27">
        <f t="shared" ca="1" si="0"/>
        <v>579</v>
      </c>
      <c r="G27" s="34"/>
      <c r="H27" s="25"/>
      <c r="I27" s="25"/>
      <c r="J27" s="34"/>
      <c r="K27" s="22"/>
      <c r="L27" s="23">
        <v>43896</v>
      </c>
      <c r="M27" s="23"/>
      <c r="N27" s="33"/>
      <c r="O27" s="26" t="s">
        <v>88</v>
      </c>
      <c r="R27" s="20"/>
    </row>
    <row r="28" spans="2:18" ht="35.15" hidden="1" customHeight="1" x14ac:dyDescent="0.25">
      <c r="B28" s="28" t="s">
        <v>261</v>
      </c>
      <c r="C28" s="21" t="s">
        <v>60</v>
      </c>
      <c r="D28" s="19" t="s">
        <v>83</v>
      </c>
      <c r="E28" s="18">
        <v>43894</v>
      </c>
      <c r="F28" s="27">
        <f t="shared" ca="1" si="0"/>
        <v>579</v>
      </c>
      <c r="G28" s="34"/>
      <c r="H28" s="25"/>
      <c r="I28" s="25"/>
      <c r="J28" s="34"/>
      <c r="K28" s="22"/>
      <c r="L28" s="23">
        <v>43907</v>
      </c>
      <c r="M28" s="23"/>
      <c r="N28" s="33"/>
      <c r="O28" s="26"/>
      <c r="R28" s="20"/>
    </row>
    <row r="29" spans="2:18" ht="35.15" hidden="1" customHeight="1" x14ac:dyDescent="0.25">
      <c r="B29" s="28" t="s">
        <v>261</v>
      </c>
      <c r="C29" s="21" t="s">
        <v>12</v>
      </c>
      <c r="D29" s="19" t="s">
        <v>54</v>
      </c>
      <c r="E29" s="18">
        <v>43894</v>
      </c>
      <c r="F29" s="27">
        <f t="shared" ca="1" si="0"/>
        <v>579</v>
      </c>
      <c r="G29" s="34"/>
      <c r="H29" s="25"/>
      <c r="I29" s="25"/>
      <c r="J29" s="34"/>
      <c r="K29" s="22"/>
      <c r="L29" s="23">
        <v>43907</v>
      </c>
      <c r="M29" s="23"/>
      <c r="N29" s="33"/>
      <c r="O29" s="26" t="s">
        <v>94</v>
      </c>
      <c r="R29" s="20"/>
    </row>
    <row r="30" spans="2:18" ht="35.15" hidden="1" customHeight="1" x14ac:dyDescent="0.25">
      <c r="B30" s="28" t="s">
        <v>256</v>
      </c>
      <c r="C30" s="21" t="s">
        <v>40</v>
      </c>
      <c r="D30" s="19" t="s">
        <v>79</v>
      </c>
      <c r="E30" s="18">
        <v>43894</v>
      </c>
      <c r="F30" s="27">
        <f t="shared" ca="1" si="0"/>
        <v>579</v>
      </c>
      <c r="G30" s="34"/>
      <c r="H30" s="25"/>
      <c r="I30" s="25"/>
      <c r="J30" s="34"/>
      <c r="K30" s="22"/>
      <c r="L30" s="23">
        <v>43911</v>
      </c>
      <c r="M30" s="23"/>
      <c r="N30" s="33" t="s">
        <v>109</v>
      </c>
      <c r="O30" s="26" t="s">
        <v>117</v>
      </c>
      <c r="R30" s="20"/>
    </row>
    <row r="31" spans="2:18" ht="35.15" hidden="1" customHeight="1" x14ac:dyDescent="0.25">
      <c r="B31" s="28" t="s">
        <v>217</v>
      </c>
      <c r="C31" s="24" t="s">
        <v>23</v>
      </c>
      <c r="D31" s="19" t="s">
        <v>77</v>
      </c>
      <c r="E31" s="23">
        <v>43894</v>
      </c>
      <c r="F31" s="27">
        <f t="shared" ca="1" si="0"/>
        <v>579</v>
      </c>
      <c r="G31" s="34"/>
      <c r="H31" s="25"/>
      <c r="I31" s="25"/>
      <c r="J31" s="34"/>
      <c r="K31" s="22"/>
      <c r="L31" s="23">
        <v>43894</v>
      </c>
      <c r="M31" s="23"/>
      <c r="N31" s="33"/>
      <c r="O31" s="26" t="s">
        <v>81</v>
      </c>
      <c r="R31" s="20"/>
    </row>
    <row r="32" spans="2:18" ht="35.15" hidden="1" customHeight="1" x14ac:dyDescent="0.25">
      <c r="B32" s="28" t="s">
        <v>217</v>
      </c>
      <c r="C32" s="21" t="s">
        <v>40</v>
      </c>
      <c r="D32" s="19" t="s">
        <v>78</v>
      </c>
      <c r="E32" s="18">
        <v>43894</v>
      </c>
      <c r="F32" s="27">
        <f t="shared" ca="1" si="0"/>
        <v>579</v>
      </c>
      <c r="G32" s="34"/>
      <c r="H32" s="25"/>
      <c r="I32" s="25"/>
      <c r="J32" s="34"/>
      <c r="K32" s="22"/>
      <c r="L32" s="23">
        <v>43894</v>
      </c>
      <c r="M32" s="23"/>
      <c r="N32" s="33"/>
      <c r="O32" s="26" t="s">
        <v>82</v>
      </c>
      <c r="R32" s="20"/>
    </row>
    <row r="33" spans="2:18" ht="35.15" hidden="1" customHeight="1" x14ac:dyDescent="0.25">
      <c r="B33" s="28" t="s">
        <v>270</v>
      </c>
      <c r="C33" s="24" t="s">
        <v>23</v>
      </c>
      <c r="D33" s="19" t="s">
        <v>84</v>
      </c>
      <c r="E33" s="18">
        <v>43894</v>
      </c>
      <c r="F33" s="27">
        <f t="shared" ca="1" si="0"/>
        <v>579</v>
      </c>
      <c r="G33" s="34"/>
      <c r="H33" s="25"/>
      <c r="I33" s="25"/>
      <c r="J33" s="34"/>
      <c r="K33" s="22"/>
      <c r="L33" s="23">
        <v>43896</v>
      </c>
      <c r="M33" s="23"/>
      <c r="N33" s="33"/>
      <c r="O33" s="26" t="s">
        <v>85</v>
      </c>
      <c r="R33" s="20"/>
    </row>
    <row r="34" spans="2:18" ht="35.15" hidden="1" customHeight="1" x14ac:dyDescent="0.25">
      <c r="B34" s="28" t="s">
        <v>270</v>
      </c>
      <c r="C34" s="21" t="s">
        <v>40</v>
      </c>
      <c r="D34" s="19" t="s">
        <v>79</v>
      </c>
      <c r="E34" s="18">
        <v>43894</v>
      </c>
      <c r="F34" s="27">
        <f t="shared" ca="1" si="0"/>
        <v>579</v>
      </c>
      <c r="G34" s="34"/>
      <c r="H34" s="25"/>
      <c r="I34" s="25"/>
      <c r="J34" s="34"/>
      <c r="K34" s="22"/>
      <c r="L34" s="23">
        <v>43903</v>
      </c>
      <c r="M34" s="23"/>
      <c r="N34" s="33"/>
      <c r="O34" s="26" t="s">
        <v>101</v>
      </c>
      <c r="R34" s="20"/>
    </row>
    <row r="35" spans="2:18" ht="35.15" hidden="1" customHeight="1" x14ac:dyDescent="0.25">
      <c r="B35" s="28" t="s">
        <v>247</v>
      </c>
      <c r="C35" s="21" t="s">
        <v>12</v>
      </c>
      <c r="D35" s="19" t="s">
        <v>54</v>
      </c>
      <c r="E35" s="18">
        <v>43899</v>
      </c>
      <c r="F35" s="27">
        <f t="shared" ca="1" si="0"/>
        <v>574</v>
      </c>
      <c r="G35" s="34"/>
      <c r="H35" s="25"/>
      <c r="I35" s="25"/>
      <c r="J35" s="34"/>
      <c r="K35" s="22"/>
      <c r="L35" s="23">
        <v>43910</v>
      </c>
      <c r="M35" s="23"/>
      <c r="N35" s="33" t="s">
        <v>108</v>
      </c>
      <c r="O35" s="26"/>
      <c r="R35" s="20"/>
    </row>
    <row r="36" spans="2:18" ht="35.15" hidden="1" customHeight="1" x14ac:dyDescent="0.25">
      <c r="B36" s="28" t="s">
        <v>260</v>
      </c>
      <c r="C36" s="21" t="s">
        <v>40</v>
      </c>
      <c r="D36" s="19" t="s">
        <v>100</v>
      </c>
      <c r="E36" s="18">
        <v>43899</v>
      </c>
      <c r="F36" s="27">
        <f t="shared" ca="1" si="0"/>
        <v>574</v>
      </c>
      <c r="G36" s="34"/>
      <c r="H36" s="25"/>
      <c r="I36" s="25"/>
      <c r="J36" s="34"/>
      <c r="K36" s="22"/>
      <c r="L36" s="23">
        <v>43939</v>
      </c>
      <c r="M36" s="23"/>
      <c r="N36" s="33" t="s">
        <v>153</v>
      </c>
      <c r="O36" s="26" t="s">
        <v>193</v>
      </c>
      <c r="R36" s="20"/>
    </row>
    <row r="37" spans="2:18" ht="35.15" hidden="1" customHeight="1" x14ac:dyDescent="0.25">
      <c r="B37" s="28" t="s">
        <v>217</v>
      </c>
      <c r="C37" s="21" t="s">
        <v>31</v>
      </c>
      <c r="D37" s="19" t="s">
        <v>89</v>
      </c>
      <c r="E37" s="18">
        <v>43899</v>
      </c>
      <c r="F37" s="27">
        <f t="shared" ca="1" si="0"/>
        <v>574</v>
      </c>
      <c r="G37" s="34"/>
      <c r="H37" s="25"/>
      <c r="I37" s="25"/>
      <c r="J37" s="34"/>
      <c r="K37" s="22"/>
      <c r="L37" s="23">
        <v>43901</v>
      </c>
      <c r="M37" s="23"/>
      <c r="N37" s="33"/>
      <c r="O37" s="26" t="s">
        <v>61</v>
      </c>
      <c r="R37" s="20"/>
    </row>
    <row r="38" spans="2:18" ht="35.15" hidden="1" customHeight="1" x14ac:dyDescent="0.25">
      <c r="B38" s="28" t="s">
        <v>237</v>
      </c>
      <c r="C38" s="21" t="s">
        <v>12</v>
      </c>
      <c r="D38" s="19" t="s">
        <v>92</v>
      </c>
      <c r="E38" s="18">
        <v>43900</v>
      </c>
      <c r="F38" s="27">
        <f t="shared" ca="1" si="0"/>
        <v>573</v>
      </c>
      <c r="G38" s="34"/>
      <c r="H38" s="25"/>
      <c r="I38" s="25"/>
      <c r="J38" s="34"/>
      <c r="K38" s="22"/>
      <c r="L38" s="23">
        <v>43900</v>
      </c>
      <c r="M38" s="23"/>
      <c r="N38" s="33"/>
      <c r="O38" s="26" t="s">
        <v>56</v>
      </c>
      <c r="R38" s="20"/>
    </row>
    <row r="39" spans="2:18" ht="35.15" hidden="1" customHeight="1" x14ac:dyDescent="0.25">
      <c r="B39" s="28" t="s">
        <v>273</v>
      </c>
      <c r="C39" s="21" t="s">
        <v>37</v>
      </c>
      <c r="D39" s="19" t="s">
        <v>59</v>
      </c>
      <c r="E39" s="18">
        <v>43900</v>
      </c>
      <c r="F39" s="27">
        <f t="shared" ca="1" si="0"/>
        <v>573</v>
      </c>
      <c r="G39" s="34"/>
      <c r="H39" s="25"/>
      <c r="I39" s="25"/>
      <c r="J39" s="34"/>
      <c r="K39" s="22"/>
      <c r="L39" s="23">
        <v>43900</v>
      </c>
      <c r="M39" s="23"/>
      <c r="N39" s="33"/>
      <c r="O39" s="26" t="s">
        <v>95</v>
      </c>
      <c r="R39" s="20"/>
    </row>
    <row r="40" spans="2:18" ht="35.15" hidden="1" customHeight="1" x14ac:dyDescent="0.25">
      <c r="B40" s="28" t="s">
        <v>245</v>
      </c>
      <c r="C40" s="21" t="s">
        <v>40</v>
      </c>
      <c r="D40" s="19" t="s">
        <v>102</v>
      </c>
      <c r="E40" s="18">
        <v>43900</v>
      </c>
      <c r="F40" s="27">
        <f t="shared" ca="1" si="0"/>
        <v>573</v>
      </c>
      <c r="G40" s="34"/>
      <c r="H40" s="25"/>
      <c r="I40" s="25"/>
      <c r="J40" s="34"/>
      <c r="K40" s="22"/>
      <c r="L40" s="23">
        <v>43907</v>
      </c>
      <c r="M40" s="23"/>
      <c r="N40" s="33"/>
      <c r="O40" s="26"/>
      <c r="R40" s="20"/>
    </row>
    <row r="41" spans="2:18" ht="35.15" hidden="1" customHeight="1" x14ac:dyDescent="0.25">
      <c r="B41" s="28" t="s">
        <v>247</v>
      </c>
      <c r="C41" s="21" t="s">
        <v>37</v>
      </c>
      <c r="D41" s="19" t="s">
        <v>96</v>
      </c>
      <c r="E41" s="18">
        <v>43900</v>
      </c>
      <c r="F41" s="27">
        <f t="shared" ca="1" si="0"/>
        <v>573</v>
      </c>
      <c r="G41" s="34"/>
      <c r="H41" s="25"/>
      <c r="I41" s="25"/>
      <c r="J41" s="34"/>
      <c r="K41" s="22"/>
      <c r="L41" s="23">
        <v>43900</v>
      </c>
      <c r="M41" s="23"/>
      <c r="N41" s="33"/>
      <c r="O41" s="26" t="s">
        <v>97</v>
      </c>
      <c r="R41" s="20"/>
    </row>
    <row r="42" spans="2:18" ht="35.15" hidden="1" customHeight="1" x14ac:dyDescent="0.25">
      <c r="B42" s="28" t="s">
        <v>265</v>
      </c>
      <c r="C42" s="21" t="s">
        <v>62</v>
      </c>
      <c r="D42" s="19" t="s">
        <v>93</v>
      </c>
      <c r="E42" s="18">
        <v>43900</v>
      </c>
      <c r="F42" s="27">
        <f t="shared" ca="1" si="0"/>
        <v>573</v>
      </c>
      <c r="G42" s="34"/>
      <c r="H42" s="25"/>
      <c r="I42" s="25"/>
      <c r="J42" s="34"/>
      <c r="K42" s="22"/>
      <c r="L42" s="23">
        <v>43900</v>
      </c>
      <c r="M42" s="23"/>
      <c r="N42" s="33"/>
      <c r="O42" s="26" t="s">
        <v>98</v>
      </c>
      <c r="R42" s="20"/>
    </row>
    <row r="43" spans="2:18" ht="35.15" hidden="1" customHeight="1" x14ac:dyDescent="0.25">
      <c r="B43" s="28" t="s">
        <v>236</v>
      </c>
      <c r="C43" s="21" t="s">
        <v>62</v>
      </c>
      <c r="D43" s="19" t="s">
        <v>99</v>
      </c>
      <c r="E43" s="18">
        <v>43903</v>
      </c>
      <c r="F43" s="27">
        <f t="shared" ca="1" si="0"/>
        <v>570</v>
      </c>
      <c r="G43" s="34"/>
      <c r="H43" s="25"/>
      <c r="I43" s="25"/>
      <c r="J43" s="34"/>
      <c r="K43" s="22"/>
      <c r="L43" s="23">
        <v>43907</v>
      </c>
      <c r="M43" s="23"/>
      <c r="N43" s="33"/>
      <c r="O43" s="26"/>
      <c r="R43" s="20"/>
    </row>
    <row r="44" spans="2:18" ht="35.15" hidden="1" customHeight="1" x14ac:dyDescent="0.25">
      <c r="B44" s="28" t="s">
        <v>227</v>
      </c>
      <c r="C44" s="21" t="s">
        <v>12</v>
      </c>
      <c r="D44" s="19" t="s">
        <v>54</v>
      </c>
      <c r="E44" s="18">
        <v>43903</v>
      </c>
      <c r="F44" s="27">
        <f t="shared" ca="1" si="0"/>
        <v>570</v>
      </c>
      <c r="G44" s="34"/>
      <c r="H44" s="25"/>
      <c r="I44" s="25"/>
      <c r="J44" s="34"/>
      <c r="K44" s="22"/>
      <c r="L44" s="23">
        <v>43911</v>
      </c>
      <c r="M44" s="23"/>
      <c r="N44" s="33" t="s">
        <v>111</v>
      </c>
      <c r="O44" s="26" t="s">
        <v>116</v>
      </c>
      <c r="R44" s="20"/>
    </row>
    <row r="45" spans="2:18" ht="35.15" hidden="1" customHeight="1" x14ac:dyDescent="0.25">
      <c r="B45" s="28" t="s">
        <v>266</v>
      </c>
      <c r="C45" s="21" t="s">
        <v>23</v>
      </c>
      <c r="D45" s="19" t="s">
        <v>58</v>
      </c>
      <c r="E45" s="18">
        <v>43903</v>
      </c>
      <c r="F45" s="27">
        <f t="shared" ca="1" si="0"/>
        <v>570</v>
      </c>
      <c r="G45" s="34"/>
      <c r="H45" s="25"/>
      <c r="I45" s="25"/>
      <c r="J45" s="34"/>
      <c r="K45" s="22"/>
      <c r="L45" s="23">
        <v>43911</v>
      </c>
      <c r="M45" s="23"/>
      <c r="N45" s="33" t="s">
        <v>110</v>
      </c>
      <c r="O45" s="26" t="s">
        <v>55</v>
      </c>
      <c r="R45" s="20"/>
    </row>
    <row r="46" spans="2:18" ht="35.15" hidden="1" customHeight="1" x14ac:dyDescent="0.25">
      <c r="B46" s="28" t="s">
        <v>236</v>
      </c>
      <c r="C46" s="21" t="s">
        <v>31</v>
      </c>
      <c r="D46" s="19" t="s">
        <v>103</v>
      </c>
      <c r="E46" s="18">
        <v>43907</v>
      </c>
      <c r="F46" s="27">
        <f t="shared" ca="1" si="0"/>
        <v>566</v>
      </c>
      <c r="G46" s="34"/>
      <c r="H46" s="25"/>
      <c r="I46" s="25"/>
      <c r="J46" s="34"/>
      <c r="K46" s="22"/>
      <c r="L46" s="23">
        <v>43907</v>
      </c>
      <c r="M46" s="23"/>
      <c r="N46" s="33"/>
      <c r="O46" s="26"/>
      <c r="R46" s="20"/>
    </row>
    <row r="47" spans="2:18" ht="35.15" hidden="1" customHeight="1" x14ac:dyDescent="0.25">
      <c r="B47" s="28" t="s">
        <v>246</v>
      </c>
      <c r="C47" s="21" t="s">
        <v>40</v>
      </c>
      <c r="D47" s="19" t="s">
        <v>104</v>
      </c>
      <c r="E47" s="18">
        <v>43907</v>
      </c>
      <c r="F47" s="27">
        <f t="shared" ca="1" si="0"/>
        <v>566</v>
      </c>
      <c r="G47" s="34"/>
      <c r="H47" s="25"/>
      <c r="I47" s="25"/>
      <c r="J47" s="34"/>
      <c r="K47" s="22"/>
      <c r="L47" s="23">
        <v>43935</v>
      </c>
      <c r="M47" s="23"/>
      <c r="N47" s="33"/>
      <c r="O47" s="26" t="s">
        <v>174</v>
      </c>
      <c r="R47" s="20"/>
    </row>
    <row r="48" spans="2:18" ht="35.15" hidden="1" customHeight="1" x14ac:dyDescent="0.25">
      <c r="B48" s="28" t="s">
        <v>259</v>
      </c>
      <c r="C48" s="21" t="s">
        <v>40</v>
      </c>
      <c r="D48" s="19" t="s">
        <v>104</v>
      </c>
      <c r="E48" s="18">
        <v>43907</v>
      </c>
      <c r="F48" s="27">
        <f t="shared" ca="1" si="0"/>
        <v>566</v>
      </c>
      <c r="G48" s="34"/>
      <c r="H48" s="25"/>
      <c r="I48" s="25"/>
      <c r="J48" s="34"/>
      <c r="K48" s="22"/>
      <c r="L48" s="23">
        <v>43935</v>
      </c>
      <c r="M48" s="23"/>
      <c r="N48" s="33"/>
      <c r="O48" s="26" t="s">
        <v>173</v>
      </c>
      <c r="R48" s="20"/>
    </row>
    <row r="49" spans="2:18" ht="35.15" hidden="1" customHeight="1" x14ac:dyDescent="0.25">
      <c r="B49" s="28" t="s">
        <v>260</v>
      </c>
      <c r="C49" s="21" t="s">
        <v>23</v>
      </c>
      <c r="D49" s="19" t="s">
        <v>58</v>
      </c>
      <c r="E49" s="18">
        <v>43907</v>
      </c>
      <c r="F49" s="27">
        <f t="shared" ca="1" si="0"/>
        <v>566</v>
      </c>
      <c r="G49" s="34"/>
      <c r="H49" s="25"/>
      <c r="I49" s="25"/>
      <c r="J49" s="34"/>
      <c r="K49" s="22"/>
      <c r="L49" s="23">
        <v>43915</v>
      </c>
      <c r="M49" s="23"/>
      <c r="N49" s="33"/>
      <c r="O49" s="26" t="s">
        <v>52</v>
      </c>
      <c r="R49" s="20"/>
    </row>
    <row r="50" spans="2:18" ht="35.15" hidden="1" customHeight="1" x14ac:dyDescent="0.25">
      <c r="B50" s="28" t="s">
        <v>260</v>
      </c>
      <c r="C50" s="24" t="s">
        <v>37</v>
      </c>
      <c r="D50" s="19" t="s">
        <v>124</v>
      </c>
      <c r="E50" s="23">
        <v>43907</v>
      </c>
      <c r="F50" s="27">
        <f t="shared" ca="1" si="0"/>
        <v>566</v>
      </c>
      <c r="G50" s="34"/>
      <c r="H50" s="25"/>
      <c r="I50" s="25"/>
      <c r="J50" s="34"/>
      <c r="K50" s="22"/>
      <c r="L50" s="23">
        <v>43915</v>
      </c>
      <c r="M50" s="23"/>
      <c r="N50" s="33"/>
      <c r="O50" s="26" t="s">
        <v>132</v>
      </c>
      <c r="R50" s="20"/>
    </row>
    <row r="51" spans="2:18" ht="35.15" hidden="1" customHeight="1" x14ac:dyDescent="0.25">
      <c r="B51" s="28" t="s">
        <v>240</v>
      </c>
      <c r="C51" s="21" t="s">
        <v>31</v>
      </c>
      <c r="D51" s="19" t="s">
        <v>105</v>
      </c>
      <c r="E51" s="18">
        <v>43909</v>
      </c>
      <c r="F51" s="27">
        <f t="shared" ca="1" si="0"/>
        <v>564</v>
      </c>
      <c r="G51" s="34"/>
      <c r="H51" s="25"/>
      <c r="I51" s="25"/>
      <c r="J51" s="34"/>
      <c r="K51" s="22"/>
      <c r="L51" s="23">
        <v>43914</v>
      </c>
      <c r="M51" s="23"/>
      <c r="N51" s="33" t="s">
        <v>115</v>
      </c>
      <c r="O51" s="26" t="s">
        <v>118</v>
      </c>
      <c r="R51" s="20"/>
    </row>
    <row r="52" spans="2:18" ht="35.15" hidden="1" customHeight="1" x14ac:dyDescent="0.25">
      <c r="B52" s="28" t="s">
        <v>274</v>
      </c>
      <c r="C52" s="21" t="s">
        <v>37</v>
      </c>
      <c r="D52" s="19" t="s">
        <v>107</v>
      </c>
      <c r="E52" s="18">
        <v>43909</v>
      </c>
      <c r="F52" s="27">
        <f t="shared" ca="1" si="0"/>
        <v>564</v>
      </c>
      <c r="G52" s="34"/>
      <c r="H52" s="25"/>
      <c r="I52" s="25"/>
      <c r="J52" s="34"/>
      <c r="K52" s="22"/>
      <c r="L52" s="23">
        <v>43911</v>
      </c>
      <c r="M52" s="23"/>
      <c r="N52" s="33" t="s">
        <v>111</v>
      </c>
      <c r="O52" s="26" t="s">
        <v>75</v>
      </c>
      <c r="R52" s="20"/>
    </row>
    <row r="53" spans="2:18" ht="35.15" hidden="1" customHeight="1" x14ac:dyDescent="0.25">
      <c r="B53" s="28" t="s">
        <v>250</v>
      </c>
      <c r="C53" s="21" t="s">
        <v>40</v>
      </c>
      <c r="D53" s="19" t="s">
        <v>106</v>
      </c>
      <c r="E53" s="18">
        <v>43909</v>
      </c>
      <c r="F53" s="27">
        <f t="shared" ca="1" si="0"/>
        <v>564</v>
      </c>
      <c r="G53" s="34"/>
      <c r="H53" s="25"/>
      <c r="I53" s="25"/>
      <c r="J53" s="34"/>
      <c r="K53" s="22"/>
      <c r="L53" s="23">
        <v>43909</v>
      </c>
      <c r="M53" s="23"/>
      <c r="N53" s="33" t="s">
        <v>112</v>
      </c>
      <c r="O53" s="26" t="s">
        <v>113</v>
      </c>
      <c r="R53" s="20"/>
    </row>
    <row r="54" spans="2:18" ht="35.15" hidden="1" customHeight="1" x14ac:dyDescent="0.25">
      <c r="B54" s="28" t="s">
        <v>277</v>
      </c>
      <c r="C54" s="21" t="s">
        <v>35</v>
      </c>
      <c r="D54" s="19" t="s">
        <v>114</v>
      </c>
      <c r="E54" s="18">
        <v>43910</v>
      </c>
      <c r="F54" s="27">
        <f t="shared" ca="1" si="0"/>
        <v>563</v>
      </c>
      <c r="G54" s="34"/>
      <c r="H54" s="25"/>
      <c r="I54" s="25"/>
      <c r="J54" s="34"/>
      <c r="K54" s="22"/>
      <c r="L54" s="23">
        <v>43910</v>
      </c>
      <c r="M54" s="23"/>
      <c r="N54" s="33"/>
      <c r="O54" s="26"/>
      <c r="R54" s="20"/>
    </row>
    <row r="55" spans="2:18" ht="35.15" hidden="1" customHeight="1" x14ac:dyDescent="0.25">
      <c r="B55" s="28" t="s">
        <v>264</v>
      </c>
      <c r="C55" s="21" t="s">
        <v>23</v>
      </c>
      <c r="D55" s="19" t="s">
        <v>58</v>
      </c>
      <c r="E55" s="18">
        <v>43913</v>
      </c>
      <c r="F55" s="27">
        <f t="shared" ca="1" si="0"/>
        <v>560</v>
      </c>
      <c r="G55" s="34"/>
      <c r="H55" s="25"/>
      <c r="I55" s="25"/>
      <c r="J55" s="34"/>
      <c r="K55" s="22"/>
      <c r="L55" s="23">
        <v>43917</v>
      </c>
      <c r="M55" s="23"/>
      <c r="N55" s="33"/>
      <c r="O55" s="26" t="s">
        <v>55</v>
      </c>
      <c r="R55" s="20"/>
    </row>
    <row r="56" spans="2:18" ht="35.15" hidden="1" customHeight="1" x14ac:dyDescent="0.25">
      <c r="B56" s="28" t="s">
        <v>240</v>
      </c>
      <c r="C56" s="21" t="s">
        <v>23</v>
      </c>
      <c r="D56" s="19" t="s">
        <v>120</v>
      </c>
      <c r="E56" s="18">
        <v>43914</v>
      </c>
      <c r="F56" s="27">
        <f t="shared" ca="1" si="0"/>
        <v>559</v>
      </c>
      <c r="G56" s="34"/>
      <c r="H56" s="25"/>
      <c r="I56" s="25"/>
      <c r="J56" s="34"/>
      <c r="K56" s="22"/>
      <c r="L56" s="23">
        <v>43915</v>
      </c>
      <c r="M56" s="23"/>
      <c r="N56" s="33"/>
      <c r="O56" s="26" t="s">
        <v>51</v>
      </c>
      <c r="R56" s="20"/>
    </row>
    <row r="57" spans="2:18" ht="35.15" hidden="1" customHeight="1" x14ac:dyDescent="0.25">
      <c r="B57" s="28" t="s">
        <v>240</v>
      </c>
      <c r="C57" s="21" t="s">
        <v>23</v>
      </c>
      <c r="D57" s="19" t="s">
        <v>121</v>
      </c>
      <c r="E57" s="18">
        <v>43914</v>
      </c>
      <c r="F57" s="27">
        <f t="shared" ca="1" si="0"/>
        <v>559</v>
      </c>
      <c r="G57" s="34"/>
      <c r="H57" s="25"/>
      <c r="I57" s="25"/>
      <c r="J57" s="34"/>
      <c r="K57" s="22"/>
      <c r="L57" s="23">
        <v>43917</v>
      </c>
      <c r="M57" s="23"/>
      <c r="N57" s="33"/>
      <c r="O57" s="26" t="s">
        <v>133</v>
      </c>
      <c r="R57" s="20"/>
    </row>
    <row r="58" spans="2:18" ht="35.15" hidden="1" customHeight="1" x14ac:dyDescent="0.25">
      <c r="B58" s="28" t="s">
        <v>237</v>
      </c>
      <c r="C58" s="21" t="s">
        <v>12</v>
      </c>
      <c r="D58" s="19" t="s">
        <v>119</v>
      </c>
      <c r="E58" s="18">
        <v>43914</v>
      </c>
      <c r="F58" s="27">
        <f t="shared" ca="1" si="0"/>
        <v>559</v>
      </c>
      <c r="G58" s="34"/>
      <c r="H58" s="25"/>
      <c r="I58" s="25"/>
      <c r="J58" s="34"/>
      <c r="K58" s="22"/>
      <c r="L58" s="23">
        <v>43915</v>
      </c>
      <c r="M58" s="23"/>
      <c r="N58" s="33"/>
      <c r="O58" s="26" t="s">
        <v>134</v>
      </c>
      <c r="R58" s="20"/>
    </row>
    <row r="59" spans="2:18" ht="35.15" hidden="1" customHeight="1" x14ac:dyDescent="0.25">
      <c r="B59" s="28" t="s">
        <v>237</v>
      </c>
      <c r="C59" s="21" t="s">
        <v>12</v>
      </c>
      <c r="D59" s="19" t="s">
        <v>151</v>
      </c>
      <c r="E59" s="18">
        <v>43914</v>
      </c>
      <c r="F59" s="27">
        <f t="shared" ca="1" si="0"/>
        <v>559</v>
      </c>
      <c r="G59" s="34"/>
      <c r="H59" s="25"/>
      <c r="I59" s="25"/>
      <c r="J59" s="34"/>
      <c r="K59" s="22"/>
      <c r="L59" s="23">
        <v>43936</v>
      </c>
      <c r="M59" s="23"/>
      <c r="N59" s="33" t="s">
        <v>153</v>
      </c>
      <c r="O59" s="26" t="s">
        <v>175</v>
      </c>
      <c r="R59" s="20"/>
    </row>
    <row r="60" spans="2:18" ht="35.15" hidden="1" customHeight="1" x14ac:dyDescent="0.25">
      <c r="B60" s="28" t="s">
        <v>250</v>
      </c>
      <c r="C60" s="21" t="s">
        <v>37</v>
      </c>
      <c r="D60" s="21" t="s">
        <v>149</v>
      </c>
      <c r="E60" s="18">
        <v>43914</v>
      </c>
      <c r="F60" s="27">
        <f t="shared" ca="1" si="0"/>
        <v>559</v>
      </c>
      <c r="G60" s="34"/>
      <c r="H60" s="25"/>
      <c r="I60" s="25"/>
      <c r="J60" s="34"/>
      <c r="K60" s="22"/>
      <c r="L60" s="23">
        <v>43936</v>
      </c>
      <c r="M60" s="23"/>
      <c r="N60" s="33" t="s">
        <v>153</v>
      </c>
      <c r="O60" s="26"/>
      <c r="R60" s="20"/>
    </row>
    <row r="61" spans="2:18" ht="35.15" hidden="1" customHeight="1" x14ac:dyDescent="0.25">
      <c r="B61" s="36" t="s">
        <v>265</v>
      </c>
      <c r="C61" s="39" t="s">
        <v>31</v>
      </c>
      <c r="D61" s="38" t="s">
        <v>126</v>
      </c>
      <c r="E61" s="40">
        <v>43914</v>
      </c>
      <c r="F61" s="27">
        <f t="shared" ca="1" si="0"/>
        <v>559</v>
      </c>
      <c r="G61" s="41"/>
      <c r="H61" s="42"/>
      <c r="I61" s="42"/>
      <c r="J61" s="41"/>
      <c r="K61" s="43"/>
      <c r="L61" s="44">
        <v>43928</v>
      </c>
      <c r="M61" s="44"/>
      <c r="N61" s="45" t="s">
        <v>179</v>
      </c>
      <c r="O61" s="46" t="s">
        <v>180</v>
      </c>
      <c r="R61" s="20"/>
    </row>
    <row r="62" spans="2:18" ht="35.15" hidden="1" customHeight="1" x14ac:dyDescent="0.25">
      <c r="B62" s="28" t="s">
        <v>246</v>
      </c>
      <c r="C62" s="21" t="s">
        <v>31</v>
      </c>
      <c r="D62" s="19" t="s">
        <v>125</v>
      </c>
      <c r="E62" s="18">
        <v>43915</v>
      </c>
      <c r="F62" s="27">
        <f t="shared" ca="1" si="0"/>
        <v>558</v>
      </c>
      <c r="G62" s="34"/>
      <c r="H62" s="25"/>
      <c r="I62" s="25"/>
      <c r="J62" s="34"/>
      <c r="K62" s="22"/>
      <c r="L62" s="23">
        <v>43925</v>
      </c>
      <c r="M62" s="23"/>
      <c r="N62" s="33" t="s">
        <v>153</v>
      </c>
      <c r="O62" s="26" t="s">
        <v>61</v>
      </c>
      <c r="R62" s="20"/>
    </row>
    <row r="63" spans="2:18" ht="35.15" hidden="1" customHeight="1" x14ac:dyDescent="0.25">
      <c r="B63" s="28" t="s">
        <v>256</v>
      </c>
      <c r="C63" s="21" t="s">
        <v>31</v>
      </c>
      <c r="D63" s="19" t="s">
        <v>123</v>
      </c>
      <c r="E63" s="18">
        <v>43915</v>
      </c>
      <c r="F63" s="27">
        <f t="shared" ca="1" si="0"/>
        <v>558</v>
      </c>
      <c r="G63" s="34"/>
      <c r="H63" s="25"/>
      <c r="I63" s="25"/>
      <c r="J63" s="34"/>
      <c r="K63" s="22"/>
      <c r="L63" s="23">
        <v>43917</v>
      </c>
      <c r="M63" s="23"/>
      <c r="N63" s="33"/>
      <c r="O63" s="26" t="s">
        <v>131</v>
      </c>
      <c r="R63" s="20"/>
    </row>
    <row r="64" spans="2:18" ht="35.15" hidden="1" customHeight="1" x14ac:dyDescent="0.25">
      <c r="B64" s="36" t="s">
        <v>265</v>
      </c>
      <c r="C64" s="37" t="s">
        <v>31</v>
      </c>
      <c r="D64" s="38" t="s">
        <v>122</v>
      </c>
      <c r="E64" s="44">
        <v>43915</v>
      </c>
      <c r="F64" s="27">
        <f t="shared" ca="1" si="0"/>
        <v>558</v>
      </c>
      <c r="G64" s="41"/>
      <c r="H64" s="42"/>
      <c r="I64" s="42"/>
      <c r="J64" s="41"/>
      <c r="K64" s="43"/>
      <c r="L64" s="44">
        <v>43928</v>
      </c>
      <c r="M64" s="44"/>
      <c r="N64" s="45" t="s">
        <v>179</v>
      </c>
      <c r="O64" s="46" t="s">
        <v>180</v>
      </c>
      <c r="R64" s="20"/>
    </row>
    <row r="65" spans="2:18" ht="35.15" hidden="1" customHeight="1" x14ac:dyDescent="0.25">
      <c r="B65" s="36" t="s">
        <v>265</v>
      </c>
      <c r="C65" s="39" t="s">
        <v>31</v>
      </c>
      <c r="D65" s="38" t="s">
        <v>127</v>
      </c>
      <c r="E65" s="40">
        <v>43915</v>
      </c>
      <c r="F65" s="27">
        <f t="shared" ca="1" si="0"/>
        <v>558</v>
      </c>
      <c r="G65" s="41"/>
      <c r="H65" s="42"/>
      <c r="I65" s="42"/>
      <c r="J65" s="41"/>
      <c r="K65" s="43"/>
      <c r="L65" s="44">
        <v>43928</v>
      </c>
      <c r="M65" s="44"/>
      <c r="N65" s="45" t="s">
        <v>179</v>
      </c>
      <c r="O65" s="46" t="s">
        <v>180</v>
      </c>
      <c r="R65" s="20"/>
    </row>
    <row r="66" spans="2:18" ht="35.15" hidden="1" customHeight="1" x14ac:dyDescent="0.25">
      <c r="B66" s="28" t="s">
        <v>248</v>
      </c>
      <c r="C66" s="21" t="s">
        <v>23</v>
      </c>
      <c r="D66" s="19" t="s">
        <v>128</v>
      </c>
      <c r="E66" s="18">
        <v>43917</v>
      </c>
      <c r="F66" s="27">
        <f t="shared" ca="1" si="0"/>
        <v>556</v>
      </c>
      <c r="G66" s="34"/>
      <c r="H66" s="25"/>
      <c r="I66" s="25"/>
      <c r="J66" s="34"/>
      <c r="K66" s="22"/>
      <c r="L66" s="23">
        <v>43917</v>
      </c>
      <c r="M66" s="23"/>
      <c r="N66" s="33"/>
      <c r="O66" s="26" t="s">
        <v>55</v>
      </c>
      <c r="R66" s="20"/>
    </row>
    <row r="67" spans="2:18" ht="35.15" hidden="1" customHeight="1" x14ac:dyDescent="0.25">
      <c r="B67" s="28" t="s">
        <v>267</v>
      </c>
      <c r="C67" s="21" t="s">
        <v>16</v>
      </c>
      <c r="D67" s="19" t="s">
        <v>129</v>
      </c>
      <c r="E67" s="18">
        <v>43917</v>
      </c>
      <c r="F67" s="27">
        <f t="shared" ca="1" si="0"/>
        <v>556</v>
      </c>
      <c r="G67" s="34"/>
      <c r="H67" s="25"/>
      <c r="I67" s="25"/>
      <c r="J67" s="34"/>
      <c r="K67" s="22"/>
      <c r="L67" s="23">
        <v>43917</v>
      </c>
      <c r="M67" s="23"/>
      <c r="N67" s="33"/>
      <c r="O67" s="26" t="s">
        <v>130</v>
      </c>
      <c r="R67" s="20"/>
    </row>
    <row r="68" spans="2:18" ht="35.15" hidden="1" customHeight="1" x14ac:dyDescent="0.25">
      <c r="B68" s="28" t="s">
        <v>238</v>
      </c>
      <c r="C68" s="21" t="s">
        <v>37</v>
      </c>
      <c r="D68" s="19" t="s">
        <v>147</v>
      </c>
      <c r="E68" s="18">
        <v>43920</v>
      </c>
      <c r="F68" s="27">
        <f t="shared" ca="1" si="0"/>
        <v>553</v>
      </c>
      <c r="G68" s="34"/>
      <c r="H68" s="25"/>
      <c r="I68" s="25"/>
      <c r="J68" s="34"/>
      <c r="K68" s="22"/>
      <c r="L68" s="23">
        <v>43920</v>
      </c>
      <c r="M68" s="23"/>
      <c r="N68" s="26" t="s">
        <v>146</v>
      </c>
      <c r="O68" s="26"/>
      <c r="R68" s="20"/>
    </row>
    <row r="69" spans="2:18" ht="35.15" hidden="1" customHeight="1" x14ac:dyDescent="0.25">
      <c r="B69" s="28" t="s">
        <v>246</v>
      </c>
      <c r="C69" s="21" t="s">
        <v>23</v>
      </c>
      <c r="D69" s="19" t="s">
        <v>139</v>
      </c>
      <c r="E69" s="18">
        <v>43920</v>
      </c>
      <c r="F69" s="27">
        <f t="shared" ca="1" si="0"/>
        <v>553</v>
      </c>
      <c r="G69" s="34"/>
      <c r="H69" s="25"/>
      <c r="I69" s="25"/>
      <c r="J69" s="34"/>
      <c r="K69" s="22"/>
      <c r="L69" s="23">
        <v>43925</v>
      </c>
      <c r="M69" s="23"/>
      <c r="N69" s="33" t="s">
        <v>153</v>
      </c>
      <c r="O69" s="26" t="s">
        <v>55</v>
      </c>
      <c r="R69" s="20"/>
    </row>
    <row r="70" spans="2:18" ht="35.15" hidden="1" customHeight="1" x14ac:dyDescent="0.25">
      <c r="B70" s="28" t="s">
        <v>248</v>
      </c>
      <c r="C70" s="21" t="s">
        <v>37</v>
      </c>
      <c r="D70" s="19" t="s">
        <v>148</v>
      </c>
      <c r="E70" s="18">
        <v>43920</v>
      </c>
      <c r="F70" s="27">
        <f t="shared" ca="1" si="0"/>
        <v>553</v>
      </c>
      <c r="G70" s="34"/>
      <c r="H70" s="25"/>
      <c r="I70" s="25"/>
      <c r="J70" s="34"/>
      <c r="K70" s="22"/>
      <c r="L70" s="23">
        <v>43925</v>
      </c>
      <c r="M70" s="23"/>
      <c r="N70" s="33" t="s">
        <v>153</v>
      </c>
      <c r="O70" s="26"/>
      <c r="R70" s="20"/>
    </row>
    <row r="71" spans="2:18" ht="35.15" hidden="1" customHeight="1" x14ac:dyDescent="0.25">
      <c r="B71" s="28" t="s">
        <v>256</v>
      </c>
      <c r="C71" s="21" t="s">
        <v>37</v>
      </c>
      <c r="D71" s="19" t="s">
        <v>138</v>
      </c>
      <c r="E71" s="18">
        <v>43920</v>
      </c>
      <c r="F71" s="27">
        <f t="shared" ca="1" si="0"/>
        <v>553</v>
      </c>
      <c r="G71" s="34"/>
      <c r="H71" s="25"/>
      <c r="I71" s="25"/>
      <c r="J71" s="34"/>
      <c r="K71" s="22"/>
      <c r="L71" s="23">
        <v>43925</v>
      </c>
      <c r="M71" s="23"/>
      <c r="N71" s="33" t="s">
        <v>153</v>
      </c>
      <c r="O71" s="26"/>
      <c r="R71" s="20"/>
    </row>
    <row r="72" spans="2:18" ht="35.15" hidden="1" customHeight="1" x14ac:dyDescent="0.25">
      <c r="B72" s="28" t="s">
        <v>217</v>
      </c>
      <c r="C72" s="21" t="s">
        <v>37</v>
      </c>
      <c r="D72" s="19" t="s">
        <v>135</v>
      </c>
      <c r="E72" s="18">
        <v>43920</v>
      </c>
      <c r="F72" s="27">
        <f t="shared" ca="1" si="0"/>
        <v>553</v>
      </c>
      <c r="G72" s="34"/>
      <c r="H72" s="25"/>
      <c r="I72" s="25"/>
      <c r="J72" s="34"/>
      <c r="K72" s="22"/>
      <c r="L72" s="23">
        <v>43920</v>
      </c>
      <c r="M72" s="23"/>
      <c r="N72" s="26" t="s">
        <v>146</v>
      </c>
      <c r="O72" s="26"/>
      <c r="R72" s="20"/>
    </row>
    <row r="73" spans="2:18" ht="35.15" hidden="1" customHeight="1" x14ac:dyDescent="0.25">
      <c r="B73" s="28" t="s">
        <v>267</v>
      </c>
      <c r="C73" s="21" t="s">
        <v>37</v>
      </c>
      <c r="D73" s="19" t="s">
        <v>150</v>
      </c>
      <c r="E73" s="18">
        <v>43920</v>
      </c>
      <c r="F73" s="27">
        <f t="shared" ca="1" si="0"/>
        <v>553</v>
      </c>
      <c r="G73" s="34"/>
      <c r="H73" s="25"/>
      <c r="I73" s="25"/>
      <c r="J73" s="34"/>
      <c r="K73" s="22"/>
      <c r="L73" s="23">
        <v>43925</v>
      </c>
      <c r="M73" s="23"/>
      <c r="N73" s="33" t="s">
        <v>153</v>
      </c>
      <c r="O73" s="26"/>
      <c r="R73" s="20"/>
    </row>
    <row r="74" spans="2:18" ht="35.15" hidden="1" customHeight="1" x14ac:dyDescent="0.25">
      <c r="B74" s="28" t="s">
        <v>269</v>
      </c>
      <c r="C74" s="21" t="s">
        <v>31</v>
      </c>
      <c r="D74" s="19" t="s">
        <v>145</v>
      </c>
      <c r="E74" s="18">
        <v>43920</v>
      </c>
      <c r="F74" s="27">
        <f t="shared" ca="1" si="0"/>
        <v>553</v>
      </c>
      <c r="G74" s="34"/>
      <c r="H74" s="25"/>
      <c r="I74" s="25"/>
      <c r="J74" s="34"/>
      <c r="K74" s="22"/>
      <c r="L74" s="23">
        <v>43920</v>
      </c>
      <c r="M74" s="23"/>
      <c r="N74" s="33" t="s">
        <v>136</v>
      </c>
      <c r="O74" s="26" t="s">
        <v>61</v>
      </c>
      <c r="R74" s="20"/>
    </row>
    <row r="75" spans="2:18" ht="35.15" hidden="1" customHeight="1" x14ac:dyDescent="0.25">
      <c r="B75" s="28" t="s">
        <v>237</v>
      </c>
      <c r="C75" s="21" t="s">
        <v>31</v>
      </c>
      <c r="D75" s="19" t="s">
        <v>137</v>
      </c>
      <c r="E75" s="18">
        <v>43921</v>
      </c>
      <c r="F75" s="27">
        <f t="shared" ca="1" si="0"/>
        <v>552</v>
      </c>
      <c r="G75" s="34"/>
      <c r="H75" s="25"/>
      <c r="I75" s="25"/>
      <c r="J75" s="34"/>
      <c r="K75" s="22"/>
      <c r="L75" s="23">
        <v>43928</v>
      </c>
      <c r="M75" s="23"/>
      <c r="N75" s="33" t="s">
        <v>153</v>
      </c>
      <c r="O75" s="26" t="s">
        <v>57</v>
      </c>
      <c r="R75" s="20"/>
    </row>
    <row r="76" spans="2:18" ht="35.15" hidden="1" customHeight="1" x14ac:dyDescent="0.25">
      <c r="B76" s="28" t="s">
        <v>237</v>
      </c>
      <c r="C76" s="21" t="s">
        <v>23</v>
      </c>
      <c r="D76" s="19" t="s">
        <v>121</v>
      </c>
      <c r="E76" s="18">
        <v>43921</v>
      </c>
      <c r="F76" s="27">
        <f t="shared" ca="1" si="0"/>
        <v>552</v>
      </c>
      <c r="G76" s="34"/>
      <c r="H76" s="25"/>
      <c r="I76" s="25"/>
      <c r="J76" s="34"/>
      <c r="K76" s="22"/>
      <c r="L76" s="23">
        <v>43928</v>
      </c>
      <c r="M76" s="23"/>
      <c r="N76" s="33" t="s">
        <v>153</v>
      </c>
      <c r="O76" s="26" t="s">
        <v>57</v>
      </c>
      <c r="R76" s="20"/>
    </row>
    <row r="77" spans="2:18" ht="35.15" hidden="1" customHeight="1" x14ac:dyDescent="0.25">
      <c r="B77" s="28" t="s">
        <v>241</v>
      </c>
      <c r="C77" s="21" t="s">
        <v>60</v>
      </c>
      <c r="D77" s="19" t="s">
        <v>142</v>
      </c>
      <c r="E77" s="18">
        <v>43922</v>
      </c>
      <c r="F77" s="27">
        <f t="shared" ca="1" si="0"/>
        <v>551</v>
      </c>
      <c r="G77" s="34"/>
      <c r="H77" s="25"/>
      <c r="I77" s="25"/>
      <c r="J77" s="34"/>
      <c r="K77" s="22"/>
      <c r="L77" s="23">
        <v>43932</v>
      </c>
      <c r="M77" s="23"/>
      <c r="N77" s="33" t="s">
        <v>153</v>
      </c>
      <c r="O77" s="26"/>
      <c r="R77" s="20"/>
    </row>
    <row r="78" spans="2:18" ht="35.15" hidden="1" customHeight="1" x14ac:dyDescent="0.25">
      <c r="B78" s="28" t="s">
        <v>237</v>
      </c>
      <c r="C78" s="24" t="s">
        <v>60</v>
      </c>
      <c r="D78" s="19" t="s">
        <v>141</v>
      </c>
      <c r="E78" s="23">
        <v>43922</v>
      </c>
      <c r="F78" s="27">
        <f t="shared" ca="1" si="0"/>
        <v>551</v>
      </c>
      <c r="G78" s="34"/>
      <c r="H78" s="25"/>
      <c r="I78" s="25"/>
      <c r="J78" s="34"/>
      <c r="K78" s="22"/>
      <c r="L78" s="23">
        <v>43928</v>
      </c>
      <c r="M78" s="23"/>
      <c r="N78" s="33" t="s">
        <v>153</v>
      </c>
      <c r="O78" s="26"/>
      <c r="R78" s="20"/>
    </row>
    <row r="79" spans="2:18" ht="35.15" hidden="1" customHeight="1" x14ac:dyDescent="0.25">
      <c r="B79" s="36" t="s">
        <v>269</v>
      </c>
      <c r="C79" s="37" t="s">
        <v>60</v>
      </c>
      <c r="D79" s="38" t="s">
        <v>164</v>
      </c>
      <c r="E79" s="44">
        <v>43922</v>
      </c>
      <c r="F79" s="27">
        <f t="shared" ca="1" si="0"/>
        <v>551</v>
      </c>
      <c r="G79" s="41"/>
      <c r="H79" s="42"/>
      <c r="I79" s="42"/>
      <c r="J79" s="41"/>
      <c r="K79" s="43"/>
      <c r="L79" s="44">
        <v>43951</v>
      </c>
      <c r="M79" s="44"/>
      <c r="N79" s="45" t="s">
        <v>179</v>
      </c>
      <c r="O79" s="46" t="s">
        <v>181</v>
      </c>
      <c r="R79" s="20"/>
    </row>
    <row r="80" spans="2:18" ht="35.15" hidden="1" customHeight="1" x14ac:dyDescent="0.25">
      <c r="B80" s="28" t="s">
        <v>266</v>
      </c>
      <c r="C80" s="21" t="s">
        <v>23</v>
      </c>
      <c r="D80" s="19" t="s">
        <v>140</v>
      </c>
      <c r="E80" s="23">
        <v>43923</v>
      </c>
      <c r="F80" s="27">
        <f t="shared" ref="F80:F143" ca="1" si="1">IF(E80&lt;&gt;"",TODAY()-E80,"")</f>
        <v>550</v>
      </c>
      <c r="G80" s="34"/>
      <c r="H80" s="25"/>
      <c r="I80" s="25"/>
      <c r="J80" s="34"/>
      <c r="K80" s="22"/>
      <c r="L80" s="23">
        <v>43925</v>
      </c>
      <c r="M80" s="23"/>
      <c r="N80" s="33" t="s">
        <v>153</v>
      </c>
      <c r="O80" s="26" t="s">
        <v>155</v>
      </c>
      <c r="R80" s="20"/>
    </row>
    <row r="81" spans="2:18" ht="35.15" hidden="1" customHeight="1" x14ac:dyDescent="0.25">
      <c r="B81" s="28" t="s">
        <v>268</v>
      </c>
      <c r="C81" s="21" t="s">
        <v>16</v>
      </c>
      <c r="D81" s="19" t="s">
        <v>129</v>
      </c>
      <c r="E81" s="23">
        <v>43923</v>
      </c>
      <c r="F81" s="27">
        <f t="shared" ca="1" si="1"/>
        <v>550</v>
      </c>
      <c r="G81" s="34"/>
      <c r="H81" s="25"/>
      <c r="I81" s="25"/>
      <c r="J81" s="34"/>
      <c r="K81" s="22"/>
      <c r="L81" s="23">
        <v>43928</v>
      </c>
      <c r="M81" s="23"/>
      <c r="N81" s="33" t="s">
        <v>153</v>
      </c>
      <c r="O81" s="26" t="s">
        <v>130</v>
      </c>
      <c r="R81" s="20"/>
    </row>
    <row r="82" spans="2:18" ht="35.15" hidden="1" customHeight="1" x14ac:dyDescent="0.25">
      <c r="B82" s="28" t="s">
        <v>277</v>
      </c>
      <c r="C82" s="21" t="s">
        <v>23</v>
      </c>
      <c r="D82" s="21" t="s">
        <v>143</v>
      </c>
      <c r="E82" s="18">
        <v>43924</v>
      </c>
      <c r="F82" s="27">
        <f t="shared" ca="1" si="1"/>
        <v>549</v>
      </c>
      <c r="G82" s="34"/>
      <c r="H82" s="25"/>
      <c r="I82" s="25"/>
      <c r="J82" s="34"/>
      <c r="K82" s="22"/>
      <c r="L82" s="23">
        <v>43925</v>
      </c>
      <c r="M82" s="23"/>
      <c r="N82" s="33" t="s">
        <v>153</v>
      </c>
      <c r="O82" s="26" t="s">
        <v>154</v>
      </c>
      <c r="R82" s="20"/>
    </row>
    <row r="83" spans="2:18" ht="35.15" hidden="1" customHeight="1" x14ac:dyDescent="0.25">
      <c r="B83" s="28" t="s">
        <v>244</v>
      </c>
      <c r="C83" s="24" t="s">
        <v>60</v>
      </c>
      <c r="D83" s="19" t="s">
        <v>144</v>
      </c>
      <c r="E83" s="23">
        <v>43924</v>
      </c>
      <c r="F83" s="27">
        <f t="shared" ca="1" si="1"/>
        <v>549</v>
      </c>
      <c r="G83" s="34"/>
      <c r="H83" s="25"/>
      <c r="I83" s="25"/>
      <c r="J83" s="34"/>
      <c r="K83" s="22"/>
      <c r="L83" s="23">
        <v>43925</v>
      </c>
      <c r="M83" s="23"/>
      <c r="N83" s="33" t="s">
        <v>153</v>
      </c>
      <c r="O83" s="26" t="s">
        <v>152</v>
      </c>
      <c r="R83" s="20"/>
    </row>
    <row r="84" spans="2:18" ht="35.15" hidden="1" customHeight="1" x14ac:dyDescent="0.25">
      <c r="B84" s="28" t="s">
        <v>217</v>
      </c>
      <c r="C84" s="21" t="s">
        <v>23</v>
      </c>
      <c r="D84" s="19" t="s">
        <v>156</v>
      </c>
      <c r="E84" s="18">
        <v>43924</v>
      </c>
      <c r="F84" s="27">
        <f t="shared" ca="1" si="1"/>
        <v>549</v>
      </c>
      <c r="G84" s="34"/>
      <c r="H84" s="25"/>
      <c r="I84" s="25"/>
      <c r="J84" s="34"/>
      <c r="K84" s="22"/>
      <c r="L84" s="23">
        <v>43925</v>
      </c>
      <c r="M84" s="23"/>
      <c r="N84" s="33" t="s">
        <v>153</v>
      </c>
      <c r="O84" s="26" t="s">
        <v>157</v>
      </c>
      <c r="R84" s="20"/>
    </row>
    <row r="85" spans="2:18" ht="35.15" hidden="1" customHeight="1" x14ac:dyDescent="0.25">
      <c r="B85" s="28" t="s">
        <v>238</v>
      </c>
      <c r="C85" s="21" t="s">
        <v>23</v>
      </c>
      <c r="D85" s="19" t="s">
        <v>160</v>
      </c>
      <c r="E85" s="18">
        <v>43929</v>
      </c>
      <c r="F85" s="27">
        <f t="shared" ca="1" si="1"/>
        <v>544</v>
      </c>
      <c r="G85" s="34"/>
      <c r="H85" s="25"/>
      <c r="I85" s="25"/>
      <c r="J85" s="34"/>
      <c r="K85" s="22"/>
      <c r="L85" s="23">
        <v>43932</v>
      </c>
      <c r="M85" s="23"/>
      <c r="N85" s="33" t="s">
        <v>153</v>
      </c>
      <c r="O85" s="26" t="s">
        <v>55</v>
      </c>
      <c r="R85" s="20"/>
    </row>
    <row r="86" spans="2:18" ht="35.15" hidden="1" customHeight="1" x14ac:dyDescent="0.25">
      <c r="B86" s="28" t="s">
        <v>237</v>
      </c>
      <c r="C86" s="21" t="s">
        <v>37</v>
      </c>
      <c r="D86" s="19" t="s">
        <v>158</v>
      </c>
      <c r="E86" s="18">
        <v>43929</v>
      </c>
      <c r="F86" s="27">
        <f t="shared" ca="1" si="1"/>
        <v>544</v>
      </c>
      <c r="G86" s="34"/>
      <c r="H86" s="25"/>
      <c r="I86" s="25"/>
      <c r="J86" s="34"/>
      <c r="K86" s="22"/>
      <c r="L86" s="23">
        <v>43932</v>
      </c>
      <c r="M86" s="23"/>
      <c r="N86" s="33" t="s">
        <v>153</v>
      </c>
      <c r="O86" s="26" t="s">
        <v>167</v>
      </c>
      <c r="R86" s="20"/>
    </row>
    <row r="87" spans="2:18" ht="35.15" hidden="1" customHeight="1" x14ac:dyDescent="0.25">
      <c r="B87" s="47" t="s">
        <v>235</v>
      </c>
      <c r="C87" s="59" t="s">
        <v>23</v>
      </c>
      <c r="D87" s="49" t="s">
        <v>161</v>
      </c>
      <c r="E87" s="48">
        <v>43929</v>
      </c>
      <c r="F87" s="27">
        <f t="shared" ca="1" si="1"/>
        <v>544</v>
      </c>
      <c r="G87" s="34"/>
      <c r="H87" s="25"/>
      <c r="I87" s="25"/>
      <c r="J87" s="34"/>
      <c r="K87" s="22"/>
      <c r="L87" s="23">
        <v>43936</v>
      </c>
      <c r="M87" s="23"/>
      <c r="N87" s="33" t="s">
        <v>153</v>
      </c>
      <c r="O87" s="26" t="s">
        <v>170</v>
      </c>
      <c r="R87" s="20"/>
    </row>
    <row r="88" spans="2:18" ht="35.15" hidden="1" customHeight="1" x14ac:dyDescent="0.25">
      <c r="B88" s="28" t="s">
        <v>261</v>
      </c>
      <c r="C88" s="21" t="s">
        <v>60</v>
      </c>
      <c r="D88" s="19" t="s">
        <v>159</v>
      </c>
      <c r="E88" s="18">
        <v>43929</v>
      </c>
      <c r="F88" s="27">
        <f t="shared" ca="1" si="1"/>
        <v>544</v>
      </c>
      <c r="G88" s="34"/>
      <c r="H88" s="25"/>
      <c r="I88" s="25"/>
      <c r="J88" s="34"/>
      <c r="K88" s="22"/>
      <c r="L88" s="23">
        <v>43932</v>
      </c>
      <c r="M88" s="23"/>
      <c r="N88" s="33" t="s">
        <v>153</v>
      </c>
      <c r="O88" s="26" t="s">
        <v>169</v>
      </c>
      <c r="R88" s="20"/>
    </row>
    <row r="89" spans="2:18" ht="35.15" hidden="1" customHeight="1" x14ac:dyDescent="0.25">
      <c r="B89" s="28" t="s">
        <v>271</v>
      </c>
      <c r="C89" s="21" t="s">
        <v>37</v>
      </c>
      <c r="D89" s="19" t="s">
        <v>158</v>
      </c>
      <c r="E89" s="18">
        <v>43929</v>
      </c>
      <c r="F89" s="27">
        <f t="shared" ca="1" si="1"/>
        <v>544</v>
      </c>
      <c r="G89" s="34"/>
      <c r="H89" s="25"/>
      <c r="I89" s="25"/>
      <c r="J89" s="34"/>
      <c r="K89" s="22"/>
      <c r="L89" s="23">
        <v>43932</v>
      </c>
      <c r="M89" s="23"/>
      <c r="N89" s="33" t="s">
        <v>153</v>
      </c>
      <c r="O89" s="26"/>
      <c r="R89" s="20"/>
    </row>
    <row r="90" spans="2:18" ht="35.15" hidden="1" customHeight="1" x14ac:dyDescent="0.25">
      <c r="B90" s="28" t="s">
        <v>241</v>
      </c>
      <c r="C90" s="21" t="s">
        <v>23</v>
      </c>
      <c r="D90" s="19" t="s">
        <v>160</v>
      </c>
      <c r="E90" s="18">
        <v>43930</v>
      </c>
      <c r="F90" s="27">
        <f t="shared" ca="1" si="1"/>
        <v>543</v>
      </c>
      <c r="G90" s="34"/>
      <c r="H90" s="25"/>
      <c r="I90" s="25"/>
      <c r="J90" s="34"/>
      <c r="K90" s="22"/>
      <c r="L90" s="23">
        <v>43932</v>
      </c>
      <c r="M90" s="23"/>
      <c r="N90" s="33" t="s">
        <v>153</v>
      </c>
      <c r="O90" s="26"/>
      <c r="R90" s="20"/>
    </row>
    <row r="91" spans="2:18" ht="35.15" hidden="1" customHeight="1" x14ac:dyDescent="0.25">
      <c r="B91" s="28" t="s">
        <v>237</v>
      </c>
      <c r="C91" s="21" t="s">
        <v>31</v>
      </c>
      <c r="D91" s="19" t="s">
        <v>166</v>
      </c>
      <c r="E91" s="18">
        <v>43930</v>
      </c>
      <c r="F91" s="27">
        <f t="shared" ca="1" si="1"/>
        <v>543</v>
      </c>
      <c r="G91" s="34"/>
      <c r="H91" s="25"/>
      <c r="I91" s="25"/>
      <c r="J91" s="34"/>
      <c r="K91" s="22"/>
      <c r="L91" s="23">
        <v>43936</v>
      </c>
      <c r="M91" s="23"/>
      <c r="N91" s="33" t="s">
        <v>185</v>
      </c>
      <c r="O91" s="26" t="s">
        <v>184</v>
      </c>
      <c r="R91" s="20"/>
    </row>
    <row r="92" spans="2:18" ht="35.15" hidden="1" customHeight="1" x14ac:dyDescent="0.25">
      <c r="B92" s="28" t="s">
        <v>243</v>
      </c>
      <c r="C92" s="21" t="s">
        <v>23</v>
      </c>
      <c r="D92" s="19" t="s">
        <v>162</v>
      </c>
      <c r="E92" s="18">
        <v>43930</v>
      </c>
      <c r="F92" s="27">
        <f t="shared" ca="1" si="1"/>
        <v>543</v>
      </c>
      <c r="G92" s="34"/>
      <c r="H92" s="25"/>
      <c r="I92" s="25"/>
      <c r="J92" s="34"/>
      <c r="K92" s="22"/>
      <c r="L92" s="23">
        <v>43932</v>
      </c>
      <c r="M92" s="23"/>
      <c r="N92" s="33" t="s">
        <v>153</v>
      </c>
      <c r="O92" s="26" t="s">
        <v>168</v>
      </c>
      <c r="R92" s="20"/>
    </row>
    <row r="93" spans="2:18" ht="35.15" hidden="1" customHeight="1" x14ac:dyDescent="0.25">
      <c r="B93" s="28" t="s">
        <v>246</v>
      </c>
      <c r="C93" s="21" t="s">
        <v>31</v>
      </c>
      <c r="D93" s="19" t="s">
        <v>163</v>
      </c>
      <c r="E93" s="18">
        <v>43930</v>
      </c>
      <c r="F93" s="27">
        <f t="shared" ca="1" si="1"/>
        <v>543</v>
      </c>
      <c r="G93" s="34"/>
      <c r="H93" s="25"/>
      <c r="I93" s="25"/>
      <c r="J93" s="34"/>
      <c r="K93" s="22"/>
      <c r="L93" s="23">
        <v>43939</v>
      </c>
      <c r="M93" s="23"/>
      <c r="N93" s="33" t="s">
        <v>153</v>
      </c>
      <c r="O93" s="26" t="s">
        <v>61</v>
      </c>
      <c r="R93" s="20"/>
    </row>
    <row r="94" spans="2:18" ht="35.15" hidden="1" customHeight="1" x14ac:dyDescent="0.25">
      <c r="B94" s="36" t="s">
        <v>264</v>
      </c>
      <c r="C94" s="39" t="s">
        <v>31</v>
      </c>
      <c r="D94" s="38" t="s">
        <v>165</v>
      </c>
      <c r="E94" s="40">
        <v>43930</v>
      </c>
      <c r="F94" s="27">
        <f t="shared" ca="1" si="1"/>
        <v>543</v>
      </c>
      <c r="G94" s="41"/>
      <c r="H94" s="42"/>
      <c r="I94" s="42"/>
      <c r="J94" s="41"/>
      <c r="K94" s="43"/>
      <c r="L94" s="44">
        <v>43928</v>
      </c>
      <c r="M94" s="44"/>
      <c r="N94" s="45" t="s">
        <v>179</v>
      </c>
      <c r="O94" s="46" t="s">
        <v>182</v>
      </c>
      <c r="R94" s="20"/>
    </row>
    <row r="95" spans="2:18" ht="35.15" hidden="1" customHeight="1" x14ac:dyDescent="0.25">
      <c r="B95" s="28" t="s">
        <v>250</v>
      </c>
      <c r="C95" s="21" t="s">
        <v>37</v>
      </c>
      <c r="D95" s="19" t="s">
        <v>171</v>
      </c>
      <c r="E95" s="18">
        <v>43935</v>
      </c>
      <c r="F95" s="27">
        <f t="shared" ca="1" si="1"/>
        <v>538</v>
      </c>
      <c r="G95" s="34"/>
      <c r="H95" s="25"/>
      <c r="I95" s="25"/>
      <c r="J95" s="34"/>
      <c r="K95" s="22"/>
      <c r="L95" s="23">
        <v>43936</v>
      </c>
      <c r="M95" s="23"/>
      <c r="N95" s="33" t="s">
        <v>153</v>
      </c>
      <c r="O95" s="26" t="s">
        <v>183</v>
      </c>
      <c r="R95" s="20"/>
    </row>
    <row r="96" spans="2:18" ht="35.15" hidden="1" customHeight="1" x14ac:dyDescent="0.25">
      <c r="B96" s="28" t="s">
        <v>266</v>
      </c>
      <c r="C96" s="21" t="s">
        <v>11</v>
      </c>
      <c r="D96" s="19" t="s">
        <v>172</v>
      </c>
      <c r="E96" s="18">
        <v>43935</v>
      </c>
      <c r="F96" s="27">
        <f t="shared" ca="1" si="1"/>
        <v>538</v>
      </c>
      <c r="G96" s="34"/>
      <c r="H96" s="25"/>
      <c r="I96" s="25"/>
      <c r="J96" s="34"/>
      <c r="K96" s="22"/>
      <c r="L96" s="23">
        <v>43937</v>
      </c>
      <c r="M96" s="23"/>
      <c r="N96" s="33" t="s">
        <v>153</v>
      </c>
      <c r="O96" s="26" t="s">
        <v>178</v>
      </c>
      <c r="R96" s="20"/>
    </row>
    <row r="97" spans="2:18" ht="35.15" hidden="1" customHeight="1" x14ac:dyDescent="0.25">
      <c r="B97" s="28" t="s">
        <v>237</v>
      </c>
      <c r="C97" s="21" t="s">
        <v>12</v>
      </c>
      <c r="D97" s="21" t="s">
        <v>177</v>
      </c>
      <c r="E97" s="18">
        <v>43936</v>
      </c>
      <c r="F97" s="27">
        <f t="shared" ca="1" si="1"/>
        <v>537</v>
      </c>
      <c r="G97" s="34"/>
      <c r="H97" s="25"/>
      <c r="I97" s="25"/>
      <c r="J97" s="34"/>
      <c r="K97" s="22"/>
      <c r="L97" s="23">
        <v>43939</v>
      </c>
      <c r="M97" s="23"/>
      <c r="N97" s="33" t="s">
        <v>153</v>
      </c>
      <c r="O97" s="26" t="s">
        <v>192</v>
      </c>
      <c r="R97" s="20"/>
    </row>
    <row r="98" spans="2:18" ht="35.15" hidden="1" customHeight="1" x14ac:dyDescent="0.25">
      <c r="B98" s="28" t="s">
        <v>235</v>
      </c>
      <c r="C98" s="21" t="s">
        <v>23</v>
      </c>
      <c r="D98" s="19" t="s">
        <v>196</v>
      </c>
      <c r="E98" s="18">
        <v>43936</v>
      </c>
      <c r="F98" s="27">
        <f t="shared" ca="1" si="1"/>
        <v>537</v>
      </c>
      <c r="G98" s="34"/>
      <c r="H98" s="25"/>
      <c r="I98" s="25"/>
      <c r="J98" s="34"/>
      <c r="K98" s="22"/>
      <c r="L98" s="23">
        <v>43936</v>
      </c>
      <c r="M98" s="23"/>
      <c r="N98" s="33" t="s">
        <v>153</v>
      </c>
      <c r="O98" s="26" t="s">
        <v>198</v>
      </c>
      <c r="R98" s="20"/>
    </row>
    <row r="99" spans="2:18" ht="35.15" hidden="1" customHeight="1" x14ac:dyDescent="0.25">
      <c r="B99" s="28" t="s">
        <v>235</v>
      </c>
      <c r="C99" s="21" t="s">
        <v>23</v>
      </c>
      <c r="D99" s="19" t="s">
        <v>197</v>
      </c>
      <c r="E99" s="18">
        <v>43936</v>
      </c>
      <c r="F99" s="27">
        <f t="shared" ca="1" si="1"/>
        <v>537</v>
      </c>
      <c r="G99" s="34"/>
      <c r="H99" s="25"/>
      <c r="I99" s="25"/>
      <c r="J99" s="34"/>
      <c r="K99" s="22"/>
      <c r="L99" s="23">
        <v>43936</v>
      </c>
      <c r="M99" s="23"/>
      <c r="N99" s="33" t="s">
        <v>153</v>
      </c>
      <c r="O99" s="26" t="s">
        <v>198</v>
      </c>
      <c r="R99" s="20"/>
    </row>
    <row r="100" spans="2:18" ht="35.15" hidden="1" customHeight="1" x14ac:dyDescent="0.25">
      <c r="B100" s="28" t="s">
        <v>245</v>
      </c>
      <c r="C100" s="21" t="s">
        <v>23</v>
      </c>
      <c r="D100" s="19" t="s">
        <v>176</v>
      </c>
      <c r="E100" s="18">
        <v>43936</v>
      </c>
      <c r="F100" s="27">
        <f t="shared" ca="1" si="1"/>
        <v>537</v>
      </c>
      <c r="G100" s="34"/>
      <c r="H100" s="25"/>
      <c r="I100" s="25"/>
      <c r="J100" s="34"/>
      <c r="K100" s="22"/>
      <c r="L100" s="23">
        <v>43936</v>
      </c>
      <c r="M100" s="23"/>
      <c r="N100" s="33" t="s">
        <v>153</v>
      </c>
      <c r="O100" s="26" t="s">
        <v>63</v>
      </c>
      <c r="R100" s="20"/>
    </row>
    <row r="101" spans="2:18" ht="36" hidden="1" customHeight="1" x14ac:dyDescent="0.25">
      <c r="B101" s="28" t="s">
        <v>236</v>
      </c>
      <c r="C101" s="21" t="s">
        <v>23</v>
      </c>
      <c r="D101" s="19" t="s">
        <v>53</v>
      </c>
      <c r="E101" s="18">
        <v>43938</v>
      </c>
      <c r="F101" s="27">
        <f t="shared" ca="1" si="1"/>
        <v>535</v>
      </c>
      <c r="G101" s="34"/>
      <c r="H101" s="25"/>
      <c r="I101" s="25"/>
      <c r="J101" s="34"/>
      <c r="K101" s="22"/>
      <c r="L101" s="23">
        <v>43939</v>
      </c>
      <c r="M101" s="23"/>
      <c r="N101" s="33" t="s">
        <v>153</v>
      </c>
      <c r="O101" s="26" t="s">
        <v>55</v>
      </c>
      <c r="R101" s="20"/>
    </row>
    <row r="102" spans="2:18" ht="35.15" hidden="1" customHeight="1" x14ac:dyDescent="0.25">
      <c r="B102" s="28" t="s">
        <v>234</v>
      </c>
      <c r="C102" s="21" t="s">
        <v>10</v>
      </c>
      <c r="D102" s="19" t="s">
        <v>191</v>
      </c>
      <c r="E102" s="23">
        <v>43938</v>
      </c>
      <c r="F102" s="27">
        <f t="shared" ca="1" si="1"/>
        <v>535</v>
      </c>
      <c r="G102" s="34"/>
      <c r="H102" s="25"/>
      <c r="I102" s="25"/>
      <c r="J102" s="34"/>
      <c r="K102" s="22"/>
      <c r="L102" s="23">
        <v>43944</v>
      </c>
      <c r="M102" s="23"/>
      <c r="N102" s="33" t="s">
        <v>153</v>
      </c>
      <c r="O102" s="33" t="s">
        <v>204</v>
      </c>
      <c r="R102" s="20"/>
    </row>
    <row r="103" spans="2:18" ht="35.15" hidden="1" customHeight="1" x14ac:dyDescent="0.25">
      <c r="B103" s="28" t="s">
        <v>273</v>
      </c>
      <c r="C103" s="21" t="s">
        <v>10</v>
      </c>
      <c r="D103" s="19" t="s">
        <v>191</v>
      </c>
      <c r="E103" s="23">
        <v>43938</v>
      </c>
      <c r="F103" s="27">
        <f t="shared" ca="1" si="1"/>
        <v>535</v>
      </c>
      <c r="G103" s="34"/>
      <c r="H103" s="25"/>
      <c r="I103" s="25"/>
      <c r="J103" s="34"/>
      <c r="K103" s="22"/>
      <c r="L103" s="23">
        <v>43944</v>
      </c>
      <c r="M103" s="23"/>
      <c r="N103" s="33" t="s">
        <v>153</v>
      </c>
      <c r="O103" s="33" t="s">
        <v>204</v>
      </c>
      <c r="R103" s="20"/>
    </row>
    <row r="104" spans="2:18" ht="35.15" hidden="1" customHeight="1" x14ac:dyDescent="0.25">
      <c r="B104" s="28" t="s">
        <v>227</v>
      </c>
      <c r="C104" s="21" t="s">
        <v>10</v>
      </c>
      <c r="D104" s="19" t="s">
        <v>191</v>
      </c>
      <c r="E104" s="23">
        <v>43938</v>
      </c>
      <c r="F104" s="27">
        <f t="shared" ca="1" si="1"/>
        <v>535</v>
      </c>
      <c r="G104" s="34"/>
      <c r="H104" s="25"/>
      <c r="I104" s="25"/>
      <c r="J104" s="34"/>
      <c r="K104" s="22"/>
      <c r="L104" s="23">
        <v>43944</v>
      </c>
      <c r="M104" s="23"/>
      <c r="N104" s="33" t="s">
        <v>153</v>
      </c>
      <c r="O104" s="33" t="s">
        <v>203</v>
      </c>
      <c r="R104" s="20"/>
    </row>
    <row r="105" spans="2:18" ht="35.15" hidden="1" customHeight="1" x14ac:dyDescent="0.25">
      <c r="B105" s="28" t="s">
        <v>274</v>
      </c>
      <c r="C105" s="21" t="s">
        <v>10</v>
      </c>
      <c r="D105" s="19" t="s">
        <v>191</v>
      </c>
      <c r="E105" s="23">
        <v>43938</v>
      </c>
      <c r="F105" s="27">
        <f t="shared" ca="1" si="1"/>
        <v>535</v>
      </c>
      <c r="G105" s="34"/>
      <c r="H105" s="25"/>
      <c r="I105" s="25"/>
      <c r="J105" s="34"/>
      <c r="K105" s="22"/>
      <c r="L105" s="23">
        <v>43944</v>
      </c>
      <c r="M105" s="23"/>
      <c r="N105" s="33" t="s">
        <v>153</v>
      </c>
      <c r="O105" s="33" t="s">
        <v>204</v>
      </c>
      <c r="R105" s="20"/>
    </row>
    <row r="106" spans="2:18" ht="36" hidden="1" customHeight="1" x14ac:dyDescent="0.25">
      <c r="B106" s="28" t="s">
        <v>275</v>
      </c>
      <c r="C106" s="21" t="s">
        <v>10</v>
      </c>
      <c r="D106" s="19" t="s">
        <v>191</v>
      </c>
      <c r="E106" s="23">
        <v>43938</v>
      </c>
      <c r="F106" s="27">
        <f t="shared" ca="1" si="1"/>
        <v>535</v>
      </c>
      <c r="G106" s="34"/>
      <c r="H106" s="25"/>
      <c r="I106" s="25"/>
      <c r="J106" s="34"/>
      <c r="K106" s="22"/>
      <c r="L106" s="23">
        <v>43944</v>
      </c>
      <c r="M106" s="23"/>
      <c r="N106" s="33" t="s">
        <v>153</v>
      </c>
      <c r="O106" s="33" t="s">
        <v>204</v>
      </c>
      <c r="R106" s="20"/>
    </row>
    <row r="107" spans="2:18" ht="35.15" hidden="1" customHeight="1" x14ac:dyDescent="0.25">
      <c r="B107" s="28" t="s">
        <v>276</v>
      </c>
      <c r="C107" s="21" t="s">
        <v>23</v>
      </c>
      <c r="D107" s="19" t="s">
        <v>188</v>
      </c>
      <c r="E107" s="23">
        <v>43938</v>
      </c>
      <c r="F107" s="27">
        <f t="shared" ca="1" si="1"/>
        <v>535</v>
      </c>
      <c r="G107" s="34"/>
      <c r="H107" s="25"/>
      <c r="I107" s="25"/>
      <c r="J107" s="34"/>
      <c r="K107" s="22"/>
      <c r="L107" s="23">
        <v>43944</v>
      </c>
      <c r="M107" s="23"/>
      <c r="N107" s="33" t="s">
        <v>153</v>
      </c>
      <c r="O107" s="26" t="s">
        <v>207</v>
      </c>
      <c r="R107" s="20"/>
    </row>
    <row r="108" spans="2:18" ht="35.15" hidden="1" customHeight="1" x14ac:dyDescent="0.25">
      <c r="B108" s="28" t="s">
        <v>229</v>
      </c>
      <c r="C108" s="21" t="s">
        <v>12</v>
      </c>
      <c r="D108" s="19" t="s">
        <v>190</v>
      </c>
      <c r="E108" s="23">
        <v>43938</v>
      </c>
      <c r="F108" s="27">
        <f t="shared" ca="1" si="1"/>
        <v>535</v>
      </c>
      <c r="G108" s="34"/>
      <c r="H108" s="25"/>
      <c r="I108" s="25"/>
      <c r="J108" s="34"/>
      <c r="K108" s="22"/>
      <c r="L108" s="23">
        <v>43948</v>
      </c>
      <c r="M108" s="23"/>
      <c r="N108" s="33" t="s">
        <v>153</v>
      </c>
      <c r="O108" s="33" t="s">
        <v>219</v>
      </c>
      <c r="R108" s="20"/>
    </row>
    <row r="109" spans="2:18" ht="36" hidden="1" customHeight="1" x14ac:dyDescent="0.25">
      <c r="B109" s="28" t="s">
        <v>242</v>
      </c>
      <c r="C109" s="21" t="s">
        <v>31</v>
      </c>
      <c r="D109" s="19" t="s">
        <v>186</v>
      </c>
      <c r="E109" s="18">
        <v>43938</v>
      </c>
      <c r="F109" s="27">
        <f t="shared" ca="1" si="1"/>
        <v>535</v>
      </c>
      <c r="G109" s="34"/>
      <c r="H109" s="25"/>
      <c r="I109" s="25"/>
      <c r="J109" s="34"/>
      <c r="K109" s="22"/>
      <c r="L109" s="23">
        <v>43939</v>
      </c>
      <c r="M109" s="23"/>
      <c r="N109" s="33" t="s">
        <v>153</v>
      </c>
      <c r="O109" s="26" t="s">
        <v>194</v>
      </c>
      <c r="R109" s="20"/>
    </row>
    <row r="110" spans="2:18" ht="35.15" hidden="1" customHeight="1" x14ac:dyDescent="0.25">
      <c r="B110" s="28" t="s">
        <v>249</v>
      </c>
      <c r="C110" s="24" t="s">
        <v>31</v>
      </c>
      <c r="D110" s="19" t="s">
        <v>189</v>
      </c>
      <c r="E110" s="23">
        <v>43938</v>
      </c>
      <c r="F110" s="27">
        <f t="shared" ca="1" si="1"/>
        <v>535</v>
      </c>
      <c r="G110" s="34"/>
      <c r="H110" s="25"/>
      <c r="I110" s="25"/>
      <c r="J110" s="34"/>
      <c r="K110" s="22"/>
      <c r="L110" s="23">
        <v>43950</v>
      </c>
      <c r="M110" s="23"/>
      <c r="N110" s="33" t="s">
        <v>153</v>
      </c>
      <c r="O110" s="26" t="s">
        <v>230</v>
      </c>
      <c r="R110" s="20"/>
    </row>
    <row r="111" spans="2:18" ht="35.15" hidden="1" customHeight="1" x14ac:dyDescent="0.25">
      <c r="B111" s="47" t="s">
        <v>272</v>
      </c>
      <c r="C111" s="59" t="s">
        <v>60</v>
      </c>
      <c r="D111" s="49" t="s">
        <v>187</v>
      </c>
      <c r="E111" s="50">
        <v>43938</v>
      </c>
      <c r="F111" s="27">
        <f t="shared" ca="1" si="1"/>
        <v>535</v>
      </c>
      <c r="G111" s="34"/>
      <c r="H111" s="25"/>
      <c r="I111" s="25"/>
      <c r="J111" s="34"/>
      <c r="K111" s="22"/>
      <c r="L111" s="23">
        <v>43939</v>
      </c>
      <c r="M111" s="23"/>
      <c r="N111" s="33" t="s">
        <v>153</v>
      </c>
      <c r="O111" s="26" t="s">
        <v>195</v>
      </c>
      <c r="R111" s="20"/>
    </row>
    <row r="112" spans="2:18" ht="35.15" customHeight="1" x14ac:dyDescent="0.25">
      <c r="B112" s="114" t="s">
        <v>251</v>
      </c>
      <c r="C112" s="123" t="s">
        <v>11</v>
      </c>
      <c r="D112" s="115" t="s">
        <v>570</v>
      </c>
      <c r="E112" s="124">
        <v>43941</v>
      </c>
      <c r="F112" s="27">
        <f t="shared" ca="1" si="1"/>
        <v>532</v>
      </c>
      <c r="G112" s="68"/>
      <c r="H112" s="25"/>
      <c r="I112" s="62" t="s">
        <v>206</v>
      </c>
      <c r="J112" s="68"/>
      <c r="K112" s="22"/>
      <c r="L112" s="23"/>
      <c r="M112" s="23"/>
      <c r="N112" s="33" t="s">
        <v>571</v>
      </c>
      <c r="O112" s="26" t="s">
        <v>572</v>
      </c>
      <c r="R112" s="20"/>
    </row>
    <row r="113" spans="2:18" ht="35.15" customHeight="1" x14ac:dyDescent="0.25">
      <c r="B113" s="36" t="s">
        <v>252</v>
      </c>
      <c r="C113" s="37" t="s">
        <v>11</v>
      </c>
      <c r="D113" s="38" t="s">
        <v>570</v>
      </c>
      <c r="E113" s="44">
        <v>43941</v>
      </c>
      <c r="F113" s="27">
        <f t="shared" ca="1" si="1"/>
        <v>532</v>
      </c>
      <c r="G113" s="68"/>
      <c r="H113" s="25"/>
      <c r="I113" s="62" t="s">
        <v>206</v>
      </c>
      <c r="J113" s="68"/>
      <c r="K113" s="22"/>
      <c r="L113" s="23"/>
      <c r="M113" s="23"/>
      <c r="N113" s="33" t="s">
        <v>571</v>
      </c>
      <c r="O113" s="26" t="s">
        <v>572</v>
      </c>
      <c r="R113" s="20"/>
    </row>
    <row r="114" spans="2:18" ht="35.15" hidden="1" customHeight="1" x14ac:dyDescent="0.25">
      <c r="B114" s="28" t="s">
        <v>239</v>
      </c>
      <c r="C114" s="21" t="s">
        <v>31</v>
      </c>
      <c r="D114" s="19" t="s">
        <v>199</v>
      </c>
      <c r="E114" s="18">
        <v>43942</v>
      </c>
      <c r="F114" s="27">
        <f t="shared" ca="1" si="1"/>
        <v>531</v>
      </c>
      <c r="G114" s="34"/>
      <c r="H114" s="25"/>
      <c r="I114" s="25"/>
      <c r="J114" s="34"/>
      <c r="K114" s="22"/>
      <c r="L114" s="23">
        <v>43948</v>
      </c>
      <c r="M114" s="23"/>
      <c r="N114" s="33" t="s">
        <v>153</v>
      </c>
      <c r="O114" s="33" t="s">
        <v>219</v>
      </c>
      <c r="R114" s="20"/>
    </row>
    <row r="115" spans="2:18" ht="35.15" hidden="1" customHeight="1" x14ac:dyDescent="0.25">
      <c r="B115" s="28" t="s">
        <v>251</v>
      </c>
      <c r="C115" s="21" t="s">
        <v>37</v>
      </c>
      <c r="D115" s="19" t="s">
        <v>201</v>
      </c>
      <c r="E115" s="18">
        <v>43943</v>
      </c>
      <c r="F115" s="27">
        <f t="shared" ca="1" si="1"/>
        <v>530</v>
      </c>
      <c r="G115" s="34"/>
      <c r="H115" s="25"/>
      <c r="I115" s="25"/>
      <c r="J115" s="34"/>
      <c r="K115" s="22"/>
      <c r="L115" s="23">
        <v>43944</v>
      </c>
      <c r="M115" s="23"/>
      <c r="N115" s="33" t="s">
        <v>153</v>
      </c>
      <c r="O115" s="26"/>
      <c r="R115" s="20"/>
    </row>
    <row r="116" spans="2:18" ht="35.15" hidden="1" customHeight="1" x14ac:dyDescent="0.25">
      <c r="B116" s="28" t="s">
        <v>271</v>
      </c>
      <c r="C116" s="21" t="s">
        <v>23</v>
      </c>
      <c r="D116" s="19" t="s">
        <v>200</v>
      </c>
      <c r="E116" s="23">
        <v>43943</v>
      </c>
      <c r="F116" s="27">
        <f t="shared" ca="1" si="1"/>
        <v>530</v>
      </c>
      <c r="G116" s="34"/>
      <c r="H116" s="25"/>
      <c r="I116" s="25"/>
      <c r="J116" s="34"/>
      <c r="K116" s="22"/>
      <c r="L116" s="23">
        <v>43944</v>
      </c>
      <c r="M116" s="23"/>
      <c r="N116" s="33" t="s">
        <v>153</v>
      </c>
      <c r="O116" s="33" t="s">
        <v>202</v>
      </c>
      <c r="R116" s="20"/>
    </row>
    <row r="117" spans="2:18" ht="35.15" hidden="1" customHeight="1" x14ac:dyDescent="0.25">
      <c r="B117" s="28" t="s">
        <v>229</v>
      </c>
      <c r="C117" s="21" t="s">
        <v>23</v>
      </c>
      <c r="D117" s="19" t="s">
        <v>218</v>
      </c>
      <c r="E117" s="18">
        <v>43944</v>
      </c>
      <c r="F117" s="27">
        <f t="shared" ca="1" si="1"/>
        <v>529</v>
      </c>
      <c r="G117" s="34"/>
      <c r="H117" s="25"/>
      <c r="I117" s="25" t="s">
        <v>206</v>
      </c>
      <c r="J117" s="34"/>
      <c r="K117" s="22"/>
      <c r="L117" s="23">
        <v>43946</v>
      </c>
      <c r="M117" s="23"/>
      <c r="N117" s="33" t="s">
        <v>153</v>
      </c>
      <c r="O117" s="26" t="s">
        <v>55</v>
      </c>
      <c r="R117" s="20"/>
    </row>
    <row r="118" spans="2:18" ht="35.15" hidden="1" customHeight="1" x14ac:dyDescent="0.25">
      <c r="B118" s="28" t="s">
        <v>245</v>
      </c>
      <c r="C118" s="24" t="s">
        <v>12</v>
      </c>
      <c r="D118" s="19" t="s">
        <v>209</v>
      </c>
      <c r="E118" s="23">
        <v>43944</v>
      </c>
      <c r="F118" s="27">
        <f t="shared" ca="1" si="1"/>
        <v>529</v>
      </c>
      <c r="G118" s="34"/>
      <c r="H118" s="25"/>
      <c r="I118" s="25" t="s">
        <v>206</v>
      </c>
      <c r="J118" s="34"/>
      <c r="K118" s="22"/>
      <c r="L118" s="23">
        <v>43946</v>
      </c>
      <c r="M118" s="23"/>
      <c r="N118" s="33" t="s">
        <v>153</v>
      </c>
      <c r="O118" s="26" t="s">
        <v>220</v>
      </c>
      <c r="R118" s="20"/>
    </row>
    <row r="119" spans="2:18" ht="35.15" hidden="1" customHeight="1" x14ac:dyDescent="0.25">
      <c r="B119" s="28" t="s">
        <v>248</v>
      </c>
      <c r="C119" s="24" t="s">
        <v>40</v>
      </c>
      <c r="D119" s="19" t="s">
        <v>210</v>
      </c>
      <c r="E119" s="23">
        <v>43944</v>
      </c>
      <c r="F119" s="27">
        <f t="shared" ca="1" si="1"/>
        <v>529</v>
      </c>
      <c r="G119" s="34"/>
      <c r="H119" s="25"/>
      <c r="I119" s="25" t="s">
        <v>206</v>
      </c>
      <c r="J119" s="34"/>
      <c r="K119" s="22"/>
      <c r="L119" s="23">
        <v>43956</v>
      </c>
      <c r="M119" s="23"/>
      <c r="N119" s="33" t="s">
        <v>289</v>
      </c>
      <c r="O119" s="26" t="s">
        <v>61</v>
      </c>
      <c r="R119" s="20"/>
    </row>
    <row r="120" spans="2:18" ht="35.15" hidden="1" customHeight="1" x14ac:dyDescent="0.25">
      <c r="B120" s="28" t="s">
        <v>232</v>
      </c>
      <c r="C120" s="21" t="s">
        <v>40</v>
      </c>
      <c r="D120" s="19" t="s">
        <v>211</v>
      </c>
      <c r="E120" s="18">
        <v>43944</v>
      </c>
      <c r="F120" s="27">
        <f t="shared" ca="1" si="1"/>
        <v>529</v>
      </c>
      <c r="G120" s="34"/>
      <c r="H120" s="25"/>
      <c r="I120" s="25" t="s">
        <v>206</v>
      </c>
      <c r="J120" s="34"/>
      <c r="K120" s="22"/>
      <c r="L120" s="23">
        <v>43949</v>
      </c>
      <c r="M120" s="23"/>
      <c r="N120" s="33" t="s">
        <v>153</v>
      </c>
      <c r="O120" s="26" t="s">
        <v>228</v>
      </c>
      <c r="R120" s="20"/>
    </row>
    <row r="121" spans="2:18" ht="35.15" hidden="1" customHeight="1" x14ac:dyDescent="0.25">
      <c r="B121" s="28" t="s">
        <v>259</v>
      </c>
      <c r="C121" s="21" t="s">
        <v>23</v>
      </c>
      <c r="D121" s="19" t="s">
        <v>205</v>
      </c>
      <c r="E121" s="18">
        <v>43944</v>
      </c>
      <c r="F121" s="27">
        <f t="shared" ca="1" si="1"/>
        <v>529</v>
      </c>
      <c r="G121" s="34"/>
      <c r="H121" s="25"/>
      <c r="I121" s="25" t="s">
        <v>206</v>
      </c>
      <c r="J121" s="34"/>
      <c r="K121" s="22"/>
      <c r="L121" s="23">
        <v>43950</v>
      </c>
      <c r="M121" s="23"/>
      <c r="N121" s="33" t="s">
        <v>153</v>
      </c>
      <c r="O121" s="26" t="s">
        <v>63</v>
      </c>
      <c r="R121" s="20"/>
    </row>
    <row r="122" spans="2:18" ht="35.15" hidden="1" customHeight="1" x14ac:dyDescent="0.25">
      <c r="B122" s="28" t="s">
        <v>227</v>
      </c>
      <c r="C122" s="21" t="s">
        <v>14</v>
      </c>
      <c r="D122" s="19" t="s">
        <v>318</v>
      </c>
      <c r="E122" s="18">
        <v>43945</v>
      </c>
      <c r="F122" s="27">
        <f t="shared" ca="1" si="1"/>
        <v>528</v>
      </c>
      <c r="G122" s="34"/>
      <c r="H122" s="25"/>
      <c r="I122" s="25"/>
      <c r="J122" s="34"/>
      <c r="K122" s="22"/>
      <c r="L122" s="23">
        <v>43976</v>
      </c>
      <c r="M122" s="23"/>
      <c r="N122" s="33" t="s">
        <v>153</v>
      </c>
      <c r="O122" s="26" t="s">
        <v>372</v>
      </c>
      <c r="R122" s="20"/>
    </row>
    <row r="123" spans="2:18" ht="35.15" hidden="1" customHeight="1" x14ac:dyDescent="0.25">
      <c r="B123" s="36" t="s">
        <v>212</v>
      </c>
      <c r="C123" s="39" t="s">
        <v>23</v>
      </c>
      <c r="D123" s="38" t="s">
        <v>213</v>
      </c>
      <c r="E123" s="18">
        <v>43945</v>
      </c>
      <c r="F123" s="27">
        <f t="shared" ca="1" si="1"/>
        <v>528</v>
      </c>
      <c r="G123" s="34"/>
      <c r="H123" s="25"/>
      <c r="I123" s="25"/>
      <c r="J123" s="34"/>
      <c r="K123" s="22"/>
      <c r="L123" s="23">
        <v>43946</v>
      </c>
      <c r="M123" s="23"/>
      <c r="N123" s="33" t="s">
        <v>153</v>
      </c>
      <c r="O123" s="26" t="s">
        <v>221</v>
      </c>
      <c r="R123" s="20"/>
    </row>
    <row r="124" spans="2:18" ht="35.15" hidden="1" customHeight="1" x14ac:dyDescent="0.25">
      <c r="B124" s="114" t="s">
        <v>214</v>
      </c>
      <c r="C124" s="125" t="s">
        <v>31</v>
      </c>
      <c r="D124" s="115" t="s">
        <v>215</v>
      </c>
      <c r="E124" s="48">
        <v>43945</v>
      </c>
      <c r="F124" s="27">
        <f t="shared" ca="1" si="1"/>
        <v>528</v>
      </c>
      <c r="G124" s="34"/>
      <c r="H124" s="25"/>
      <c r="I124" s="25"/>
      <c r="J124" s="34"/>
      <c r="K124" s="22"/>
      <c r="L124" s="23">
        <v>43946</v>
      </c>
      <c r="M124" s="23"/>
      <c r="N124" s="33" t="s">
        <v>153</v>
      </c>
      <c r="O124" s="26" t="s">
        <v>222</v>
      </c>
      <c r="R124" s="20"/>
    </row>
    <row r="125" spans="2:18" ht="35.15" hidden="1" customHeight="1" x14ac:dyDescent="0.25">
      <c r="B125" s="28" t="s">
        <v>217</v>
      </c>
      <c r="C125" s="21" t="s">
        <v>35</v>
      </c>
      <c r="D125" s="19" t="s">
        <v>216</v>
      </c>
      <c r="E125" s="18">
        <v>43945</v>
      </c>
      <c r="F125" s="27">
        <f t="shared" ca="1" si="1"/>
        <v>528</v>
      </c>
      <c r="G125" s="34"/>
      <c r="H125" s="25"/>
      <c r="I125" s="25" t="s">
        <v>206</v>
      </c>
      <c r="J125" s="34"/>
      <c r="K125" s="22"/>
      <c r="L125" s="23">
        <v>43946</v>
      </c>
      <c r="M125" s="23"/>
      <c r="N125" s="33" t="s">
        <v>223</v>
      </c>
      <c r="O125" s="26"/>
      <c r="R125" s="20"/>
    </row>
    <row r="126" spans="2:18" ht="36" hidden="1" customHeight="1" x14ac:dyDescent="0.25">
      <c r="B126" s="28" t="s">
        <v>225</v>
      </c>
      <c r="C126" s="21" t="s">
        <v>10</v>
      </c>
      <c r="D126" s="19" t="s">
        <v>226</v>
      </c>
      <c r="E126" s="18">
        <v>43949</v>
      </c>
      <c r="F126" s="27">
        <f t="shared" ca="1" si="1"/>
        <v>524</v>
      </c>
      <c r="G126" s="34"/>
      <c r="H126" s="25"/>
      <c r="I126" s="25"/>
      <c r="J126" s="34"/>
      <c r="K126" s="22"/>
      <c r="L126" s="23">
        <v>43950</v>
      </c>
      <c r="M126" s="23"/>
      <c r="N126" s="33" t="s">
        <v>153</v>
      </c>
      <c r="O126" s="26" t="s">
        <v>231</v>
      </c>
      <c r="R126" s="20"/>
    </row>
    <row r="127" spans="2:18" ht="36" hidden="1" customHeight="1" x14ac:dyDescent="0.25">
      <c r="B127" s="28" t="s">
        <v>217</v>
      </c>
      <c r="C127" s="21" t="s">
        <v>35</v>
      </c>
      <c r="D127" s="19" t="s">
        <v>224</v>
      </c>
      <c r="E127" s="18">
        <v>43949</v>
      </c>
      <c r="F127" s="27">
        <f t="shared" ca="1" si="1"/>
        <v>524</v>
      </c>
      <c r="G127" s="34"/>
      <c r="H127" s="25"/>
      <c r="I127" s="25" t="s">
        <v>206</v>
      </c>
      <c r="J127" s="34"/>
      <c r="K127" s="22"/>
      <c r="L127" s="23">
        <v>43949</v>
      </c>
      <c r="M127" s="23"/>
      <c r="N127" s="33" t="s">
        <v>223</v>
      </c>
      <c r="O127" s="26"/>
      <c r="R127" s="20"/>
    </row>
    <row r="128" spans="2:18" ht="36" hidden="1" customHeight="1" x14ac:dyDescent="0.25">
      <c r="B128" s="28" t="s">
        <v>229</v>
      </c>
      <c r="C128" s="21" t="s">
        <v>31</v>
      </c>
      <c r="D128" s="19" t="s">
        <v>253</v>
      </c>
      <c r="E128" s="18">
        <v>43950</v>
      </c>
      <c r="F128" s="27">
        <f t="shared" ca="1" si="1"/>
        <v>523</v>
      </c>
      <c r="G128" s="34"/>
      <c r="H128" s="25"/>
      <c r="I128" s="25"/>
      <c r="J128" s="34"/>
      <c r="K128" s="22"/>
      <c r="L128" s="23">
        <v>43956</v>
      </c>
      <c r="M128" s="23"/>
      <c r="N128" s="33" t="s">
        <v>153</v>
      </c>
      <c r="O128" s="26" t="s">
        <v>61</v>
      </c>
      <c r="R128" s="20"/>
    </row>
    <row r="129" spans="2:18" ht="36" hidden="1" customHeight="1" x14ac:dyDescent="0.25">
      <c r="B129" s="28" t="s">
        <v>232</v>
      </c>
      <c r="C129" s="21" t="s">
        <v>23</v>
      </c>
      <c r="D129" s="19" t="s">
        <v>233</v>
      </c>
      <c r="E129" s="18">
        <v>43951</v>
      </c>
      <c r="F129" s="27">
        <f t="shared" ca="1" si="1"/>
        <v>522</v>
      </c>
      <c r="G129" s="34"/>
      <c r="H129" s="25"/>
      <c r="I129" s="25"/>
      <c r="J129" s="34"/>
      <c r="K129" s="22"/>
      <c r="L129" s="23">
        <v>43959</v>
      </c>
      <c r="M129" s="23"/>
      <c r="N129" s="33"/>
      <c r="O129" s="26" t="s">
        <v>293</v>
      </c>
      <c r="R129" s="20"/>
    </row>
    <row r="130" spans="2:18" ht="36" hidden="1" customHeight="1" x14ac:dyDescent="0.25">
      <c r="B130" s="28" t="s">
        <v>229</v>
      </c>
      <c r="C130" s="24" t="s">
        <v>31</v>
      </c>
      <c r="D130" s="19" t="s">
        <v>255</v>
      </c>
      <c r="E130" s="23">
        <v>43955</v>
      </c>
      <c r="F130" s="27">
        <f t="shared" ca="1" si="1"/>
        <v>518</v>
      </c>
      <c r="G130" s="34"/>
      <c r="H130" s="25"/>
      <c r="I130" s="25" t="s">
        <v>206</v>
      </c>
      <c r="J130" s="34"/>
      <c r="K130" s="22"/>
      <c r="L130" s="23">
        <v>43956</v>
      </c>
      <c r="M130" s="23"/>
      <c r="N130" s="33" t="s">
        <v>289</v>
      </c>
      <c r="O130" s="26" t="s">
        <v>290</v>
      </c>
      <c r="R130" s="20"/>
    </row>
    <row r="131" spans="2:18" ht="36" hidden="1" customHeight="1" x14ac:dyDescent="0.25">
      <c r="B131" s="28" t="s">
        <v>254</v>
      </c>
      <c r="C131" s="24" t="s">
        <v>23</v>
      </c>
      <c r="D131" s="19" t="s">
        <v>291</v>
      </c>
      <c r="E131" s="23">
        <v>43955</v>
      </c>
      <c r="F131" s="27">
        <f t="shared" ca="1" si="1"/>
        <v>518</v>
      </c>
      <c r="G131" s="34"/>
      <c r="H131" s="25"/>
      <c r="I131" s="25" t="s">
        <v>206</v>
      </c>
      <c r="J131" s="34"/>
      <c r="K131" s="22"/>
      <c r="L131" s="23">
        <v>43956</v>
      </c>
      <c r="M131" s="23"/>
      <c r="N131" s="33" t="s">
        <v>289</v>
      </c>
      <c r="O131" s="26" t="s">
        <v>313</v>
      </c>
      <c r="R131" s="20"/>
    </row>
    <row r="132" spans="2:18" ht="36" hidden="1" customHeight="1" x14ac:dyDescent="0.25">
      <c r="B132" s="28" t="s">
        <v>256</v>
      </c>
      <c r="C132" s="21" t="s">
        <v>40</v>
      </c>
      <c r="D132" s="19" t="s">
        <v>257</v>
      </c>
      <c r="E132" s="18">
        <v>43955</v>
      </c>
      <c r="F132" s="27">
        <f t="shared" ca="1" si="1"/>
        <v>518</v>
      </c>
      <c r="G132" s="34"/>
      <c r="H132" s="25"/>
      <c r="I132" s="25" t="s">
        <v>206</v>
      </c>
      <c r="J132" s="34"/>
      <c r="K132" s="22"/>
      <c r="L132" s="23">
        <v>43956</v>
      </c>
      <c r="M132" s="23"/>
      <c r="N132" s="33" t="s">
        <v>289</v>
      </c>
      <c r="O132" s="26" t="s">
        <v>292</v>
      </c>
      <c r="R132" s="20"/>
    </row>
    <row r="133" spans="2:18" ht="36" hidden="1" customHeight="1" x14ac:dyDescent="0.25">
      <c r="B133" s="28" t="s">
        <v>262</v>
      </c>
      <c r="C133" s="21" t="s">
        <v>37</v>
      </c>
      <c r="D133" s="19" t="s">
        <v>263</v>
      </c>
      <c r="E133" s="18">
        <v>43956</v>
      </c>
      <c r="F133" s="27">
        <f t="shared" ca="1" si="1"/>
        <v>517</v>
      </c>
      <c r="G133" s="34"/>
      <c r="H133" s="25"/>
      <c r="I133" s="25" t="s">
        <v>206</v>
      </c>
      <c r="J133" s="34"/>
      <c r="K133" s="22"/>
      <c r="L133" s="23">
        <v>43956</v>
      </c>
      <c r="M133" s="23"/>
      <c r="N133" s="33" t="s">
        <v>289</v>
      </c>
      <c r="O133" s="26"/>
      <c r="R133" s="20"/>
    </row>
    <row r="134" spans="2:18" ht="36" hidden="1" customHeight="1" x14ac:dyDescent="0.25">
      <c r="B134" s="28" t="s">
        <v>247</v>
      </c>
      <c r="C134" s="21" t="s">
        <v>40</v>
      </c>
      <c r="D134" s="19" t="s">
        <v>258</v>
      </c>
      <c r="E134" s="18">
        <v>43956</v>
      </c>
      <c r="F134" s="27">
        <f t="shared" ca="1" si="1"/>
        <v>517</v>
      </c>
      <c r="G134" s="34"/>
      <c r="H134" s="25"/>
      <c r="I134" s="25" t="s">
        <v>206</v>
      </c>
      <c r="J134" s="34"/>
      <c r="K134" s="22"/>
      <c r="L134" s="23">
        <v>43966</v>
      </c>
      <c r="M134" s="23"/>
      <c r="N134" s="33" t="s">
        <v>153</v>
      </c>
      <c r="O134" s="26" t="s">
        <v>74</v>
      </c>
      <c r="R134" s="20"/>
    </row>
    <row r="135" spans="2:18" ht="36" hidden="1" customHeight="1" x14ac:dyDescent="0.25">
      <c r="B135" s="28" t="s">
        <v>237</v>
      </c>
      <c r="C135" s="21" t="s">
        <v>23</v>
      </c>
      <c r="D135" s="19" t="s">
        <v>279</v>
      </c>
      <c r="E135" s="18">
        <v>43957</v>
      </c>
      <c r="F135" s="27">
        <f t="shared" ca="1" si="1"/>
        <v>516</v>
      </c>
      <c r="G135" s="34"/>
      <c r="H135" s="25"/>
      <c r="I135" s="25" t="s">
        <v>206</v>
      </c>
      <c r="J135" s="34"/>
      <c r="K135" s="22"/>
      <c r="L135" s="23">
        <v>43959</v>
      </c>
      <c r="M135" s="23"/>
      <c r="N135" s="33"/>
      <c r="O135" s="26"/>
      <c r="R135" s="20"/>
    </row>
    <row r="136" spans="2:18" ht="36" hidden="1" customHeight="1" x14ac:dyDescent="0.25">
      <c r="B136" s="28" t="s">
        <v>242</v>
      </c>
      <c r="C136" s="21" t="s">
        <v>23</v>
      </c>
      <c r="D136" s="57" t="s">
        <v>280</v>
      </c>
      <c r="E136" s="18">
        <v>43957</v>
      </c>
      <c r="F136" s="27">
        <f t="shared" ca="1" si="1"/>
        <v>516</v>
      </c>
      <c r="G136" s="34"/>
      <c r="H136" s="25"/>
      <c r="I136" s="25" t="s">
        <v>206</v>
      </c>
      <c r="J136" s="34"/>
      <c r="K136" s="22"/>
      <c r="L136" s="23">
        <v>43960</v>
      </c>
      <c r="M136" s="23"/>
      <c r="N136" s="33"/>
      <c r="O136" s="26"/>
      <c r="R136" s="20"/>
    </row>
    <row r="137" spans="2:18" ht="36" hidden="1" customHeight="1" x14ac:dyDescent="0.25">
      <c r="B137" s="36" t="s">
        <v>225</v>
      </c>
      <c r="C137" s="39" t="s">
        <v>10</v>
      </c>
      <c r="D137" s="38" t="s">
        <v>281</v>
      </c>
      <c r="E137" s="40">
        <v>43958</v>
      </c>
      <c r="F137" s="27">
        <f t="shared" ca="1" si="1"/>
        <v>515</v>
      </c>
      <c r="G137" s="34"/>
      <c r="H137" s="25"/>
      <c r="I137" s="25" t="s">
        <v>206</v>
      </c>
      <c r="J137" s="34"/>
      <c r="K137" s="22"/>
      <c r="L137" s="23">
        <v>43980</v>
      </c>
      <c r="M137" s="23"/>
      <c r="N137" s="33"/>
      <c r="O137" s="26" t="s">
        <v>349</v>
      </c>
      <c r="R137" s="20"/>
    </row>
    <row r="138" spans="2:18" ht="36" hidden="1" customHeight="1" x14ac:dyDescent="0.25">
      <c r="B138" s="28" t="s">
        <v>282</v>
      </c>
      <c r="C138" s="21" t="s">
        <v>35</v>
      </c>
      <c r="D138" s="19" t="s">
        <v>283</v>
      </c>
      <c r="E138" s="18">
        <v>43958</v>
      </c>
      <c r="F138" s="27">
        <f t="shared" ca="1" si="1"/>
        <v>515</v>
      </c>
      <c r="G138" s="34"/>
      <c r="H138" s="25"/>
      <c r="I138" s="25" t="s">
        <v>278</v>
      </c>
      <c r="J138" s="34"/>
      <c r="K138" s="22"/>
      <c r="L138" s="23">
        <v>43958</v>
      </c>
      <c r="M138" s="23"/>
      <c r="N138" s="33" t="s">
        <v>357</v>
      </c>
      <c r="O138" s="26" t="s">
        <v>356</v>
      </c>
      <c r="R138" s="20"/>
    </row>
    <row r="139" spans="2:18" ht="36" hidden="1" customHeight="1" x14ac:dyDescent="0.25">
      <c r="B139" s="28" t="s">
        <v>282</v>
      </c>
      <c r="C139" s="21" t="s">
        <v>23</v>
      </c>
      <c r="D139" s="19" t="s">
        <v>284</v>
      </c>
      <c r="E139" s="18">
        <v>43958</v>
      </c>
      <c r="F139" s="27">
        <f t="shared" ca="1" si="1"/>
        <v>515</v>
      </c>
      <c r="G139" s="34"/>
      <c r="H139" s="25"/>
      <c r="I139" s="25" t="s">
        <v>206</v>
      </c>
      <c r="J139" s="34"/>
      <c r="K139" s="22"/>
      <c r="L139" s="23">
        <v>43960</v>
      </c>
      <c r="M139" s="23"/>
      <c r="N139" s="33"/>
      <c r="O139" s="26"/>
      <c r="R139" s="20"/>
    </row>
    <row r="140" spans="2:18" ht="36" hidden="1" customHeight="1" x14ac:dyDescent="0.25">
      <c r="B140" s="28" t="s">
        <v>245</v>
      </c>
      <c r="C140" s="21" t="s">
        <v>40</v>
      </c>
      <c r="D140" s="19" t="s">
        <v>285</v>
      </c>
      <c r="E140" s="18">
        <v>43958</v>
      </c>
      <c r="F140" s="27">
        <f t="shared" ca="1" si="1"/>
        <v>515</v>
      </c>
      <c r="G140" s="34"/>
      <c r="H140" s="25"/>
      <c r="I140" s="25" t="s">
        <v>206</v>
      </c>
      <c r="J140" s="34"/>
      <c r="K140" s="22"/>
      <c r="L140" s="23">
        <v>43970</v>
      </c>
      <c r="M140" s="23"/>
      <c r="N140" s="33" t="s">
        <v>153</v>
      </c>
      <c r="O140" s="26" t="s">
        <v>303</v>
      </c>
      <c r="R140" s="20"/>
    </row>
    <row r="141" spans="2:18" ht="36" hidden="1" customHeight="1" x14ac:dyDescent="0.25">
      <c r="B141" s="36" t="s">
        <v>252</v>
      </c>
      <c r="C141" s="39" t="s">
        <v>40</v>
      </c>
      <c r="D141" s="38" t="s">
        <v>294</v>
      </c>
      <c r="E141" s="40">
        <v>43958</v>
      </c>
      <c r="F141" s="27">
        <f t="shared" ca="1" si="1"/>
        <v>515</v>
      </c>
      <c r="G141" s="34"/>
      <c r="H141" s="25"/>
      <c r="I141" s="25" t="s">
        <v>278</v>
      </c>
      <c r="J141" s="34"/>
      <c r="K141" s="22"/>
      <c r="L141" s="23">
        <v>43994</v>
      </c>
      <c r="M141" s="23"/>
      <c r="N141" s="33"/>
      <c r="O141" s="26"/>
      <c r="R141" s="20"/>
    </row>
    <row r="142" spans="2:18" ht="36" hidden="1" customHeight="1" x14ac:dyDescent="0.25">
      <c r="B142" s="28" t="s">
        <v>287</v>
      </c>
      <c r="C142" s="21" t="s">
        <v>37</v>
      </c>
      <c r="D142" s="19" t="s">
        <v>288</v>
      </c>
      <c r="E142" s="18">
        <v>43959</v>
      </c>
      <c r="F142" s="27">
        <f t="shared" ca="1" si="1"/>
        <v>514</v>
      </c>
      <c r="G142" s="34"/>
      <c r="H142" s="25"/>
      <c r="I142" s="25"/>
      <c r="J142" s="34"/>
      <c r="K142" s="22"/>
      <c r="L142" s="23">
        <v>43960</v>
      </c>
      <c r="M142" s="23"/>
      <c r="N142" s="33"/>
      <c r="O142" s="26"/>
      <c r="R142" s="20"/>
    </row>
    <row r="143" spans="2:18" ht="36" hidden="1" customHeight="1" x14ac:dyDescent="0.25">
      <c r="B143" s="28" t="s">
        <v>287</v>
      </c>
      <c r="C143" s="24" t="s">
        <v>23</v>
      </c>
      <c r="D143" s="19" t="s">
        <v>295</v>
      </c>
      <c r="E143" s="23">
        <v>43959</v>
      </c>
      <c r="F143" s="27">
        <f t="shared" ca="1" si="1"/>
        <v>514</v>
      </c>
      <c r="G143" s="34"/>
      <c r="H143" s="25"/>
      <c r="I143" s="25" t="s">
        <v>206</v>
      </c>
      <c r="J143" s="34"/>
      <c r="K143" s="22"/>
      <c r="L143" s="23">
        <v>43960</v>
      </c>
      <c r="M143" s="23"/>
      <c r="N143" s="33"/>
      <c r="O143" s="26"/>
      <c r="R143" s="20"/>
    </row>
    <row r="144" spans="2:18" ht="36" hidden="1" customHeight="1" x14ac:dyDescent="0.25">
      <c r="B144" s="28" t="s">
        <v>217</v>
      </c>
      <c r="C144" s="21" t="s">
        <v>40</v>
      </c>
      <c r="D144" s="19" t="s">
        <v>286</v>
      </c>
      <c r="E144" s="48">
        <v>43959</v>
      </c>
      <c r="F144" s="27">
        <f t="shared" ref="F144:F207" ca="1" si="2">IF(E144&lt;&gt;"",TODAY()-E144,"")</f>
        <v>514</v>
      </c>
      <c r="G144" s="34"/>
      <c r="H144" s="25"/>
      <c r="I144" s="25"/>
      <c r="J144" s="34"/>
      <c r="K144" s="22"/>
      <c r="L144" s="23">
        <v>43960</v>
      </c>
      <c r="M144" s="23"/>
      <c r="N144" s="33"/>
      <c r="O144" s="26"/>
      <c r="R144" s="20"/>
    </row>
    <row r="145" spans="2:18" ht="36" hidden="1" customHeight="1" x14ac:dyDescent="0.25">
      <c r="B145" s="28" t="s">
        <v>249</v>
      </c>
      <c r="C145" s="21" t="s">
        <v>40</v>
      </c>
      <c r="D145" s="19" t="s">
        <v>320</v>
      </c>
      <c r="E145" s="48">
        <v>43963</v>
      </c>
      <c r="F145" s="27">
        <f t="shared" ca="1" si="2"/>
        <v>510</v>
      </c>
      <c r="G145" s="34"/>
      <c r="H145" s="25"/>
      <c r="I145" s="25" t="s">
        <v>206</v>
      </c>
      <c r="J145" s="34"/>
      <c r="K145" s="22"/>
      <c r="L145" s="23">
        <v>43976</v>
      </c>
      <c r="M145" s="23"/>
      <c r="N145" s="33" t="s">
        <v>153</v>
      </c>
      <c r="O145" s="26" t="s">
        <v>323</v>
      </c>
      <c r="R145" s="20"/>
    </row>
    <row r="146" spans="2:18" ht="36" hidden="1" customHeight="1" x14ac:dyDescent="0.25">
      <c r="B146" s="28" t="s">
        <v>240</v>
      </c>
      <c r="C146" s="21" t="s">
        <v>12</v>
      </c>
      <c r="D146" s="19" t="s">
        <v>296</v>
      </c>
      <c r="E146" s="48">
        <v>43964</v>
      </c>
      <c r="F146" s="27">
        <f t="shared" ca="1" si="2"/>
        <v>509</v>
      </c>
      <c r="G146" s="34"/>
      <c r="H146" s="25"/>
      <c r="I146" s="25" t="s">
        <v>278</v>
      </c>
      <c r="J146" s="34"/>
      <c r="K146" s="22"/>
      <c r="L146" s="23">
        <v>43966</v>
      </c>
      <c r="M146" s="23"/>
      <c r="N146" s="33" t="s">
        <v>153</v>
      </c>
      <c r="O146" s="26" t="s">
        <v>300</v>
      </c>
      <c r="R146" s="20"/>
    </row>
    <row r="147" spans="2:18" ht="36" hidden="1" customHeight="1" x14ac:dyDescent="0.25">
      <c r="B147" s="28" t="s">
        <v>273</v>
      </c>
      <c r="C147" s="21" t="s">
        <v>35</v>
      </c>
      <c r="D147" s="19" t="s">
        <v>297</v>
      </c>
      <c r="E147" s="48">
        <v>43964</v>
      </c>
      <c r="F147" s="27">
        <f t="shared" ca="1" si="2"/>
        <v>509</v>
      </c>
      <c r="G147" s="34"/>
      <c r="H147" s="25"/>
      <c r="I147" s="25"/>
      <c r="J147" s="34"/>
      <c r="K147" s="22"/>
      <c r="L147" s="23">
        <v>43967</v>
      </c>
      <c r="M147" s="23"/>
      <c r="N147" s="33" t="s">
        <v>223</v>
      </c>
      <c r="O147" s="26" t="s">
        <v>326</v>
      </c>
      <c r="R147" s="20"/>
    </row>
    <row r="148" spans="2:18" ht="36" hidden="1" customHeight="1" x14ac:dyDescent="0.25">
      <c r="B148" s="28" t="s">
        <v>237</v>
      </c>
      <c r="C148" s="24" t="s">
        <v>23</v>
      </c>
      <c r="D148" s="19" t="s">
        <v>344</v>
      </c>
      <c r="E148" s="50">
        <v>43965</v>
      </c>
      <c r="F148" s="27">
        <f t="shared" ca="1" si="2"/>
        <v>508</v>
      </c>
      <c r="G148" s="34"/>
      <c r="H148" s="25"/>
      <c r="I148" s="25" t="s">
        <v>206</v>
      </c>
      <c r="J148" s="34"/>
      <c r="K148" s="22"/>
      <c r="L148" s="23">
        <v>43985</v>
      </c>
      <c r="M148" s="23"/>
      <c r="N148" s="51" t="s">
        <v>369</v>
      </c>
      <c r="O148" s="26" t="s">
        <v>63</v>
      </c>
      <c r="R148" s="20"/>
    </row>
    <row r="149" spans="2:18" ht="36" hidden="1" customHeight="1" x14ac:dyDescent="0.25">
      <c r="B149" s="28" t="s">
        <v>302</v>
      </c>
      <c r="C149" s="24" t="s">
        <v>23</v>
      </c>
      <c r="D149" s="19" t="s">
        <v>301</v>
      </c>
      <c r="E149" s="50">
        <v>43965</v>
      </c>
      <c r="F149" s="27">
        <f t="shared" ca="1" si="2"/>
        <v>508</v>
      </c>
      <c r="G149" s="34"/>
      <c r="H149" s="25"/>
      <c r="I149" s="25" t="s">
        <v>206</v>
      </c>
      <c r="J149" s="34"/>
      <c r="K149" s="22"/>
      <c r="L149" s="23">
        <v>43976</v>
      </c>
      <c r="M149" s="23"/>
      <c r="N149" s="33" t="s">
        <v>153</v>
      </c>
      <c r="O149" s="26" t="s">
        <v>55</v>
      </c>
      <c r="R149" s="20"/>
    </row>
    <row r="150" spans="2:18" ht="36" hidden="1" customHeight="1" x14ac:dyDescent="0.25">
      <c r="B150" s="28" t="s">
        <v>227</v>
      </c>
      <c r="C150" s="21" t="s">
        <v>60</v>
      </c>
      <c r="D150" s="19" t="s">
        <v>319</v>
      </c>
      <c r="E150" s="48">
        <v>43966</v>
      </c>
      <c r="F150" s="27">
        <f t="shared" ca="1" si="2"/>
        <v>507</v>
      </c>
      <c r="G150" s="34"/>
      <c r="H150" s="25"/>
      <c r="I150" s="25"/>
      <c r="J150" s="34"/>
      <c r="K150" s="22"/>
      <c r="L150" s="23">
        <v>43976</v>
      </c>
      <c r="M150" s="23"/>
      <c r="N150" s="33" t="s">
        <v>153</v>
      </c>
      <c r="O150" s="26" t="s">
        <v>373</v>
      </c>
      <c r="R150" s="20"/>
    </row>
    <row r="151" spans="2:18" ht="36" hidden="1" customHeight="1" x14ac:dyDescent="0.25">
      <c r="B151" s="28" t="s">
        <v>315</v>
      </c>
      <c r="C151" s="24" t="s">
        <v>23</v>
      </c>
      <c r="D151" s="19" t="s">
        <v>314</v>
      </c>
      <c r="E151" s="50">
        <v>43966</v>
      </c>
      <c r="F151" s="27">
        <f t="shared" ca="1" si="2"/>
        <v>507</v>
      </c>
      <c r="G151" s="34"/>
      <c r="H151" s="25"/>
      <c r="I151" s="25" t="s">
        <v>206</v>
      </c>
      <c r="J151" s="34"/>
      <c r="K151" s="22"/>
      <c r="L151" s="23">
        <v>43976</v>
      </c>
      <c r="M151" s="23"/>
      <c r="N151" s="33" t="s">
        <v>153</v>
      </c>
      <c r="O151" s="26" t="s">
        <v>55</v>
      </c>
      <c r="R151" s="20"/>
    </row>
    <row r="152" spans="2:18" ht="36" hidden="1" customHeight="1" x14ac:dyDescent="0.25">
      <c r="B152" s="28" t="s">
        <v>242</v>
      </c>
      <c r="C152" s="21" t="s">
        <v>23</v>
      </c>
      <c r="D152" s="19" t="s">
        <v>298</v>
      </c>
      <c r="E152" s="48">
        <v>43966</v>
      </c>
      <c r="F152" s="27">
        <f t="shared" ca="1" si="2"/>
        <v>507</v>
      </c>
      <c r="G152" s="34"/>
      <c r="H152" s="25"/>
      <c r="I152" s="25" t="s">
        <v>206</v>
      </c>
      <c r="J152" s="34"/>
      <c r="K152" s="22"/>
      <c r="L152" s="23">
        <v>43967</v>
      </c>
      <c r="M152" s="23"/>
      <c r="N152" s="33" t="s">
        <v>153</v>
      </c>
      <c r="O152" s="26" t="s">
        <v>304</v>
      </c>
      <c r="R152" s="20"/>
    </row>
    <row r="153" spans="2:18" ht="36" hidden="1" customHeight="1" x14ac:dyDescent="0.25">
      <c r="B153" s="28" t="s">
        <v>244</v>
      </c>
      <c r="C153" s="21" t="s">
        <v>23</v>
      </c>
      <c r="D153" s="19" t="s">
        <v>299</v>
      </c>
      <c r="E153" s="48">
        <v>43966</v>
      </c>
      <c r="F153" s="27">
        <f t="shared" ca="1" si="2"/>
        <v>507</v>
      </c>
      <c r="G153" s="34"/>
      <c r="H153" s="25"/>
      <c r="I153" s="25" t="s">
        <v>206</v>
      </c>
      <c r="J153" s="34"/>
      <c r="K153" s="22"/>
      <c r="L153" s="23">
        <v>43967</v>
      </c>
      <c r="M153" s="23"/>
      <c r="N153" s="33" t="s">
        <v>153</v>
      </c>
      <c r="O153" s="26" t="s">
        <v>305</v>
      </c>
      <c r="R153" s="20"/>
    </row>
    <row r="154" spans="2:18" ht="36" hidden="1" customHeight="1" x14ac:dyDescent="0.25">
      <c r="B154" s="28" t="s">
        <v>310</v>
      </c>
      <c r="C154" s="24" t="s">
        <v>11</v>
      </c>
      <c r="D154" s="19" t="s">
        <v>311</v>
      </c>
      <c r="E154" s="50">
        <v>43966</v>
      </c>
      <c r="F154" s="27">
        <f t="shared" ca="1" si="2"/>
        <v>507</v>
      </c>
      <c r="G154" s="34"/>
      <c r="H154" s="25"/>
      <c r="I154" s="25"/>
      <c r="J154" s="34"/>
      <c r="K154" s="22"/>
      <c r="L154" s="23">
        <v>43976</v>
      </c>
      <c r="M154" s="23"/>
      <c r="N154" s="33" t="s">
        <v>153</v>
      </c>
      <c r="O154" s="26" t="s">
        <v>324</v>
      </c>
      <c r="R154" s="20"/>
    </row>
    <row r="155" spans="2:18" ht="36" hidden="1" customHeight="1" x14ac:dyDescent="0.25">
      <c r="B155" s="28" t="s">
        <v>308</v>
      </c>
      <c r="C155" s="24" t="s">
        <v>23</v>
      </c>
      <c r="D155" s="19" t="s">
        <v>309</v>
      </c>
      <c r="E155" s="23">
        <v>43970</v>
      </c>
      <c r="F155" s="27">
        <f t="shared" ca="1" si="2"/>
        <v>503</v>
      </c>
      <c r="G155" s="34"/>
      <c r="H155" s="25"/>
      <c r="I155" s="25" t="s">
        <v>206</v>
      </c>
      <c r="J155" s="34"/>
      <c r="K155" s="22"/>
      <c r="L155" s="23">
        <v>43976</v>
      </c>
      <c r="M155" s="23"/>
      <c r="N155" s="33" t="s">
        <v>153</v>
      </c>
      <c r="O155" s="26" t="s">
        <v>55</v>
      </c>
      <c r="R155" s="20"/>
    </row>
    <row r="156" spans="2:18" ht="36" hidden="1" customHeight="1" x14ac:dyDescent="0.25">
      <c r="B156" s="28" t="s">
        <v>243</v>
      </c>
      <c r="C156" s="24" t="s">
        <v>23</v>
      </c>
      <c r="D156" s="19" t="s">
        <v>312</v>
      </c>
      <c r="E156" s="50">
        <v>43970</v>
      </c>
      <c r="F156" s="27">
        <f t="shared" ca="1" si="2"/>
        <v>503</v>
      </c>
      <c r="G156" s="34"/>
      <c r="H156" s="25"/>
      <c r="I156" s="25" t="s">
        <v>206</v>
      </c>
      <c r="J156" s="34"/>
      <c r="K156" s="22"/>
      <c r="L156" s="23">
        <v>43976</v>
      </c>
      <c r="M156" s="23"/>
      <c r="N156" s="33" t="s">
        <v>153</v>
      </c>
      <c r="O156" s="26" t="s">
        <v>55</v>
      </c>
      <c r="R156" s="20"/>
    </row>
    <row r="157" spans="2:18" ht="36" hidden="1" customHeight="1" x14ac:dyDescent="0.25">
      <c r="B157" s="28" t="s">
        <v>250</v>
      </c>
      <c r="C157" s="24" t="s">
        <v>37</v>
      </c>
      <c r="D157" s="19" t="s">
        <v>307</v>
      </c>
      <c r="E157" s="50">
        <v>43970</v>
      </c>
      <c r="F157" s="27">
        <f t="shared" ca="1" si="2"/>
        <v>503</v>
      </c>
      <c r="G157" s="34"/>
      <c r="H157" s="25"/>
      <c r="I157" s="25"/>
      <c r="J157" s="34"/>
      <c r="K157" s="22"/>
      <c r="L157" s="23">
        <v>43976</v>
      </c>
      <c r="M157" s="23"/>
      <c r="N157" s="33" t="s">
        <v>153</v>
      </c>
      <c r="O157" s="26" t="s">
        <v>306</v>
      </c>
      <c r="R157" s="20"/>
    </row>
    <row r="158" spans="2:18" ht="36" hidden="1" customHeight="1" x14ac:dyDescent="0.25">
      <c r="B158" s="28" t="s">
        <v>244</v>
      </c>
      <c r="C158" s="24" t="s">
        <v>23</v>
      </c>
      <c r="D158" s="19" t="s">
        <v>316</v>
      </c>
      <c r="E158" s="50">
        <v>43971</v>
      </c>
      <c r="F158" s="27">
        <f t="shared" ca="1" si="2"/>
        <v>502</v>
      </c>
      <c r="G158" s="34"/>
      <c r="H158" s="25"/>
      <c r="I158" s="25" t="s">
        <v>206</v>
      </c>
      <c r="J158" s="34"/>
      <c r="K158" s="22"/>
      <c r="L158" s="23">
        <v>43976</v>
      </c>
      <c r="M158" s="23"/>
      <c r="N158" s="33" t="s">
        <v>153</v>
      </c>
      <c r="O158" s="26" t="s">
        <v>55</v>
      </c>
      <c r="R158" s="20"/>
    </row>
    <row r="159" spans="2:18" ht="36" hidden="1" customHeight="1" x14ac:dyDescent="0.25">
      <c r="B159" s="28" t="s">
        <v>236</v>
      </c>
      <c r="C159" s="24" t="s">
        <v>40</v>
      </c>
      <c r="D159" s="19" t="s">
        <v>322</v>
      </c>
      <c r="E159" s="50">
        <v>43973</v>
      </c>
      <c r="F159" s="27">
        <f t="shared" ca="1" si="2"/>
        <v>500</v>
      </c>
      <c r="G159" s="34"/>
      <c r="H159" s="25"/>
      <c r="I159" s="25"/>
      <c r="J159" s="34"/>
      <c r="K159" s="22"/>
      <c r="L159" s="23">
        <v>43976</v>
      </c>
      <c r="M159" s="23"/>
      <c r="N159" s="33" t="s">
        <v>153</v>
      </c>
      <c r="O159" s="26" t="s">
        <v>323</v>
      </c>
      <c r="R159" s="20"/>
    </row>
    <row r="160" spans="2:18" ht="36" hidden="1" customHeight="1" x14ac:dyDescent="0.25">
      <c r="B160" s="28" t="s">
        <v>234</v>
      </c>
      <c r="C160" s="24" t="s">
        <v>11</v>
      </c>
      <c r="D160" s="19" t="s">
        <v>317</v>
      </c>
      <c r="E160" s="50">
        <v>43973</v>
      </c>
      <c r="F160" s="27">
        <f t="shared" ca="1" si="2"/>
        <v>500</v>
      </c>
      <c r="G160" s="34"/>
      <c r="H160" s="25"/>
      <c r="I160" s="25" t="s">
        <v>206</v>
      </c>
      <c r="J160" s="34"/>
      <c r="K160" s="22"/>
      <c r="L160" s="23">
        <v>43976</v>
      </c>
      <c r="M160" s="23"/>
      <c r="N160" s="33" t="s">
        <v>153</v>
      </c>
      <c r="O160" s="26" t="s">
        <v>63</v>
      </c>
      <c r="R160" s="20"/>
    </row>
    <row r="161" spans="2:18" ht="36" hidden="1" customHeight="1" x14ac:dyDescent="0.25">
      <c r="B161" s="28" t="s">
        <v>273</v>
      </c>
      <c r="C161" s="24" t="s">
        <v>23</v>
      </c>
      <c r="D161" s="19" t="s">
        <v>334</v>
      </c>
      <c r="E161" s="50">
        <v>43973</v>
      </c>
      <c r="F161" s="27">
        <f t="shared" ca="1" si="2"/>
        <v>500</v>
      </c>
      <c r="G161" s="34">
        <v>43980</v>
      </c>
      <c r="H161" s="42" t="s">
        <v>351</v>
      </c>
      <c r="I161" s="25" t="s">
        <v>206</v>
      </c>
      <c r="J161" s="34"/>
      <c r="K161" s="22"/>
      <c r="L161" s="23">
        <v>43981</v>
      </c>
      <c r="M161" s="23"/>
      <c r="N161" s="33" t="s">
        <v>360</v>
      </c>
      <c r="O161" s="26" t="s">
        <v>359</v>
      </c>
      <c r="R161" s="20"/>
    </row>
    <row r="162" spans="2:18" ht="36" hidden="1" customHeight="1" x14ac:dyDescent="0.25">
      <c r="B162" s="28" t="s">
        <v>266</v>
      </c>
      <c r="C162" s="24" t="s">
        <v>31</v>
      </c>
      <c r="D162" s="19" t="s">
        <v>321</v>
      </c>
      <c r="E162" s="50">
        <v>43973</v>
      </c>
      <c r="F162" s="27">
        <f t="shared" ca="1" si="2"/>
        <v>500</v>
      </c>
      <c r="G162" s="34"/>
      <c r="H162" s="25"/>
      <c r="I162" s="25"/>
      <c r="J162" s="34"/>
      <c r="K162" s="22"/>
      <c r="L162" s="23">
        <v>43976</v>
      </c>
      <c r="M162" s="23"/>
      <c r="N162" s="33" t="s">
        <v>153</v>
      </c>
      <c r="O162" s="26" t="s">
        <v>325</v>
      </c>
      <c r="R162" s="20"/>
    </row>
    <row r="163" spans="2:18" ht="36" hidden="1" customHeight="1" x14ac:dyDescent="0.25">
      <c r="B163" s="28" t="s">
        <v>266</v>
      </c>
      <c r="C163" s="24" t="s">
        <v>12</v>
      </c>
      <c r="D163" s="19" t="s">
        <v>54</v>
      </c>
      <c r="E163" s="50">
        <v>43973</v>
      </c>
      <c r="F163" s="27">
        <f t="shared" ca="1" si="2"/>
        <v>500</v>
      </c>
      <c r="G163" s="34"/>
      <c r="H163" s="25"/>
      <c r="I163" s="25"/>
      <c r="J163" s="34"/>
      <c r="K163" s="22"/>
      <c r="L163" s="23">
        <v>43978</v>
      </c>
      <c r="M163" s="23"/>
      <c r="N163" s="33" t="s">
        <v>153</v>
      </c>
      <c r="O163" s="26" t="s">
        <v>336</v>
      </c>
      <c r="R163" s="20"/>
    </row>
    <row r="164" spans="2:18" ht="36" hidden="1" customHeight="1" x14ac:dyDescent="0.25">
      <c r="B164" s="28" t="s">
        <v>227</v>
      </c>
      <c r="C164" s="24" t="s">
        <v>37</v>
      </c>
      <c r="D164" s="19" t="s">
        <v>332</v>
      </c>
      <c r="E164" s="50">
        <v>43976</v>
      </c>
      <c r="F164" s="27">
        <f t="shared" ca="1" si="2"/>
        <v>497</v>
      </c>
      <c r="G164" s="34"/>
      <c r="H164" s="25"/>
      <c r="I164" s="25"/>
      <c r="J164" s="34"/>
      <c r="K164" s="22"/>
      <c r="L164" s="23">
        <v>43977</v>
      </c>
      <c r="M164" s="23"/>
      <c r="N164" s="33" t="s">
        <v>153</v>
      </c>
      <c r="O164" s="26"/>
      <c r="R164" s="20"/>
    </row>
    <row r="165" spans="2:18" ht="36" hidden="1" customHeight="1" x14ac:dyDescent="0.25">
      <c r="B165" s="28" t="s">
        <v>227</v>
      </c>
      <c r="C165" s="24" t="s">
        <v>11</v>
      </c>
      <c r="D165" s="19" t="s">
        <v>329</v>
      </c>
      <c r="E165" s="50">
        <v>43976</v>
      </c>
      <c r="F165" s="27">
        <f t="shared" ca="1" si="2"/>
        <v>497</v>
      </c>
      <c r="G165" s="34">
        <v>43980</v>
      </c>
      <c r="H165" s="42" t="s">
        <v>351</v>
      </c>
      <c r="I165" s="25" t="s">
        <v>206</v>
      </c>
      <c r="J165" s="34"/>
      <c r="K165" s="22"/>
      <c r="L165" s="23">
        <v>43981</v>
      </c>
      <c r="M165" s="23"/>
      <c r="N165" s="33" t="s">
        <v>360</v>
      </c>
      <c r="O165" s="26" t="s">
        <v>363</v>
      </c>
      <c r="R165" s="20"/>
    </row>
    <row r="166" spans="2:18" ht="36" hidden="1" customHeight="1" x14ac:dyDescent="0.25">
      <c r="B166" s="28" t="s">
        <v>227</v>
      </c>
      <c r="C166" s="24" t="s">
        <v>11</v>
      </c>
      <c r="D166" s="19" t="s">
        <v>328</v>
      </c>
      <c r="E166" s="50">
        <v>43976</v>
      </c>
      <c r="F166" s="27">
        <f t="shared" ca="1" si="2"/>
        <v>497</v>
      </c>
      <c r="G166" s="34"/>
      <c r="H166" s="25"/>
      <c r="I166" s="25" t="s">
        <v>206</v>
      </c>
      <c r="J166" s="34"/>
      <c r="K166" s="22"/>
      <c r="L166" s="23">
        <v>43981</v>
      </c>
      <c r="M166" s="23"/>
      <c r="N166" s="33"/>
      <c r="O166" s="26" t="s">
        <v>397</v>
      </c>
      <c r="R166" s="20"/>
    </row>
    <row r="167" spans="2:18" ht="36" hidden="1" customHeight="1" x14ac:dyDescent="0.25">
      <c r="B167" s="28" t="s">
        <v>227</v>
      </c>
      <c r="C167" s="24" t="s">
        <v>23</v>
      </c>
      <c r="D167" s="19" t="s">
        <v>327</v>
      </c>
      <c r="E167" s="50">
        <v>43976</v>
      </c>
      <c r="F167" s="27">
        <f t="shared" ca="1" si="2"/>
        <v>497</v>
      </c>
      <c r="G167" s="34"/>
      <c r="H167" s="25"/>
      <c r="I167" s="25" t="s">
        <v>206</v>
      </c>
      <c r="J167" s="34"/>
      <c r="K167" s="22"/>
      <c r="L167" s="23">
        <v>43981</v>
      </c>
      <c r="M167" s="23"/>
      <c r="N167" s="33"/>
      <c r="O167" s="26" t="s">
        <v>397</v>
      </c>
      <c r="R167" s="20"/>
    </row>
    <row r="168" spans="2:18" ht="36" hidden="1" customHeight="1" x14ac:dyDescent="0.25">
      <c r="B168" s="28" t="s">
        <v>330</v>
      </c>
      <c r="C168" s="24" t="s">
        <v>37</v>
      </c>
      <c r="D168" s="19" t="s">
        <v>158</v>
      </c>
      <c r="E168" s="50">
        <v>43976</v>
      </c>
      <c r="F168" s="27">
        <f t="shared" ca="1" si="2"/>
        <v>497</v>
      </c>
      <c r="G168" s="34"/>
      <c r="H168" s="25"/>
      <c r="I168" s="25"/>
      <c r="J168" s="34"/>
      <c r="K168" s="22"/>
      <c r="L168" s="23">
        <v>43977</v>
      </c>
      <c r="M168" s="23"/>
      <c r="N168" s="33" t="s">
        <v>153</v>
      </c>
      <c r="O168" s="26"/>
      <c r="R168" s="20"/>
    </row>
    <row r="169" spans="2:18" ht="36" hidden="1" customHeight="1" x14ac:dyDescent="0.25">
      <c r="B169" s="28" t="s">
        <v>267</v>
      </c>
      <c r="C169" s="24" t="s">
        <v>37</v>
      </c>
      <c r="D169" s="19" t="s">
        <v>158</v>
      </c>
      <c r="E169" s="50">
        <v>43976</v>
      </c>
      <c r="F169" s="27">
        <f t="shared" ca="1" si="2"/>
        <v>497</v>
      </c>
      <c r="G169" s="34"/>
      <c r="H169" s="25"/>
      <c r="I169" s="25"/>
      <c r="J169" s="34"/>
      <c r="K169" s="22"/>
      <c r="L169" s="23">
        <v>43977</v>
      </c>
      <c r="M169" s="23"/>
      <c r="N169" s="33" t="s">
        <v>153</v>
      </c>
      <c r="O169" s="26"/>
      <c r="R169" s="20"/>
    </row>
    <row r="170" spans="2:18" ht="36" hidden="1" customHeight="1" x14ac:dyDescent="0.25">
      <c r="B170" s="28" t="s">
        <v>268</v>
      </c>
      <c r="C170" s="24" t="s">
        <v>37</v>
      </c>
      <c r="D170" s="19" t="s">
        <v>158</v>
      </c>
      <c r="E170" s="50">
        <v>43976</v>
      </c>
      <c r="F170" s="27">
        <f t="shared" ca="1" si="2"/>
        <v>497</v>
      </c>
      <c r="G170" s="34"/>
      <c r="H170" s="25"/>
      <c r="I170" s="25"/>
      <c r="J170" s="34"/>
      <c r="K170" s="22"/>
      <c r="L170" s="23">
        <v>43977</v>
      </c>
      <c r="M170" s="23"/>
      <c r="N170" s="33" t="s">
        <v>153</v>
      </c>
      <c r="O170" s="26"/>
      <c r="R170" s="20"/>
    </row>
    <row r="171" spans="2:18" ht="36" hidden="1" customHeight="1" x14ac:dyDescent="0.25">
      <c r="B171" s="28" t="s">
        <v>333</v>
      </c>
      <c r="C171" s="24" t="s">
        <v>37</v>
      </c>
      <c r="D171" s="19" t="s">
        <v>158</v>
      </c>
      <c r="E171" s="23">
        <v>43976</v>
      </c>
      <c r="F171" s="27">
        <f t="shared" ca="1" si="2"/>
        <v>497</v>
      </c>
      <c r="G171" s="34"/>
      <c r="H171" s="25"/>
      <c r="I171" s="25"/>
      <c r="J171" s="34"/>
      <c r="K171" s="22"/>
      <c r="L171" s="23">
        <v>43977</v>
      </c>
      <c r="M171" s="23"/>
      <c r="N171" s="33" t="s">
        <v>153</v>
      </c>
      <c r="O171" s="26"/>
      <c r="R171" s="20"/>
    </row>
    <row r="172" spans="2:18" ht="36" hidden="1" customHeight="1" x14ac:dyDescent="0.25">
      <c r="B172" s="28" t="s">
        <v>227</v>
      </c>
      <c r="C172" s="24" t="s">
        <v>60</v>
      </c>
      <c r="D172" s="19" t="s">
        <v>331</v>
      </c>
      <c r="E172" s="23">
        <v>43977</v>
      </c>
      <c r="F172" s="27">
        <f t="shared" ca="1" si="2"/>
        <v>496</v>
      </c>
      <c r="G172" s="34"/>
      <c r="H172" s="25"/>
      <c r="I172" s="25"/>
      <c r="J172" s="34"/>
      <c r="K172" s="22"/>
      <c r="L172" s="23">
        <v>43983</v>
      </c>
      <c r="M172" s="23"/>
      <c r="N172" s="33"/>
      <c r="O172" s="26" t="s">
        <v>362</v>
      </c>
      <c r="R172" s="20"/>
    </row>
    <row r="173" spans="2:18" ht="36" hidden="1" customHeight="1" x14ac:dyDescent="0.25">
      <c r="B173" s="28" t="s">
        <v>267</v>
      </c>
      <c r="C173" s="24" t="s">
        <v>40</v>
      </c>
      <c r="D173" s="19" t="s">
        <v>366</v>
      </c>
      <c r="E173" s="50">
        <v>43977</v>
      </c>
      <c r="F173" s="27">
        <f t="shared" ca="1" si="2"/>
        <v>496</v>
      </c>
      <c r="G173" s="34"/>
      <c r="H173" s="25"/>
      <c r="I173" s="25" t="s">
        <v>206</v>
      </c>
      <c r="J173" s="34"/>
      <c r="K173" s="22"/>
      <c r="L173" s="23">
        <v>43986</v>
      </c>
      <c r="M173" s="23"/>
      <c r="N173" s="51" t="s">
        <v>153</v>
      </c>
      <c r="O173" s="26" t="s">
        <v>387</v>
      </c>
      <c r="R173" s="20"/>
    </row>
    <row r="174" spans="2:18" ht="36" hidden="1" customHeight="1" x14ac:dyDescent="0.25">
      <c r="B174" s="28" t="s">
        <v>271</v>
      </c>
      <c r="C174" s="24" t="s">
        <v>40</v>
      </c>
      <c r="D174" s="19" t="s">
        <v>341</v>
      </c>
      <c r="E174" s="50">
        <v>43977</v>
      </c>
      <c r="F174" s="27">
        <f t="shared" ca="1" si="2"/>
        <v>496</v>
      </c>
      <c r="G174" s="34">
        <v>43980</v>
      </c>
      <c r="H174" s="42" t="s">
        <v>351</v>
      </c>
      <c r="I174" s="25" t="s">
        <v>278</v>
      </c>
      <c r="J174" s="34"/>
      <c r="K174" s="22"/>
      <c r="L174" s="23">
        <v>43984</v>
      </c>
      <c r="M174" s="23"/>
      <c r="N174" s="33" t="s">
        <v>360</v>
      </c>
      <c r="O174" s="26" t="s">
        <v>365</v>
      </c>
      <c r="R174" s="20"/>
    </row>
    <row r="175" spans="2:18" ht="36" hidden="1" customHeight="1" x14ac:dyDescent="0.25">
      <c r="B175" s="28" t="s">
        <v>275</v>
      </c>
      <c r="C175" s="24" t="s">
        <v>10</v>
      </c>
      <c r="D175" s="19" t="s">
        <v>335</v>
      </c>
      <c r="E175" s="23">
        <v>43978</v>
      </c>
      <c r="F175" s="27">
        <f t="shared" ca="1" si="2"/>
        <v>495</v>
      </c>
      <c r="G175" s="34"/>
      <c r="H175" s="25"/>
      <c r="I175" s="25"/>
      <c r="J175" s="34"/>
      <c r="K175" s="22"/>
      <c r="L175" s="23">
        <v>43979</v>
      </c>
      <c r="M175" s="23"/>
      <c r="N175" s="33"/>
      <c r="O175" s="26" t="s">
        <v>348</v>
      </c>
      <c r="R175" s="20"/>
    </row>
    <row r="176" spans="2:18" ht="36" hidden="1" customHeight="1" x14ac:dyDescent="0.25">
      <c r="B176" s="28" t="s">
        <v>337</v>
      </c>
      <c r="C176" s="24" t="s">
        <v>31</v>
      </c>
      <c r="D176" s="19" t="s">
        <v>338</v>
      </c>
      <c r="E176" s="23">
        <v>43979</v>
      </c>
      <c r="F176" s="27">
        <f t="shared" ca="1" si="2"/>
        <v>494</v>
      </c>
      <c r="G176" s="34">
        <v>43980</v>
      </c>
      <c r="H176" s="42" t="s">
        <v>351</v>
      </c>
      <c r="I176" s="25" t="s">
        <v>278</v>
      </c>
      <c r="J176" s="34"/>
      <c r="K176" s="22"/>
      <c r="L176" s="23">
        <v>43981</v>
      </c>
      <c r="M176" s="23"/>
      <c r="N176" s="33" t="s">
        <v>360</v>
      </c>
      <c r="O176" s="26" t="s">
        <v>361</v>
      </c>
      <c r="R176" s="20"/>
    </row>
    <row r="177" spans="2:18" ht="36" hidden="1" customHeight="1" x14ac:dyDescent="0.25">
      <c r="B177" s="28" t="s">
        <v>339</v>
      </c>
      <c r="C177" s="24" t="s">
        <v>60</v>
      </c>
      <c r="D177" s="19" t="s">
        <v>340</v>
      </c>
      <c r="E177" s="23">
        <v>43979</v>
      </c>
      <c r="F177" s="27">
        <f t="shared" ca="1" si="2"/>
        <v>494</v>
      </c>
      <c r="G177" s="34"/>
      <c r="H177" s="25"/>
      <c r="I177" s="25" t="s">
        <v>206</v>
      </c>
      <c r="J177" s="34"/>
      <c r="K177" s="22"/>
      <c r="L177" s="23">
        <v>43980</v>
      </c>
      <c r="M177" s="23"/>
      <c r="N177" s="33"/>
      <c r="O177" s="26" t="s">
        <v>350</v>
      </c>
      <c r="R177" s="20"/>
    </row>
    <row r="178" spans="2:18" ht="36" hidden="1" customHeight="1" x14ac:dyDescent="0.25">
      <c r="B178" s="28" t="s">
        <v>236</v>
      </c>
      <c r="C178" s="24" t="s">
        <v>31</v>
      </c>
      <c r="D178" s="19" t="s">
        <v>342</v>
      </c>
      <c r="E178" s="23">
        <v>43980</v>
      </c>
      <c r="F178" s="27">
        <f t="shared" ca="1" si="2"/>
        <v>493</v>
      </c>
      <c r="G178" s="34">
        <v>43980</v>
      </c>
      <c r="H178" s="42" t="s">
        <v>351</v>
      </c>
      <c r="I178" s="25" t="s">
        <v>278</v>
      </c>
      <c r="J178" s="34"/>
      <c r="K178" s="22"/>
      <c r="L178" s="23">
        <v>43981</v>
      </c>
      <c r="M178" s="23"/>
      <c r="N178" s="33" t="s">
        <v>153</v>
      </c>
      <c r="O178" s="26" t="s">
        <v>358</v>
      </c>
      <c r="R178" s="20"/>
    </row>
    <row r="179" spans="2:18" ht="36" hidden="1" customHeight="1" x14ac:dyDescent="0.25">
      <c r="B179" s="28" t="s">
        <v>237</v>
      </c>
      <c r="C179" s="24" t="s">
        <v>23</v>
      </c>
      <c r="D179" s="19" t="s">
        <v>355</v>
      </c>
      <c r="E179" s="18">
        <v>43980</v>
      </c>
      <c r="F179" s="27">
        <f t="shared" ca="1" si="2"/>
        <v>493</v>
      </c>
      <c r="G179" s="34"/>
      <c r="H179" s="25"/>
      <c r="I179" s="25" t="s">
        <v>206</v>
      </c>
      <c r="J179" s="34"/>
      <c r="K179" s="22"/>
      <c r="L179" s="23">
        <v>43985</v>
      </c>
      <c r="M179" s="23"/>
      <c r="N179" s="51" t="s">
        <v>369</v>
      </c>
      <c r="O179" s="26" t="s">
        <v>63</v>
      </c>
      <c r="R179" s="20"/>
    </row>
    <row r="180" spans="2:18" ht="36" hidden="1" customHeight="1" x14ac:dyDescent="0.25">
      <c r="B180" s="28" t="s">
        <v>345</v>
      </c>
      <c r="C180" s="24" t="s">
        <v>23</v>
      </c>
      <c r="D180" s="19" t="s">
        <v>346</v>
      </c>
      <c r="E180" s="18">
        <v>43980</v>
      </c>
      <c r="F180" s="27">
        <f t="shared" ca="1" si="2"/>
        <v>493</v>
      </c>
      <c r="G180" s="34">
        <v>43980</v>
      </c>
      <c r="H180" s="42" t="s">
        <v>352</v>
      </c>
      <c r="I180" s="25" t="s">
        <v>206</v>
      </c>
      <c r="J180" s="34"/>
      <c r="K180" s="22"/>
      <c r="L180" s="23">
        <v>43981</v>
      </c>
      <c r="M180" s="23"/>
      <c r="N180" s="33" t="s">
        <v>360</v>
      </c>
      <c r="O180" s="26" t="s">
        <v>55</v>
      </c>
      <c r="R180" s="20"/>
    </row>
    <row r="181" spans="2:18" ht="36" hidden="1" customHeight="1" x14ac:dyDescent="0.25">
      <c r="B181" s="28" t="s">
        <v>345</v>
      </c>
      <c r="C181" s="24" t="s">
        <v>23</v>
      </c>
      <c r="D181" s="19" t="s">
        <v>347</v>
      </c>
      <c r="E181" s="18">
        <v>43980</v>
      </c>
      <c r="F181" s="27">
        <f t="shared" ca="1" si="2"/>
        <v>493</v>
      </c>
      <c r="G181" s="34">
        <v>43980</v>
      </c>
      <c r="H181" s="42" t="s">
        <v>352</v>
      </c>
      <c r="I181" s="25" t="s">
        <v>206</v>
      </c>
      <c r="J181" s="34"/>
      <c r="K181" s="22"/>
      <c r="L181" s="23">
        <v>43981</v>
      </c>
      <c r="M181" s="23"/>
      <c r="N181" s="33" t="s">
        <v>360</v>
      </c>
      <c r="O181" s="26" t="s">
        <v>55</v>
      </c>
      <c r="R181" s="20"/>
    </row>
    <row r="182" spans="2:18" ht="36" hidden="1" customHeight="1" x14ac:dyDescent="0.25">
      <c r="B182" s="28" t="s">
        <v>353</v>
      </c>
      <c r="C182" s="24" t="s">
        <v>12</v>
      </c>
      <c r="D182" s="19" t="s">
        <v>54</v>
      </c>
      <c r="E182" s="18">
        <v>43980</v>
      </c>
      <c r="F182" s="27">
        <f t="shared" ca="1" si="2"/>
        <v>493</v>
      </c>
      <c r="G182" s="34">
        <v>43980</v>
      </c>
      <c r="H182" s="42" t="s">
        <v>351</v>
      </c>
      <c r="I182" s="25" t="s">
        <v>206</v>
      </c>
      <c r="J182" s="34"/>
      <c r="K182" s="22"/>
      <c r="L182" s="23">
        <v>43981</v>
      </c>
      <c r="M182" s="23"/>
      <c r="N182" s="33" t="s">
        <v>360</v>
      </c>
      <c r="O182" s="26" t="s">
        <v>367</v>
      </c>
      <c r="R182" s="20"/>
    </row>
    <row r="183" spans="2:18" ht="36" hidden="1" customHeight="1" x14ac:dyDescent="0.25">
      <c r="B183" s="28" t="s">
        <v>217</v>
      </c>
      <c r="C183" s="24" t="s">
        <v>60</v>
      </c>
      <c r="D183" s="19" t="s">
        <v>354</v>
      </c>
      <c r="E183" s="18">
        <v>43980</v>
      </c>
      <c r="F183" s="27">
        <f t="shared" ca="1" si="2"/>
        <v>493</v>
      </c>
      <c r="G183" s="34">
        <v>43980</v>
      </c>
      <c r="H183" s="42" t="s">
        <v>351</v>
      </c>
      <c r="I183" s="25" t="s">
        <v>206</v>
      </c>
      <c r="J183" s="34"/>
      <c r="K183" s="22"/>
      <c r="L183" s="23">
        <v>43981</v>
      </c>
      <c r="M183" s="23"/>
      <c r="N183" s="33" t="s">
        <v>360</v>
      </c>
      <c r="O183" s="26" t="s">
        <v>364</v>
      </c>
      <c r="R183" s="20"/>
    </row>
    <row r="184" spans="2:18" ht="36" hidden="1" customHeight="1" x14ac:dyDescent="0.25">
      <c r="B184" s="52" t="s">
        <v>370</v>
      </c>
      <c r="C184" s="55" t="s">
        <v>60</v>
      </c>
      <c r="D184" s="54" t="s">
        <v>371</v>
      </c>
      <c r="E184" s="23">
        <v>43984</v>
      </c>
      <c r="F184" s="27">
        <f t="shared" ca="1" si="2"/>
        <v>489</v>
      </c>
      <c r="G184" s="34"/>
      <c r="H184" s="25"/>
      <c r="I184" s="25" t="s">
        <v>206</v>
      </c>
      <c r="J184" s="34"/>
      <c r="K184" s="22"/>
      <c r="L184" s="23">
        <v>43993</v>
      </c>
      <c r="M184" s="23"/>
      <c r="N184" s="51" t="s">
        <v>398</v>
      </c>
      <c r="O184" s="26"/>
      <c r="R184" s="20"/>
    </row>
    <row r="185" spans="2:18" ht="36" hidden="1" customHeight="1" x14ac:dyDescent="0.25">
      <c r="B185" s="52" t="s">
        <v>245</v>
      </c>
      <c r="C185" s="55" t="s">
        <v>40</v>
      </c>
      <c r="D185" s="54" t="s">
        <v>368</v>
      </c>
      <c r="E185" s="18">
        <v>43984</v>
      </c>
      <c r="F185" s="27">
        <f t="shared" ca="1" si="2"/>
        <v>489</v>
      </c>
      <c r="G185" s="34"/>
      <c r="H185" s="25"/>
      <c r="I185" s="25" t="s">
        <v>206</v>
      </c>
      <c r="J185" s="34"/>
      <c r="K185" s="22"/>
      <c r="L185" s="23">
        <v>43990</v>
      </c>
      <c r="M185" s="23"/>
      <c r="N185" s="51" t="s">
        <v>153</v>
      </c>
      <c r="O185" s="26"/>
      <c r="R185" s="20"/>
    </row>
    <row r="186" spans="2:18" ht="36" hidden="1" customHeight="1" x14ac:dyDescent="0.25">
      <c r="B186" s="28" t="s">
        <v>246</v>
      </c>
      <c r="C186" s="24" t="s">
        <v>40</v>
      </c>
      <c r="D186" s="19" t="s">
        <v>368</v>
      </c>
      <c r="E186" s="18">
        <v>43984</v>
      </c>
      <c r="F186" s="27">
        <f t="shared" ca="1" si="2"/>
        <v>489</v>
      </c>
      <c r="G186" s="34"/>
      <c r="H186" s="25"/>
      <c r="I186" s="25" t="s">
        <v>206</v>
      </c>
      <c r="J186" s="34"/>
      <c r="K186" s="22"/>
      <c r="L186" s="23">
        <v>43985</v>
      </c>
      <c r="M186" s="23"/>
      <c r="N186" s="51" t="s">
        <v>153</v>
      </c>
      <c r="O186" s="26"/>
      <c r="R186" s="20"/>
    </row>
    <row r="187" spans="2:18" ht="36" hidden="1" customHeight="1" x14ac:dyDescent="0.25">
      <c r="B187" s="28" t="s">
        <v>248</v>
      </c>
      <c r="C187" s="24" t="s">
        <v>40</v>
      </c>
      <c r="D187" s="19" t="s">
        <v>368</v>
      </c>
      <c r="E187" s="18">
        <v>43984</v>
      </c>
      <c r="F187" s="27">
        <f t="shared" ca="1" si="2"/>
        <v>489</v>
      </c>
      <c r="G187" s="34"/>
      <c r="H187" s="25"/>
      <c r="I187" s="25" t="s">
        <v>206</v>
      </c>
      <c r="J187" s="34"/>
      <c r="K187" s="22"/>
      <c r="L187" s="23">
        <v>43994</v>
      </c>
      <c r="M187" s="23"/>
      <c r="N187" s="33"/>
      <c r="O187" s="26"/>
      <c r="R187" s="20"/>
    </row>
    <row r="188" spans="2:18" ht="36" hidden="1" customHeight="1" x14ac:dyDescent="0.25">
      <c r="B188" s="28" t="s">
        <v>250</v>
      </c>
      <c r="C188" s="24" t="s">
        <v>40</v>
      </c>
      <c r="D188" s="19" t="s">
        <v>368</v>
      </c>
      <c r="E188" s="18">
        <v>43984</v>
      </c>
      <c r="F188" s="27">
        <f t="shared" ca="1" si="2"/>
        <v>489</v>
      </c>
      <c r="G188" s="34"/>
      <c r="H188" s="25"/>
      <c r="I188" s="25" t="s">
        <v>206</v>
      </c>
      <c r="J188" s="34"/>
      <c r="K188" s="22"/>
      <c r="L188" s="23">
        <v>43994</v>
      </c>
      <c r="M188" s="23"/>
      <c r="N188" s="33"/>
      <c r="O188" s="26"/>
      <c r="R188" s="20"/>
    </row>
    <row r="189" spans="2:18" ht="36" hidden="1" customHeight="1" x14ac:dyDescent="0.25">
      <c r="B189" s="28" t="s">
        <v>251</v>
      </c>
      <c r="C189" s="24" t="s">
        <v>40</v>
      </c>
      <c r="D189" s="19" t="s">
        <v>368</v>
      </c>
      <c r="E189" s="18">
        <v>43984</v>
      </c>
      <c r="F189" s="27">
        <f t="shared" ca="1" si="2"/>
        <v>489</v>
      </c>
      <c r="G189" s="34"/>
      <c r="H189" s="25"/>
      <c r="I189" s="25" t="s">
        <v>206</v>
      </c>
      <c r="J189" s="34"/>
      <c r="K189" s="22"/>
      <c r="L189" s="23">
        <v>43990</v>
      </c>
      <c r="M189" s="23"/>
      <c r="N189" s="33" t="s">
        <v>153</v>
      </c>
      <c r="O189" s="26"/>
      <c r="R189" s="20"/>
    </row>
    <row r="190" spans="2:18" ht="36" hidden="1" customHeight="1" x14ac:dyDescent="0.25">
      <c r="B190" s="52" t="s">
        <v>260</v>
      </c>
      <c r="C190" s="55" t="s">
        <v>40</v>
      </c>
      <c r="D190" s="54" t="s">
        <v>368</v>
      </c>
      <c r="E190" s="18">
        <v>43984</v>
      </c>
      <c r="F190" s="27">
        <f t="shared" ca="1" si="2"/>
        <v>489</v>
      </c>
      <c r="G190" s="34"/>
      <c r="H190" s="25"/>
      <c r="I190" s="25" t="s">
        <v>206</v>
      </c>
      <c r="J190" s="34"/>
      <c r="K190" s="22"/>
      <c r="L190" s="23">
        <v>43990</v>
      </c>
      <c r="M190" s="23"/>
      <c r="N190" s="51" t="s">
        <v>398</v>
      </c>
      <c r="O190" s="26"/>
      <c r="R190" s="20"/>
    </row>
    <row r="191" spans="2:18" ht="36" hidden="1" customHeight="1" x14ac:dyDescent="0.25">
      <c r="B191" s="52" t="s">
        <v>236</v>
      </c>
      <c r="C191" s="53" t="s">
        <v>31</v>
      </c>
      <c r="D191" s="54" t="s">
        <v>137</v>
      </c>
      <c r="E191" s="18">
        <v>43985</v>
      </c>
      <c r="F191" s="27">
        <f t="shared" ca="1" si="2"/>
        <v>488</v>
      </c>
      <c r="G191" s="34"/>
      <c r="H191" s="25"/>
      <c r="I191" s="25" t="s">
        <v>206</v>
      </c>
      <c r="J191" s="34"/>
      <c r="K191" s="22"/>
      <c r="L191" s="23">
        <v>43991</v>
      </c>
      <c r="M191" s="23"/>
      <c r="N191" s="51" t="s">
        <v>398</v>
      </c>
      <c r="O191" s="26"/>
      <c r="R191" s="20"/>
    </row>
    <row r="192" spans="2:18" ht="36" hidden="1" customHeight="1" x14ac:dyDescent="0.25">
      <c r="B192" s="52" t="s">
        <v>236</v>
      </c>
      <c r="C192" s="53" t="s">
        <v>11</v>
      </c>
      <c r="D192" s="54" t="s">
        <v>380</v>
      </c>
      <c r="E192" s="18">
        <v>43985</v>
      </c>
      <c r="F192" s="27">
        <f t="shared" ca="1" si="2"/>
        <v>488</v>
      </c>
      <c r="G192" s="34"/>
      <c r="H192" s="25"/>
      <c r="I192" s="25" t="s">
        <v>206</v>
      </c>
      <c r="J192" s="34"/>
      <c r="K192" s="22"/>
      <c r="L192" s="23">
        <v>43991</v>
      </c>
      <c r="M192" s="23"/>
      <c r="N192" s="51" t="s">
        <v>398</v>
      </c>
      <c r="O192" s="26"/>
      <c r="R192" s="20"/>
    </row>
    <row r="193" spans="2:18" ht="36" hidden="1" customHeight="1" x14ac:dyDescent="0.25">
      <c r="B193" s="28" t="s">
        <v>241</v>
      </c>
      <c r="C193" s="21" t="s">
        <v>11</v>
      </c>
      <c r="D193" s="19" t="s">
        <v>378</v>
      </c>
      <c r="E193" s="18">
        <v>43985</v>
      </c>
      <c r="F193" s="27">
        <f t="shared" ca="1" si="2"/>
        <v>488</v>
      </c>
      <c r="G193" s="34"/>
      <c r="H193" s="25"/>
      <c r="I193" s="25" t="s">
        <v>206</v>
      </c>
      <c r="J193" s="34"/>
      <c r="K193" s="22"/>
      <c r="L193" s="23">
        <v>43986</v>
      </c>
      <c r="M193" s="23"/>
      <c r="N193" s="51" t="s">
        <v>153</v>
      </c>
      <c r="O193" s="26" t="s">
        <v>384</v>
      </c>
      <c r="R193" s="20"/>
    </row>
    <row r="194" spans="2:18" ht="36" hidden="1" customHeight="1" x14ac:dyDescent="0.25">
      <c r="B194" s="28" t="s">
        <v>241</v>
      </c>
      <c r="C194" s="21" t="s">
        <v>12</v>
      </c>
      <c r="D194" s="19" t="s">
        <v>379</v>
      </c>
      <c r="E194" s="18">
        <v>43985</v>
      </c>
      <c r="F194" s="27">
        <f t="shared" ca="1" si="2"/>
        <v>488</v>
      </c>
      <c r="G194" s="34"/>
      <c r="H194" s="25"/>
      <c r="I194" s="25" t="s">
        <v>206</v>
      </c>
      <c r="J194" s="34"/>
      <c r="K194" s="22"/>
      <c r="L194" s="23">
        <v>43986</v>
      </c>
      <c r="M194" s="23"/>
      <c r="N194" s="51" t="s">
        <v>153</v>
      </c>
      <c r="O194" s="26" t="s">
        <v>385</v>
      </c>
      <c r="R194" s="20"/>
    </row>
    <row r="195" spans="2:18" ht="36" hidden="1" customHeight="1" x14ac:dyDescent="0.25">
      <c r="B195" s="28" t="s">
        <v>273</v>
      </c>
      <c r="C195" s="24" t="s">
        <v>19</v>
      </c>
      <c r="D195" s="19" t="s">
        <v>377</v>
      </c>
      <c r="E195" s="23">
        <v>43985</v>
      </c>
      <c r="F195" s="27">
        <f t="shared" ca="1" si="2"/>
        <v>488</v>
      </c>
      <c r="G195" s="34"/>
      <c r="H195" s="25"/>
      <c r="I195" s="25" t="s">
        <v>206</v>
      </c>
      <c r="J195" s="34"/>
      <c r="K195" s="22"/>
      <c r="L195" s="23">
        <v>43993</v>
      </c>
      <c r="M195" s="23"/>
      <c r="N195" s="51" t="s">
        <v>382</v>
      </c>
      <c r="O195" s="26"/>
      <c r="R195" s="20"/>
    </row>
    <row r="196" spans="2:18" ht="36" hidden="1" customHeight="1" x14ac:dyDescent="0.25">
      <c r="B196" s="28" t="s">
        <v>273</v>
      </c>
      <c r="C196" s="21" t="s">
        <v>23</v>
      </c>
      <c r="D196" s="19" t="s">
        <v>376</v>
      </c>
      <c r="E196" s="18">
        <v>43985</v>
      </c>
      <c r="F196" s="27">
        <f t="shared" ca="1" si="2"/>
        <v>488</v>
      </c>
      <c r="G196" s="34"/>
      <c r="H196" s="25"/>
      <c r="I196" s="25" t="s">
        <v>206</v>
      </c>
      <c r="J196" s="34"/>
      <c r="K196" s="22"/>
      <c r="L196" s="23">
        <v>43994</v>
      </c>
      <c r="M196" s="23"/>
      <c r="N196" s="51" t="s">
        <v>382</v>
      </c>
      <c r="O196" s="26"/>
      <c r="R196" s="20"/>
    </row>
    <row r="197" spans="2:18" ht="36" hidden="1" customHeight="1" x14ac:dyDescent="0.25">
      <c r="B197" s="52" t="s">
        <v>229</v>
      </c>
      <c r="C197" s="55" t="s">
        <v>40</v>
      </c>
      <c r="D197" s="54" t="s">
        <v>374</v>
      </c>
      <c r="E197" s="18">
        <v>43985</v>
      </c>
      <c r="F197" s="27">
        <f t="shared" ca="1" si="2"/>
        <v>488</v>
      </c>
      <c r="G197" s="34"/>
      <c r="H197" s="25"/>
      <c r="I197" s="25" t="s">
        <v>206</v>
      </c>
      <c r="J197" s="34"/>
      <c r="K197" s="22"/>
      <c r="L197" s="23">
        <v>43994</v>
      </c>
      <c r="M197" s="23"/>
      <c r="N197" s="51" t="s">
        <v>398</v>
      </c>
      <c r="O197" s="26"/>
      <c r="R197" s="20"/>
    </row>
    <row r="198" spans="2:18" ht="36" hidden="1" customHeight="1" x14ac:dyDescent="0.25">
      <c r="B198" s="52" t="s">
        <v>242</v>
      </c>
      <c r="C198" s="55" t="s">
        <v>40</v>
      </c>
      <c r="D198" s="54" t="s">
        <v>374</v>
      </c>
      <c r="E198" s="18">
        <v>43985</v>
      </c>
      <c r="F198" s="27">
        <f t="shared" ca="1" si="2"/>
        <v>488</v>
      </c>
      <c r="G198" s="34"/>
      <c r="H198" s="25"/>
      <c r="I198" s="25" t="s">
        <v>206</v>
      </c>
      <c r="J198" s="34"/>
      <c r="K198" s="22"/>
      <c r="L198" s="23">
        <v>43987</v>
      </c>
      <c r="M198" s="23"/>
      <c r="N198" s="51" t="s">
        <v>153</v>
      </c>
      <c r="O198" s="26" t="s">
        <v>392</v>
      </c>
      <c r="R198" s="20"/>
    </row>
    <row r="199" spans="2:18" ht="36" hidden="1" customHeight="1" x14ac:dyDescent="0.25">
      <c r="B199" s="52" t="s">
        <v>337</v>
      </c>
      <c r="C199" s="55" t="s">
        <v>40</v>
      </c>
      <c r="D199" s="54" t="s">
        <v>374</v>
      </c>
      <c r="E199" s="18">
        <v>43985</v>
      </c>
      <c r="F199" s="27">
        <f t="shared" ca="1" si="2"/>
        <v>488</v>
      </c>
      <c r="G199" s="34"/>
      <c r="H199" s="25"/>
      <c r="I199" s="25" t="s">
        <v>206</v>
      </c>
      <c r="J199" s="34"/>
      <c r="K199" s="22"/>
      <c r="L199" s="23">
        <v>43994</v>
      </c>
      <c r="M199" s="23"/>
      <c r="N199" s="51" t="s">
        <v>398</v>
      </c>
      <c r="O199" s="26"/>
      <c r="R199" s="20"/>
    </row>
    <row r="200" spans="2:18" ht="36" hidden="1" customHeight="1" x14ac:dyDescent="0.25">
      <c r="B200" s="52" t="s">
        <v>243</v>
      </c>
      <c r="C200" s="55" t="s">
        <v>40</v>
      </c>
      <c r="D200" s="54" t="s">
        <v>374</v>
      </c>
      <c r="E200" s="18">
        <v>43985</v>
      </c>
      <c r="F200" s="27">
        <f t="shared" ca="1" si="2"/>
        <v>488</v>
      </c>
      <c r="G200" s="34"/>
      <c r="H200" s="25"/>
      <c r="I200" s="25" t="s">
        <v>206</v>
      </c>
      <c r="J200" s="34"/>
      <c r="K200" s="22"/>
      <c r="L200" s="23">
        <v>43994</v>
      </c>
      <c r="M200" s="23"/>
      <c r="N200" s="51" t="s">
        <v>398</v>
      </c>
      <c r="O200" s="26"/>
      <c r="R200" s="20"/>
    </row>
    <row r="201" spans="2:18" ht="36" hidden="1" customHeight="1" x14ac:dyDescent="0.25">
      <c r="B201" s="52" t="s">
        <v>244</v>
      </c>
      <c r="C201" s="53" t="s">
        <v>31</v>
      </c>
      <c r="D201" s="54" t="s">
        <v>388</v>
      </c>
      <c r="E201" s="18">
        <v>43985</v>
      </c>
      <c r="F201" s="27">
        <f t="shared" ca="1" si="2"/>
        <v>488</v>
      </c>
      <c r="G201" s="34"/>
      <c r="H201" s="25"/>
      <c r="I201" s="25" t="s">
        <v>278</v>
      </c>
      <c r="J201" s="34"/>
      <c r="K201" s="22"/>
      <c r="L201" s="23">
        <v>43990</v>
      </c>
      <c r="M201" s="23"/>
      <c r="N201" s="51" t="s">
        <v>153</v>
      </c>
      <c r="O201" s="26" t="s">
        <v>375</v>
      </c>
      <c r="R201" s="20"/>
    </row>
    <row r="202" spans="2:18" ht="36" hidden="1" customHeight="1" x14ac:dyDescent="0.25">
      <c r="B202" s="52" t="s">
        <v>244</v>
      </c>
      <c r="C202" s="55" t="s">
        <v>40</v>
      </c>
      <c r="D202" s="54" t="s">
        <v>374</v>
      </c>
      <c r="E202" s="18">
        <v>43985</v>
      </c>
      <c r="F202" s="27">
        <f t="shared" ca="1" si="2"/>
        <v>488</v>
      </c>
      <c r="G202" s="34"/>
      <c r="H202" s="25"/>
      <c r="I202" s="25" t="s">
        <v>206</v>
      </c>
      <c r="J202" s="34"/>
      <c r="K202" s="22"/>
      <c r="L202" s="23">
        <v>43997</v>
      </c>
      <c r="M202" s="23"/>
      <c r="N202" s="51" t="s">
        <v>398</v>
      </c>
      <c r="O202" s="26"/>
      <c r="R202" s="20"/>
    </row>
    <row r="203" spans="2:18" ht="36" hidden="1" customHeight="1" x14ac:dyDescent="0.25">
      <c r="B203" s="52" t="s">
        <v>370</v>
      </c>
      <c r="C203" s="55" t="s">
        <v>40</v>
      </c>
      <c r="D203" s="54" t="s">
        <v>374</v>
      </c>
      <c r="E203" s="18">
        <v>43985</v>
      </c>
      <c r="F203" s="27">
        <f t="shared" ca="1" si="2"/>
        <v>488</v>
      </c>
      <c r="G203" s="34"/>
      <c r="H203" s="25"/>
      <c r="I203" s="25" t="s">
        <v>206</v>
      </c>
      <c r="J203" s="34"/>
      <c r="K203" s="22"/>
      <c r="L203" s="23">
        <v>43993</v>
      </c>
      <c r="M203" s="23"/>
      <c r="N203" s="51" t="s">
        <v>398</v>
      </c>
      <c r="O203" s="26"/>
      <c r="R203" s="20"/>
    </row>
    <row r="204" spans="2:18" ht="36" hidden="1" customHeight="1" x14ac:dyDescent="0.25">
      <c r="B204" s="28" t="s">
        <v>246</v>
      </c>
      <c r="C204" s="24" t="s">
        <v>37</v>
      </c>
      <c r="D204" s="19" t="s">
        <v>383</v>
      </c>
      <c r="E204" s="23">
        <v>43985</v>
      </c>
      <c r="F204" s="27">
        <f t="shared" ca="1" si="2"/>
        <v>488</v>
      </c>
      <c r="G204" s="34"/>
      <c r="H204" s="25"/>
      <c r="I204" s="25" t="s">
        <v>206</v>
      </c>
      <c r="J204" s="34"/>
      <c r="K204" s="22"/>
      <c r="L204" s="23">
        <v>43991</v>
      </c>
      <c r="M204" s="23"/>
      <c r="N204" s="33"/>
      <c r="O204" s="26"/>
      <c r="R204" s="20"/>
    </row>
    <row r="205" spans="2:18" ht="36" hidden="1" customHeight="1" x14ac:dyDescent="0.25">
      <c r="B205" s="28" t="s">
        <v>256</v>
      </c>
      <c r="C205" s="24" t="s">
        <v>23</v>
      </c>
      <c r="D205" s="19" t="s">
        <v>58</v>
      </c>
      <c r="E205" s="23">
        <v>43985</v>
      </c>
      <c r="F205" s="27">
        <f t="shared" ca="1" si="2"/>
        <v>488</v>
      </c>
      <c r="G205" s="34"/>
      <c r="H205" s="25"/>
      <c r="I205" s="25" t="s">
        <v>206</v>
      </c>
      <c r="J205" s="34"/>
      <c r="K205" s="22"/>
      <c r="L205" s="23">
        <v>43894</v>
      </c>
      <c r="M205" s="23"/>
      <c r="N205" s="51" t="s">
        <v>153</v>
      </c>
      <c r="O205" s="26" t="s">
        <v>57</v>
      </c>
      <c r="R205" s="20"/>
    </row>
    <row r="206" spans="2:18" ht="36" hidden="1" customHeight="1" x14ac:dyDescent="0.25">
      <c r="B206" s="28" t="s">
        <v>256</v>
      </c>
      <c r="C206" s="21" t="s">
        <v>23</v>
      </c>
      <c r="D206" s="19" t="s">
        <v>381</v>
      </c>
      <c r="E206" s="18">
        <v>43985</v>
      </c>
      <c r="F206" s="27">
        <f t="shared" ca="1" si="2"/>
        <v>488</v>
      </c>
      <c r="G206" s="34"/>
      <c r="H206" s="25"/>
      <c r="I206" s="25" t="s">
        <v>206</v>
      </c>
      <c r="J206" s="34"/>
      <c r="K206" s="22"/>
      <c r="L206" s="23">
        <v>43986</v>
      </c>
      <c r="M206" s="23"/>
      <c r="N206" s="51" t="s">
        <v>153</v>
      </c>
      <c r="O206" s="26" t="s">
        <v>386</v>
      </c>
      <c r="R206" s="20"/>
    </row>
    <row r="207" spans="2:18" ht="36" hidden="1" customHeight="1" x14ac:dyDescent="0.25">
      <c r="B207" s="28" t="s">
        <v>250</v>
      </c>
      <c r="C207" s="21" t="s">
        <v>31</v>
      </c>
      <c r="D207" s="19" t="s">
        <v>391</v>
      </c>
      <c r="E207" s="18">
        <v>43986</v>
      </c>
      <c r="F207" s="27">
        <f t="shared" ca="1" si="2"/>
        <v>487</v>
      </c>
      <c r="G207" s="34"/>
      <c r="H207" s="25"/>
      <c r="I207" s="25" t="s">
        <v>206</v>
      </c>
      <c r="J207" s="34"/>
      <c r="K207" s="22"/>
      <c r="L207" s="23">
        <v>43997</v>
      </c>
      <c r="M207" s="23"/>
      <c r="N207" s="33" t="s">
        <v>409</v>
      </c>
      <c r="O207" s="26"/>
      <c r="R207" s="20"/>
    </row>
    <row r="208" spans="2:18" ht="36" hidden="1" customHeight="1" x14ac:dyDescent="0.25">
      <c r="B208" s="28" t="s">
        <v>389</v>
      </c>
      <c r="C208" s="24" t="s">
        <v>12</v>
      </c>
      <c r="D208" s="19" t="s">
        <v>390</v>
      </c>
      <c r="E208" s="18">
        <v>43986</v>
      </c>
      <c r="F208" s="27">
        <f t="shared" ref="F208:F271" ca="1" si="3">IF(E208&lt;&gt;"",TODAY()-E208,"")</f>
        <v>487</v>
      </c>
      <c r="G208" s="34"/>
      <c r="H208" s="25"/>
      <c r="I208" s="25" t="s">
        <v>206</v>
      </c>
      <c r="J208" s="34"/>
      <c r="K208" s="22"/>
      <c r="L208" s="23">
        <v>43994</v>
      </c>
      <c r="M208" s="23"/>
      <c r="N208" s="33"/>
      <c r="O208" s="26"/>
      <c r="R208" s="20"/>
    </row>
    <row r="209" spans="2:18" ht="36" hidden="1" customHeight="1" x14ac:dyDescent="0.25">
      <c r="B209" s="52" t="s">
        <v>275</v>
      </c>
      <c r="C209" s="53" t="s">
        <v>40</v>
      </c>
      <c r="D209" s="54" t="s">
        <v>396</v>
      </c>
      <c r="E209" s="23">
        <v>43987</v>
      </c>
      <c r="F209" s="27">
        <f t="shared" ca="1" si="3"/>
        <v>486</v>
      </c>
      <c r="G209" s="34"/>
      <c r="H209" s="25"/>
      <c r="I209" s="25" t="s">
        <v>206</v>
      </c>
      <c r="J209" s="34"/>
      <c r="K209" s="22"/>
      <c r="L209" s="23">
        <v>43999</v>
      </c>
      <c r="M209" s="23"/>
      <c r="N209" s="51" t="s">
        <v>398</v>
      </c>
      <c r="O209" s="26"/>
      <c r="R209" s="20"/>
    </row>
    <row r="210" spans="2:18" ht="36" hidden="1" customHeight="1" x14ac:dyDescent="0.25">
      <c r="B210" s="52" t="s">
        <v>393</v>
      </c>
      <c r="C210" s="53" t="s">
        <v>23</v>
      </c>
      <c r="D210" s="54" t="s">
        <v>394</v>
      </c>
      <c r="E210" s="18">
        <v>43987</v>
      </c>
      <c r="F210" s="27">
        <f t="shared" ca="1" si="3"/>
        <v>486</v>
      </c>
      <c r="G210" s="34"/>
      <c r="H210" s="25"/>
      <c r="I210" s="25" t="s">
        <v>206</v>
      </c>
      <c r="J210" s="34"/>
      <c r="K210" s="22"/>
      <c r="L210" s="23">
        <v>43994</v>
      </c>
      <c r="M210" s="23"/>
      <c r="N210" s="51" t="s">
        <v>398</v>
      </c>
      <c r="O210" s="26"/>
      <c r="R210" s="20"/>
    </row>
    <row r="211" spans="2:18" ht="36" hidden="1" customHeight="1" x14ac:dyDescent="0.25">
      <c r="B211" s="52" t="s">
        <v>217</v>
      </c>
      <c r="C211" s="55" t="s">
        <v>23</v>
      </c>
      <c r="D211" s="54" t="s">
        <v>395</v>
      </c>
      <c r="E211" s="18">
        <v>43987</v>
      </c>
      <c r="F211" s="27">
        <f t="shared" ca="1" si="3"/>
        <v>486</v>
      </c>
      <c r="G211" s="34"/>
      <c r="H211" s="25"/>
      <c r="I211" s="25" t="s">
        <v>206</v>
      </c>
      <c r="J211" s="34"/>
      <c r="K211" s="22"/>
      <c r="L211" s="23">
        <v>43991</v>
      </c>
      <c r="M211" s="23"/>
      <c r="N211" s="51" t="s">
        <v>398</v>
      </c>
      <c r="O211" s="26"/>
      <c r="R211" s="20"/>
    </row>
    <row r="212" spans="2:18" ht="36" hidden="1" customHeight="1" x14ac:dyDescent="0.25">
      <c r="B212" s="52" t="s">
        <v>239</v>
      </c>
      <c r="C212" s="53" t="s">
        <v>31</v>
      </c>
      <c r="D212" s="54" t="s">
        <v>402</v>
      </c>
      <c r="E212" s="18">
        <v>43990</v>
      </c>
      <c r="F212" s="27">
        <f t="shared" ca="1" si="3"/>
        <v>483</v>
      </c>
      <c r="G212" s="34"/>
      <c r="H212" s="25"/>
      <c r="I212" s="25"/>
      <c r="J212" s="34"/>
      <c r="K212" s="22"/>
      <c r="L212" s="23">
        <v>43991</v>
      </c>
      <c r="M212" s="23"/>
      <c r="N212" s="33"/>
      <c r="O212" s="26"/>
      <c r="R212" s="20"/>
    </row>
    <row r="213" spans="2:18" ht="36" hidden="1" customHeight="1" x14ac:dyDescent="0.25">
      <c r="B213" s="28" t="s">
        <v>240</v>
      </c>
      <c r="C213" s="24" t="s">
        <v>11</v>
      </c>
      <c r="D213" s="19" t="s">
        <v>408</v>
      </c>
      <c r="E213" s="18">
        <v>43990</v>
      </c>
      <c r="F213" s="27">
        <f t="shared" ca="1" si="3"/>
        <v>483</v>
      </c>
      <c r="G213" s="34"/>
      <c r="H213" s="25"/>
      <c r="I213" s="25"/>
      <c r="J213" s="34"/>
      <c r="K213" s="22"/>
      <c r="L213" s="23">
        <v>43990</v>
      </c>
      <c r="M213" s="23"/>
      <c r="N213" s="33"/>
      <c r="O213" s="26"/>
      <c r="R213" s="20"/>
    </row>
    <row r="214" spans="2:18" ht="36" hidden="1" customHeight="1" x14ac:dyDescent="0.25">
      <c r="B214" s="52" t="s">
        <v>399</v>
      </c>
      <c r="C214" s="55" t="s">
        <v>11</v>
      </c>
      <c r="D214" s="54" t="s">
        <v>400</v>
      </c>
      <c r="E214" s="18">
        <v>43990</v>
      </c>
      <c r="F214" s="27">
        <f t="shared" ca="1" si="3"/>
        <v>483</v>
      </c>
      <c r="G214" s="34"/>
      <c r="H214" s="25"/>
      <c r="I214" s="25" t="s">
        <v>278</v>
      </c>
      <c r="J214" s="34"/>
      <c r="K214" s="22"/>
      <c r="L214" s="23">
        <v>43990</v>
      </c>
      <c r="M214" s="23"/>
      <c r="N214" s="51" t="s">
        <v>401</v>
      </c>
      <c r="O214" s="26"/>
      <c r="R214" s="20"/>
    </row>
    <row r="215" spans="2:18" ht="36" hidden="1" customHeight="1" x14ac:dyDescent="0.25">
      <c r="B215" s="28" t="s">
        <v>399</v>
      </c>
      <c r="C215" s="21" t="s">
        <v>40</v>
      </c>
      <c r="D215" s="19" t="s">
        <v>403</v>
      </c>
      <c r="E215" s="18">
        <v>43990</v>
      </c>
      <c r="F215" s="27">
        <f t="shared" ca="1" si="3"/>
        <v>483</v>
      </c>
      <c r="G215" s="34"/>
      <c r="H215" s="25"/>
      <c r="I215" s="25"/>
      <c r="J215" s="34"/>
      <c r="K215" s="22"/>
      <c r="L215" s="23">
        <v>43991</v>
      </c>
      <c r="M215" s="23"/>
      <c r="N215" s="33"/>
      <c r="O215" s="26"/>
      <c r="R215" s="20"/>
    </row>
    <row r="216" spans="2:18" ht="36" hidden="1" customHeight="1" x14ac:dyDescent="0.25">
      <c r="B216" s="28" t="s">
        <v>407</v>
      </c>
      <c r="C216" s="24" t="s">
        <v>37</v>
      </c>
      <c r="D216" s="19" t="s">
        <v>406</v>
      </c>
      <c r="E216" s="18">
        <v>43991</v>
      </c>
      <c r="F216" s="27">
        <f t="shared" ca="1" si="3"/>
        <v>482</v>
      </c>
      <c r="G216" s="34"/>
      <c r="H216" s="25"/>
      <c r="I216" s="25"/>
      <c r="J216" s="34"/>
      <c r="K216" s="22"/>
      <c r="L216" s="23">
        <v>43991</v>
      </c>
      <c r="M216" s="23"/>
      <c r="N216" s="33"/>
      <c r="O216" s="26"/>
      <c r="R216" s="20"/>
    </row>
    <row r="217" spans="2:18" ht="36" hidden="1" customHeight="1" x14ac:dyDescent="0.25">
      <c r="B217" s="28" t="s">
        <v>212</v>
      </c>
      <c r="C217" s="24" t="s">
        <v>37</v>
      </c>
      <c r="D217" s="19" t="s">
        <v>406</v>
      </c>
      <c r="E217" s="18">
        <v>43991</v>
      </c>
      <c r="F217" s="27">
        <f t="shared" ca="1" si="3"/>
        <v>482</v>
      </c>
      <c r="G217" s="34"/>
      <c r="H217" s="25"/>
      <c r="I217" s="25"/>
      <c r="J217" s="34"/>
      <c r="K217" s="22"/>
      <c r="L217" s="23">
        <v>43991</v>
      </c>
      <c r="M217" s="23"/>
      <c r="N217" s="33"/>
      <c r="O217" s="26"/>
      <c r="R217" s="20"/>
    </row>
    <row r="218" spans="2:18" ht="36" hidden="1" customHeight="1" x14ac:dyDescent="0.25">
      <c r="B218" s="28" t="s">
        <v>405</v>
      </c>
      <c r="C218" s="21" t="s">
        <v>37</v>
      </c>
      <c r="D218" s="19" t="s">
        <v>406</v>
      </c>
      <c r="E218" s="18">
        <v>43991</v>
      </c>
      <c r="F218" s="27">
        <f t="shared" ca="1" si="3"/>
        <v>482</v>
      </c>
      <c r="G218" s="34"/>
      <c r="H218" s="25"/>
      <c r="I218" s="25"/>
      <c r="J218" s="34"/>
      <c r="K218" s="22"/>
      <c r="L218" s="23">
        <v>43990</v>
      </c>
      <c r="M218" s="23"/>
      <c r="N218" s="33"/>
      <c r="O218" s="26"/>
      <c r="R218" s="20"/>
    </row>
    <row r="219" spans="2:18" ht="36" hidden="1" customHeight="1" x14ac:dyDescent="0.25">
      <c r="B219" s="28" t="s">
        <v>214</v>
      </c>
      <c r="C219" s="21" t="s">
        <v>23</v>
      </c>
      <c r="D219" s="19" t="s">
        <v>404</v>
      </c>
      <c r="E219" s="23">
        <v>43991</v>
      </c>
      <c r="F219" s="27">
        <f t="shared" ca="1" si="3"/>
        <v>482</v>
      </c>
      <c r="G219" s="56"/>
      <c r="H219" s="25"/>
      <c r="I219" s="25"/>
      <c r="J219" s="34"/>
      <c r="K219" s="22"/>
      <c r="L219" s="23">
        <v>43990</v>
      </c>
      <c r="M219" s="23"/>
      <c r="N219" s="33"/>
      <c r="O219" s="26"/>
      <c r="R219" s="20"/>
    </row>
    <row r="220" spans="2:18" ht="36" hidden="1" customHeight="1" x14ac:dyDescent="0.25">
      <c r="B220" s="28" t="s">
        <v>407</v>
      </c>
      <c r="C220" s="24" t="s">
        <v>37</v>
      </c>
      <c r="D220" s="19" t="s">
        <v>411</v>
      </c>
      <c r="E220" s="23">
        <v>43993</v>
      </c>
      <c r="F220" s="27">
        <f t="shared" ca="1" si="3"/>
        <v>480</v>
      </c>
      <c r="G220" s="34"/>
      <c r="H220" s="25"/>
      <c r="I220" s="25" t="s">
        <v>206</v>
      </c>
      <c r="J220" s="34"/>
      <c r="K220" s="22"/>
      <c r="L220" s="23">
        <v>43999</v>
      </c>
      <c r="M220" s="23"/>
      <c r="N220" s="33" t="s">
        <v>412</v>
      </c>
      <c r="O220" s="26"/>
      <c r="R220" s="20"/>
    </row>
    <row r="221" spans="2:18" ht="36" hidden="1" customHeight="1" x14ac:dyDescent="0.25">
      <c r="B221" s="28" t="s">
        <v>212</v>
      </c>
      <c r="C221" s="24" t="s">
        <v>37</v>
      </c>
      <c r="D221" s="19" t="s">
        <v>411</v>
      </c>
      <c r="E221" s="18">
        <v>43993</v>
      </c>
      <c r="F221" s="27">
        <f t="shared" ca="1" si="3"/>
        <v>480</v>
      </c>
      <c r="G221" s="34"/>
      <c r="H221" s="25"/>
      <c r="I221" s="25" t="s">
        <v>206</v>
      </c>
      <c r="J221" s="34"/>
      <c r="K221" s="22"/>
      <c r="L221" s="23">
        <v>43994</v>
      </c>
      <c r="M221" s="23"/>
      <c r="N221" s="33" t="s">
        <v>413</v>
      </c>
      <c r="O221" s="26"/>
      <c r="R221" s="20"/>
    </row>
    <row r="222" spans="2:18" ht="36" hidden="1" customHeight="1" x14ac:dyDescent="0.25">
      <c r="B222" s="28" t="s">
        <v>405</v>
      </c>
      <c r="C222" s="24" t="s">
        <v>37</v>
      </c>
      <c r="D222" s="19" t="s">
        <v>411</v>
      </c>
      <c r="E222" s="23">
        <v>43993</v>
      </c>
      <c r="F222" s="27">
        <f t="shared" ca="1" si="3"/>
        <v>480</v>
      </c>
      <c r="G222" s="34"/>
      <c r="H222" s="25"/>
      <c r="I222" s="25" t="s">
        <v>206</v>
      </c>
      <c r="J222" s="34"/>
      <c r="K222" s="22"/>
      <c r="L222" s="23">
        <v>43997</v>
      </c>
      <c r="M222" s="23"/>
      <c r="N222" s="33" t="s">
        <v>414</v>
      </c>
      <c r="O222" s="26"/>
      <c r="R222" s="20"/>
    </row>
    <row r="223" spans="2:18" ht="36" hidden="1" customHeight="1" x14ac:dyDescent="0.25">
      <c r="B223" s="28" t="s">
        <v>266</v>
      </c>
      <c r="C223" s="24" t="s">
        <v>12</v>
      </c>
      <c r="D223" s="19" t="s">
        <v>410</v>
      </c>
      <c r="E223" s="23">
        <v>43994</v>
      </c>
      <c r="F223" s="27">
        <f t="shared" ca="1" si="3"/>
        <v>479</v>
      </c>
      <c r="G223" s="34"/>
      <c r="H223" s="25"/>
      <c r="I223" s="25" t="s">
        <v>206</v>
      </c>
      <c r="J223" s="34"/>
      <c r="K223" s="22"/>
      <c r="L223" s="23">
        <v>43994</v>
      </c>
      <c r="M223" s="23"/>
      <c r="N223" s="33"/>
      <c r="O223" s="26"/>
      <c r="R223" s="20"/>
    </row>
    <row r="224" spans="2:18" ht="36" hidden="1" customHeight="1" x14ac:dyDescent="0.25">
      <c r="B224" s="28" t="s">
        <v>415</v>
      </c>
      <c r="C224" s="24" t="s">
        <v>23</v>
      </c>
      <c r="D224" s="19" t="s">
        <v>416</v>
      </c>
      <c r="E224" s="23">
        <v>43997</v>
      </c>
      <c r="F224" s="27">
        <f t="shared" ca="1" si="3"/>
        <v>476</v>
      </c>
      <c r="G224" s="34"/>
      <c r="H224" s="25"/>
      <c r="I224" s="25" t="s">
        <v>206</v>
      </c>
      <c r="J224" s="34"/>
      <c r="K224" s="22"/>
      <c r="L224" s="23">
        <v>43997</v>
      </c>
      <c r="M224" s="23"/>
      <c r="N224" s="33" t="s">
        <v>413</v>
      </c>
      <c r="O224" s="26"/>
      <c r="R224" s="20"/>
    </row>
    <row r="225" spans="2:18" ht="36" hidden="1" customHeight="1" x14ac:dyDescent="0.25">
      <c r="B225" s="28" t="s">
        <v>415</v>
      </c>
      <c r="C225" s="24" t="s">
        <v>23</v>
      </c>
      <c r="D225" s="19" t="s">
        <v>420</v>
      </c>
      <c r="E225" s="18">
        <v>43997</v>
      </c>
      <c r="F225" s="27">
        <f t="shared" ca="1" si="3"/>
        <v>476</v>
      </c>
      <c r="G225" s="34"/>
      <c r="H225" s="25"/>
      <c r="I225" s="25" t="s">
        <v>206</v>
      </c>
      <c r="J225" s="34"/>
      <c r="K225" s="22"/>
      <c r="L225" s="23">
        <v>43999</v>
      </c>
      <c r="M225" s="23"/>
      <c r="N225" s="33"/>
      <c r="O225" s="26"/>
      <c r="R225" s="20"/>
    </row>
    <row r="226" spans="2:18" ht="36" hidden="1" customHeight="1" x14ac:dyDescent="0.25">
      <c r="B226" s="28" t="s">
        <v>417</v>
      </c>
      <c r="C226" s="24" t="s">
        <v>31</v>
      </c>
      <c r="D226" s="19" t="s">
        <v>418</v>
      </c>
      <c r="E226" s="18">
        <v>43997</v>
      </c>
      <c r="F226" s="27">
        <f t="shared" ca="1" si="3"/>
        <v>476</v>
      </c>
      <c r="G226" s="34"/>
      <c r="H226" s="25"/>
      <c r="I226" s="25" t="s">
        <v>278</v>
      </c>
      <c r="J226" s="34"/>
      <c r="K226" s="22"/>
      <c r="L226" s="23">
        <v>43998</v>
      </c>
      <c r="M226" s="23"/>
      <c r="N226" s="33"/>
      <c r="O226" s="26"/>
      <c r="R226" s="20"/>
    </row>
    <row r="227" spans="2:18" ht="36" hidden="1" customHeight="1" x14ac:dyDescent="0.25">
      <c r="B227" s="28" t="s">
        <v>240</v>
      </c>
      <c r="C227" s="24" t="s">
        <v>11</v>
      </c>
      <c r="D227" s="19" t="s">
        <v>421</v>
      </c>
      <c r="E227" s="18">
        <v>43998</v>
      </c>
      <c r="F227" s="27">
        <f t="shared" ca="1" si="3"/>
        <v>475</v>
      </c>
      <c r="G227" s="34"/>
      <c r="H227" s="25"/>
      <c r="I227" s="25" t="s">
        <v>206</v>
      </c>
      <c r="J227" s="34"/>
      <c r="K227" s="22"/>
      <c r="L227" s="23">
        <v>43999</v>
      </c>
      <c r="M227" s="23"/>
      <c r="N227" s="33"/>
      <c r="O227" s="26"/>
      <c r="R227" s="20"/>
    </row>
    <row r="228" spans="2:18" ht="36" hidden="1" customHeight="1" x14ac:dyDescent="0.25">
      <c r="B228" s="28" t="s">
        <v>234</v>
      </c>
      <c r="C228" s="24" t="s">
        <v>12</v>
      </c>
      <c r="D228" s="19" t="s">
        <v>419</v>
      </c>
      <c r="E228" s="18">
        <v>43999</v>
      </c>
      <c r="F228" s="27">
        <f t="shared" ca="1" si="3"/>
        <v>474</v>
      </c>
      <c r="G228" s="34"/>
      <c r="H228" s="25"/>
      <c r="I228" s="25" t="s">
        <v>278</v>
      </c>
      <c r="J228" s="34"/>
      <c r="K228" s="22"/>
      <c r="L228" s="23">
        <v>44005</v>
      </c>
      <c r="M228" s="23"/>
      <c r="N228" s="33" t="s">
        <v>424</v>
      </c>
      <c r="O228" s="26"/>
      <c r="R228" s="20"/>
    </row>
    <row r="229" spans="2:18" ht="36" hidden="1" customHeight="1" x14ac:dyDescent="0.25">
      <c r="B229" s="28" t="s">
        <v>273</v>
      </c>
      <c r="C229" s="21" t="s">
        <v>23</v>
      </c>
      <c r="D229" s="19" t="s">
        <v>423</v>
      </c>
      <c r="E229" s="18">
        <v>44000</v>
      </c>
      <c r="F229" s="27">
        <f t="shared" ca="1" si="3"/>
        <v>473</v>
      </c>
      <c r="G229" s="34"/>
      <c r="H229" s="25"/>
      <c r="I229" s="25" t="s">
        <v>206</v>
      </c>
      <c r="J229" s="34"/>
      <c r="K229" s="22"/>
      <c r="L229" s="23">
        <v>44005</v>
      </c>
      <c r="M229" s="23"/>
      <c r="N229" s="33"/>
      <c r="O229" s="26"/>
      <c r="R229" s="20"/>
    </row>
    <row r="230" spans="2:18" ht="36" hidden="1" customHeight="1" x14ac:dyDescent="0.25">
      <c r="B230" s="28" t="s">
        <v>227</v>
      </c>
      <c r="C230" s="24" t="s">
        <v>40</v>
      </c>
      <c r="D230" s="19" t="s">
        <v>495</v>
      </c>
      <c r="E230" s="18">
        <v>44000</v>
      </c>
      <c r="F230" s="27">
        <f t="shared" ca="1" si="3"/>
        <v>473</v>
      </c>
      <c r="G230" s="34"/>
      <c r="H230" s="25"/>
      <c r="I230" s="25" t="s">
        <v>278</v>
      </c>
      <c r="J230" s="34"/>
      <c r="K230" s="22"/>
      <c r="L230" s="23">
        <v>44011</v>
      </c>
      <c r="M230" s="23"/>
      <c r="N230" s="33" t="s">
        <v>153</v>
      </c>
      <c r="O230" s="26" t="s">
        <v>443</v>
      </c>
      <c r="R230" s="20"/>
    </row>
    <row r="231" spans="2:18" ht="36" hidden="1" customHeight="1" x14ac:dyDescent="0.25">
      <c r="B231" s="28" t="s">
        <v>274</v>
      </c>
      <c r="C231" s="24" t="s">
        <v>40</v>
      </c>
      <c r="D231" s="19" t="s">
        <v>495</v>
      </c>
      <c r="E231" s="18">
        <v>44000</v>
      </c>
      <c r="F231" s="27">
        <f t="shared" ca="1" si="3"/>
        <v>473</v>
      </c>
      <c r="G231" s="34"/>
      <c r="H231" s="25"/>
      <c r="I231" s="25" t="s">
        <v>278</v>
      </c>
      <c r="J231" s="34"/>
      <c r="K231" s="22"/>
      <c r="L231" s="23">
        <v>44011</v>
      </c>
      <c r="M231" s="23"/>
      <c r="N231" s="33" t="s">
        <v>153</v>
      </c>
      <c r="O231" s="26" t="s">
        <v>443</v>
      </c>
      <c r="R231" s="20"/>
    </row>
    <row r="232" spans="2:18" ht="36" hidden="1" customHeight="1" x14ac:dyDescent="0.25">
      <c r="B232" s="28" t="s">
        <v>225</v>
      </c>
      <c r="C232" s="24" t="s">
        <v>40</v>
      </c>
      <c r="D232" s="19" t="s">
        <v>442</v>
      </c>
      <c r="E232" s="18">
        <v>44000</v>
      </c>
      <c r="F232" s="27">
        <f t="shared" ca="1" si="3"/>
        <v>473</v>
      </c>
      <c r="G232" s="34"/>
      <c r="H232" s="25"/>
      <c r="I232" s="25" t="s">
        <v>206</v>
      </c>
      <c r="J232" s="34"/>
      <c r="K232" s="22"/>
      <c r="L232" s="23">
        <v>44018</v>
      </c>
      <c r="M232" s="23"/>
      <c r="N232" s="33" t="s">
        <v>451</v>
      </c>
      <c r="O232" s="26" t="s">
        <v>466</v>
      </c>
      <c r="R232" s="20"/>
    </row>
    <row r="233" spans="2:18" ht="36" hidden="1" customHeight="1" x14ac:dyDescent="0.25">
      <c r="B233" s="28" t="s">
        <v>275</v>
      </c>
      <c r="C233" s="24" t="s">
        <v>19</v>
      </c>
      <c r="D233" s="19" t="s">
        <v>54</v>
      </c>
      <c r="E233" s="23">
        <v>44000</v>
      </c>
      <c r="F233" s="27">
        <f t="shared" ca="1" si="3"/>
        <v>473</v>
      </c>
      <c r="G233" s="34"/>
      <c r="H233" s="25"/>
      <c r="I233" s="25" t="s">
        <v>206</v>
      </c>
      <c r="J233" s="34"/>
      <c r="K233" s="22"/>
      <c r="L233" s="23">
        <v>44005</v>
      </c>
      <c r="M233" s="23"/>
      <c r="N233" s="33"/>
      <c r="O233" s="26"/>
      <c r="R233" s="20"/>
    </row>
    <row r="234" spans="2:18" ht="36" hidden="1" customHeight="1" x14ac:dyDescent="0.25">
      <c r="B234" s="28" t="s">
        <v>239</v>
      </c>
      <c r="C234" s="24" t="s">
        <v>11</v>
      </c>
      <c r="D234" s="19" t="s">
        <v>422</v>
      </c>
      <c r="E234" s="18">
        <v>44001</v>
      </c>
      <c r="F234" s="27">
        <f t="shared" ca="1" si="3"/>
        <v>472</v>
      </c>
      <c r="G234" s="34"/>
      <c r="H234" s="25"/>
      <c r="I234" s="25" t="s">
        <v>278</v>
      </c>
      <c r="J234" s="34"/>
      <c r="K234" s="22"/>
      <c r="L234" s="23">
        <v>44002</v>
      </c>
      <c r="M234" s="23"/>
      <c r="N234" s="33"/>
      <c r="O234" s="26"/>
      <c r="R234" s="20"/>
    </row>
    <row r="235" spans="2:18" ht="36" hidden="1" customHeight="1" x14ac:dyDescent="0.25">
      <c r="B235" s="28" t="s">
        <v>241</v>
      </c>
      <c r="C235" s="24" t="s">
        <v>12</v>
      </c>
      <c r="D235" s="19" t="s">
        <v>425</v>
      </c>
      <c r="E235" s="23">
        <v>44005</v>
      </c>
      <c r="F235" s="27">
        <f t="shared" ca="1" si="3"/>
        <v>468</v>
      </c>
      <c r="G235" s="34"/>
      <c r="H235" s="25"/>
      <c r="I235" s="25" t="s">
        <v>278</v>
      </c>
      <c r="J235" s="34"/>
      <c r="K235" s="22"/>
      <c r="L235" s="23">
        <v>44005</v>
      </c>
      <c r="M235" s="23"/>
      <c r="N235" s="33" t="s">
        <v>426</v>
      </c>
      <c r="O235" s="26"/>
      <c r="R235" s="20"/>
    </row>
    <row r="236" spans="2:18" ht="36" hidden="1" customHeight="1" x14ac:dyDescent="0.25">
      <c r="B236" s="28" t="s">
        <v>276</v>
      </c>
      <c r="C236" s="24" t="s">
        <v>12</v>
      </c>
      <c r="D236" s="19" t="s">
        <v>427</v>
      </c>
      <c r="E236" s="23">
        <v>44005</v>
      </c>
      <c r="F236" s="27">
        <f t="shared" ca="1" si="3"/>
        <v>468</v>
      </c>
      <c r="G236" s="34"/>
      <c r="H236" s="25"/>
      <c r="I236" s="25" t="s">
        <v>278</v>
      </c>
      <c r="J236" s="34"/>
      <c r="K236" s="22"/>
      <c r="L236" s="23">
        <v>44005</v>
      </c>
      <c r="M236" s="23"/>
      <c r="N236" s="33" t="s">
        <v>428</v>
      </c>
      <c r="O236" s="26"/>
      <c r="R236" s="20"/>
    </row>
    <row r="237" spans="2:18" ht="36" hidden="1" customHeight="1" x14ac:dyDescent="0.25">
      <c r="B237" s="28" t="s">
        <v>241</v>
      </c>
      <c r="C237" s="21" t="s">
        <v>12</v>
      </c>
      <c r="D237" s="19" t="s">
        <v>429</v>
      </c>
      <c r="E237" s="18">
        <v>44006</v>
      </c>
      <c r="F237" s="27">
        <f t="shared" ca="1" si="3"/>
        <v>467</v>
      </c>
      <c r="G237" s="34"/>
      <c r="H237" s="25"/>
      <c r="I237" s="25" t="s">
        <v>278</v>
      </c>
      <c r="J237" s="34"/>
      <c r="K237" s="22"/>
      <c r="L237" s="23">
        <v>44007</v>
      </c>
      <c r="M237" s="23"/>
      <c r="N237" s="33" t="s">
        <v>430</v>
      </c>
      <c r="O237" s="26"/>
      <c r="R237" s="20"/>
    </row>
    <row r="238" spans="2:18" ht="36" hidden="1" customHeight="1" x14ac:dyDescent="0.25">
      <c r="B238" s="28" t="s">
        <v>431</v>
      </c>
      <c r="C238" s="24" t="s">
        <v>40</v>
      </c>
      <c r="D238" s="19" t="s">
        <v>432</v>
      </c>
      <c r="E238" s="23">
        <v>44006</v>
      </c>
      <c r="F238" s="27">
        <f t="shared" ca="1" si="3"/>
        <v>467</v>
      </c>
      <c r="G238" s="34"/>
      <c r="H238" s="25"/>
      <c r="I238" s="25"/>
      <c r="J238" s="34"/>
      <c r="K238" s="22"/>
      <c r="L238" s="23">
        <v>44007</v>
      </c>
      <c r="M238" s="23"/>
      <c r="N238" s="33" t="s">
        <v>413</v>
      </c>
      <c r="O238" s="26"/>
      <c r="R238" s="20"/>
    </row>
    <row r="239" spans="2:18" ht="36" hidden="1" customHeight="1" x14ac:dyDescent="0.25">
      <c r="B239" s="28" t="s">
        <v>234</v>
      </c>
      <c r="C239" s="21" t="s">
        <v>19</v>
      </c>
      <c r="D239" s="26" t="s">
        <v>440</v>
      </c>
      <c r="E239" s="18">
        <v>44007</v>
      </c>
      <c r="F239" s="27">
        <f t="shared" ca="1" si="3"/>
        <v>466</v>
      </c>
      <c r="G239" s="34"/>
      <c r="H239" s="25"/>
      <c r="I239" s="25" t="s">
        <v>206</v>
      </c>
      <c r="J239" s="34"/>
      <c r="K239" s="22"/>
      <c r="L239" s="23">
        <v>44025</v>
      </c>
      <c r="M239" s="23"/>
      <c r="N239" s="33" t="s">
        <v>153</v>
      </c>
      <c r="O239" s="26"/>
      <c r="R239" s="20"/>
    </row>
    <row r="240" spans="2:18" ht="36" hidden="1" customHeight="1" x14ac:dyDescent="0.25">
      <c r="B240" s="28" t="s">
        <v>243</v>
      </c>
      <c r="C240" s="21" t="s">
        <v>9</v>
      </c>
      <c r="D240" s="21" t="s">
        <v>435</v>
      </c>
      <c r="E240" s="18">
        <v>44007</v>
      </c>
      <c r="F240" s="27">
        <f t="shared" ca="1" si="3"/>
        <v>466</v>
      </c>
      <c r="G240" s="34"/>
      <c r="H240" s="25"/>
      <c r="I240" s="25" t="s">
        <v>278</v>
      </c>
      <c r="J240" s="34"/>
      <c r="K240" s="22"/>
      <c r="L240" s="23">
        <v>44007</v>
      </c>
      <c r="M240" s="23"/>
      <c r="N240" s="33"/>
      <c r="O240" s="26"/>
      <c r="R240" s="20"/>
    </row>
    <row r="241" spans="2:18" ht="36" hidden="1" customHeight="1" x14ac:dyDescent="0.25">
      <c r="B241" s="28" t="s">
        <v>415</v>
      </c>
      <c r="C241" s="24" t="s">
        <v>11</v>
      </c>
      <c r="D241" s="19" t="s">
        <v>434</v>
      </c>
      <c r="E241" s="23">
        <v>44007</v>
      </c>
      <c r="F241" s="27">
        <f t="shared" ca="1" si="3"/>
        <v>466</v>
      </c>
      <c r="G241" s="34"/>
      <c r="H241" s="25"/>
      <c r="I241" s="25" t="s">
        <v>206</v>
      </c>
      <c r="J241" s="34"/>
      <c r="K241" s="22"/>
      <c r="L241" s="23">
        <v>44007</v>
      </c>
      <c r="M241" s="23"/>
      <c r="N241" s="33" t="s">
        <v>430</v>
      </c>
      <c r="O241" s="26"/>
      <c r="R241" s="20"/>
    </row>
    <row r="242" spans="2:18" ht="36" hidden="1" customHeight="1" x14ac:dyDescent="0.25">
      <c r="B242" s="28" t="s">
        <v>433</v>
      </c>
      <c r="C242" s="21" t="s">
        <v>11</v>
      </c>
      <c r="D242" s="19" t="s">
        <v>434</v>
      </c>
      <c r="E242" s="18">
        <v>44007</v>
      </c>
      <c r="F242" s="27">
        <f t="shared" ca="1" si="3"/>
        <v>466</v>
      </c>
      <c r="G242" s="34"/>
      <c r="H242" s="25"/>
      <c r="I242" s="25" t="s">
        <v>206</v>
      </c>
      <c r="J242" s="34"/>
      <c r="K242" s="22"/>
      <c r="L242" s="23">
        <v>44007</v>
      </c>
      <c r="M242" s="23"/>
      <c r="N242" s="33"/>
      <c r="O242" s="26"/>
      <c r="R242" s="20"/>
    </row>
    <row r="243" spans="2:18" ht="36" hidden="1" customHeight="1" x14ac:dyDescent="0.25">
      <c r="B243" s="28" t="s">
        <v>405</v>
      </c>
      <c r="C243" s="21" t="s">
        <v>11</v>
      </c>
      <c r="D243" s="21" t="s">
        <v>434</v>
      </c>
      <c r="E243" s="18">
        <v>44007</v>
      </c>
      <c r="F243" s="27">
        <f t="shared" ca="1" si="3"/>
        <v>466</v>
      </c>
      <c r="G243" s="34"/>
      <c r="H243" s="25"/>
      <c r="I243" s="25" t="s">
        <v>206</v>
      </c>
      <c r="J243" s="34"/>
      <c r="K243" s="22"/>
      <c r="L243" s="23">
        <v>44008</v>
      </c>
      <c r="M243" s="23"/>
      <c r="N243" s="33" t="s">
        <v>153</v>
      </c>
      <c r="O243" s="26" t="s">
        <v>441</v>
      </c>
      <c r="R243" s="20"/>
    </row>
    <row r="244" spans="2:18" ht="36" hidden="1" customHeight="1" x14ac:dyDescent="0.25">
      <c r="B244" s="28" t="s">
        <v>431</v>
      </c>
      <c r="C244" s="21" t="s">
        <v>37</v>
      </c>
      <c r="D244" s="19" t="s">
        <v>461</v>
      </c>
      <c r="E244" s="18">
        <v>44008</v>
      </c>
      <c r="F244" s="27">
        <f t="shared" ca="1" si="3"/>
        <v>465</v>
      </c>
      <c r="G244" s="34"/>
      <c r="H244" s="25"/>
      <c r="I244" s="25" t="s">
        <v>206</v>
      </c>
      <c r="J244" s="34"/>
      <c r="K244" s="22"/>
      <c r="L244" s="23">
        <v>44020</v>
      </c>
      <c r="M244" s="23"/>
      <c r="N244" s="33" t="s">
        <v>153</v>
      </c>
      <c r="O244" s="33" t="s">
        <v>477</v>
      </c>
      <c r="R244" s="20"/>
    </row>
    <row r="245" spans="2:18" ht="36" hidden="1" customHeight="1" x14ac:dyDescent="0.25">
      <c r="B245" s="28" t="s">
        <v>436</v>
      </c>
      <c r="C245" s="21" t="s">
        <v>11</v>
      </c>
      <c r="D245" s="19" t="s">
        <v>437</v>
      </c>
      <c r="E245" s="18">
        <v>44008</v>
      </c>
      <c r="F245" s="27">
        <f t="shared" ca="1" si="3"/>
        <v>465</v>
      </c>
      <c r="G245" s="34"/>
      <c r="H245" s="25"/>
      <c r="I245" s="25" t="s">
        <v>206</v>
      </c>
      <c r="J245" s="34"/>
      <c r="K245" s="22"/>
      <c r="L245" s="23">
        <v>44008</v>
      </c>
      <c r="M245" s="23"/>
      <c r="N245" s="33"/>
      <c r="O245" s="26"/>
      <c r="R245" s="20"/>
    </row>
    <row r="246" spans="2:18" ht="36" hidden="1" customHeight="1" x14ac:dyDescent="0.25">
      <c r="B246" s="28" t="s">
        <v>482</v>
      </c>
      <c r="C246" s="24" t="s">
        <v>23</v>
      </c>
      <c r="D246" s="19" t="s">
        <v>483</v>
      </c>
      <c r="E246" s="18">
        <v>44011</v>
      </c>
      <c r="F246" s="27">
        <f t="shared" ca="1" si="3"/>
        <v>462</v>
      </c>
      <c r="G246" s="34"/>
      <c r="H246" s="25"/>
      <c r="I246" s="25" t="s">
        <v>206</v>
      </c>
      <c r="J246" s="34"/>
      <c r="K246" s="22"/>
      <c r="L246" s="23">
        <v>44026</v>
      </c>
      <c r="M246" s="23"/>
      <c r="N246" s="33" t="s">
        <v>497</v>
      </c>
      <c r="O246" s="26" t="s">
        <v>496</v>
      </c>
      <c r="R246" s="20"/>
    </row>
    <row r="247" spans="2:18" ht="36" hidden="1" customHeight="1" x14ac:dyDescent="0.25">
      <c r="B247" s="28" t="s">
        <v>217</v>
      </c>
      <c r="C247" s="21" t="s">
        <v>23</v>
      </c>
      <c r="D247" s="26" t="s">
        <v>439</v>
      </c>
      <c r="E247" s="18">
        <v>44011</v>
      </c>
      <c r="F247" s="27">
        <f t="shared" ca="1" si="3"/>
        <v>462</v>
      </c>
      <c r="G247" s="34"/>
      <c r="H247" s="25"/>
      <c r="I247" s="25" t="s">
        <v>206</v>
      </c>
      <c r="J247" s="34"/>
      <c r="K247" s="22"/>
      <c r="L247" s="23">
        <v>44011</v>
      </c>
      <c r="M247" s="23"/>
      <c r="N247" s="33" t="s">
        <v>153</v>
      </c>
      <c r="O247" s="26" t="s">
        <v>157</v>
      </c>
      <c r="R247" s="20"/>
    </row>
    <row r="248" spans="2:18" ht="36" hidden="1" customHeight="1" x14ac:dyDescent="0.25">
      <c r="B248" s="28" t="s">
        <v>238</v>
      </c>
      <c r="C248" s="24" t="s">
        <v>12</v>
      </c>
      <c r="D248" s="26" t="s">
        <v>446</v>
      </c>
      <c r="E248" s="23">
        <v>44012</v>
      </c>
      <c r="F248" s="27">
        <f t="shared" ca="1" si="3"/>
        <v>461</v>
      </c>
      <c r="G248" s="34"/>
      <c r="H248" s="25"/>
      <c r="I248" s="25" t="s">
        <v>206</v>
      </c>
      <c r="J248" s="34"/>
      <c r="K248" s="22"/>
      <c r="L248" s="23">
        <v>44021</v>
      </c>
      <c r="M248" s="23"/>
      <c r="N248" s="33" t="s">
        <v>153</v>
      </c>
      <c r="O248" s="26" t="s">
        <v>61</v>
      </c>
      <c r="R248" s="20"/>
    </row>
    <row r="249" spans="2:18" ht="36" hidden="1" customHeight="1" x14ac:dyDescent="0.25">
      <c r="B249" s="28" t="s">
        <v>225</v>
      </c>
      <c r="C249" s="21" t="s">
        <v>11</v>
      </c>
      <c r="D249" s="26" t="s">
        <v>448</v>
      </c>
      <c r="E249" s="18">
        <v>44012</v>
      </c>
      <c r="F249" s="27">
        <f t="shared" ca="1" si="3"/>
        <v>461</v>
      </c>
      <c r="G249" s="34"/>
      <c r="H249" s="25"/>
      <c r="I249" s="25" t="s">
        <v>278</v>
      </c>
      <c r="J249" s="34"/>
      <c r="K249" s="22"/>
      <c r="L249" s="23">
        <v>44018</v>
      </c>
      <c r="M249" s="23"/>
      <c r="N249" s="33" t="s">
        <v>451</v>
      </c>
      <c r="O249" s="26" t="s">
        <v>465</v>
      </c>
      <c r="R249" s="20"/>
    </row>
    <row r="250" spans="2:18" ht="36" hidden="1" customHeight="1" x14ac:dyDescent="0.25">
      <c r="B250" s="28" t="s">
        <v>315</v>
      </c>
      <c r="C250" s="21" t="s">
        <v>23</v>
      </c>
      <c r="D250" s="26" t="s">
        <v>447</v>
      </c>
      <c r="E250" s="18">
        <v>44012</v>
      </c>
      <c r="F250" s="27">
        <f t="shared" ca="1" si="3"/>
        <v>461</v>
      </c>
      <c r="G250" s="34"/>
      <c r="H250" s="25"/>
      <c r="I250" s="25" t="s">
        <v>206</v>
      </c>
      <c r="J250" s="34"/>
      <c r="K250" s="22"/>
      <c r="L250" s="23">
        <v>44014</v>
      </c>
      <c r="M250" s="23"/>
      <c r="N250" s="33" t="s">
        <v>451</v>
      </c>
      <c r="O250" s="26" t="s">
        <v>157</v>
      </c>
      <c r="R250" s="20"/>
    </row>
    <row r="251" spans="2:18" ht="36" hidden="1" customHeight="1" x14ac:dyDescent="0.25">
      <c r="B251" s="28" t="s">
        <v>229</v>
      </c>
      <c r="C251" s="24" t="s">
        <v>23</v>
      </c>
      <c r="D251" s="26" t="s">
        <v>450</v>
      </c>
      <c r="E251" s="18">
        <v>44012</v>
      </c>
      <c r="F251" s="27">
        <f t="shared" ca="1" si="3"/>
        <v>461</v>
      </c>
      <c r="G251" s="34"/>
      <c r="H251" s="25"/>
      <c r="I251" s="25" t="s">
        <v>206</v>
      </c>
      <c r="J251" s="34"/>
      <c r="K251" s="22"/>
      <c r="L251" s="23">
        <v>44014</v>
      </c>
      <c r="M251" s="23"/>
      <c r="N251" s="33" t="s">
        <v>451</v>
      </c>
      <c r="O251" s="26" t="s">
        <v>55</v>
      </c>
      <c r="R251" s="20"/>
    </row>
    <row r="252" spans="2:18" ht="36" hidden="1" customHeight="1" x14ac:dyDescent="0.25">
      <c r="B252" s="28" t="s">
        <v>246</v>
      </c>
      <c r="C252" s="21" t="s">
        <v>31</v>
      </c>
      <c r="D252" s="26" t="s">
        <v>449</v>
      </c>
      <c r="E252" s="18">
        <v>44012</v>
      </c>
      <c r="F252" s="27">
        <f t="shared" ca="1" si="3"/>
        <v>461</v>
      </c>
      <c r="G252" s="34"/>
      <c r="H252" s="25"/>
      <c r="I252" s="25" t="s">
        <v>278</v>
      </c>
      <c r="J252" s="34"/>
      <c r="K252" s="22"/>
      <c r="L252" s="23">
        <v>44015</v>
      </c>
      <c r="M252" s="23"/>
      <c r="N252" s="33"/>
      <c r="O252" s="26" t="s">
        <v>467</v>
      </c>
      <c r="R252" s="20"/>
    </row>
    <row r="253" spans="2:18" ht="36" hidden="1" customHeight="1" x14ac:dyDescent="0.25">
      <c r="B253" s="28" t="s">
        <v>234</v>
      </c>
      <c r="C253" s="21" t="s">
        <v>40</v>
      </c>
      <c r="D253" s="26" t="s">
        <v>444</v>
      </c>
      <c r="E253" s="18">
        <v>44013</v>
      </c>
      <c r="F253" s="27">
        <f t="shared" ca="1" si="3"/>
        <v>460</v>
      </c>
      <c r="G253" s="34"/>
      <c r="H253" s="25"/>
      <c r="I253" s="25" t="s">
        <v>206</v>
      </c>
      <c r="J253" s="34"/>
      <c r="K253" s="22"/>
      <c r="L253" s="23">
        <v>44025</v>
      </c>
      <c r="M253" s="23"/>
      <c r="N253" s="33" t="s">
        <v>153</v>
      </c>
      <c r="O253" s="26" t="s">
        <v>486</v>
      </c>
      <c r="R253" s="20"/>
    </row>
    <row r="254" spans="2:18" ht="36" hidden="1" customHeight="1" x14ac:dyDescent="0.25">
      <c r="B254" s="28" t="s">
        <v>247</v>
      </c>
      <c r="C254" s="24" t="s">
        <v>40</v>
      </c>
      <c r="D254" s="19" t="s">
        <v>445</v>
      </c>
      <c r="E254" s="18">
        <v>44013</v>
      </c>
      <c r="F254" s="27">
        <f t="shared" ca="1" si="3"/>
        <v>460</v>
      </c>
      <c r="G254" s="34"/>
      <c r="H254" s="25"/>
      <c r="I254" s="25" t="s">
        <v>278</v>
      </c>
      <c r="J254" s="34"/>
      <c r="K254" s="22"/>
      <c r="L254" s="23">
        <v>44025</v>
      </c>
      <c r="M254" s="23"/>
      <c r="N254" s="33" t="s">
        <v>153</v>
      </c>
      <c r="O254" s="26" t="s">
        <v>477</v>
      </c>
      <c r="R254" s="20"/>
    </row>
    <row r="255" spans="2:18" ht="36" hidden="1" customHeight="1" x14ac:dyDescent="0.25">
      <c r="B255" s="28" t="s">
        <v>249</v>
      </c>
      <c r="C255" s="24" t="s">
        <v>40</v>
      </c>
      <c r="D255" s="19" t="s">
        <v>445</v>
      </c>
      <c r="E255" s="18">
        <v>44013</v>
      </c>
      <c r="F255" s="27">
        <f t="shared" ca="1" si="3"/>
        <v>460</v>
      </c>
      <c r="G255" s="34"/>
      <c r="H255" s="25"/>
      <c r="I255" s="25" t="s">
        <v>278</v>
      </c>
      <c r="J255" s="34"/>
      <c r="K255" s="22"/>
      <c r="L255" s="23">
        <v>44041</v>
      </c>
      <c r="M255" s="23"/>
      <c r="N255" s="33" t="s">
        <v>153</v>
      </c>
      <c r="O255" s="26" t="s">
        <v>517</v>
      </c>
      <c r="R255" s="20"/>
    </row>
    <row r="256" spans="2:18" ht="36" hidden="1" customHeight="1" x14ac:dyDescent="0.25">
      <c r="B256" s="28" t="s">
        <v>389</v>
      </c>
      <c r="C256" s="24" t="s">
        <v>40</v>
      </c>
      <c r="D256" s="19" t="s">
        <v>445</v>
      </c>
      <c r="E256" s="18">
        <v>44013</v>
      </c>
      <c r="F256" s="27">
        <f t="shared" ca="1" si="3"/>
        <v>460</v>
      </c>
      <c r="G256" s="34"/>
      <c r="H256" s="25"/>
      <c r="I256" s="25" t="s">
        <v>278</v>
      </c>
      <c r="J256" s="34"/>
      <c r="K256" s="22"/>
      <c r="L256" s="23">
        <v>44028</v>
      </c>
      <c r="M256" s="23"/>
      <c r="N256" s="33" t="s">
        <v>153</v>
      </c>
      <c r="O256" s="26" t="s">
        <v>505</v>
      </c>
      <c r="R256" s="20"/>
    </row>
    <row r="257" spans="2:18" ht="36" hidden="1" customHeight="1" x14ac:dyDescent="0.25">
      <c r="B257" s="28" t="s">
        <v>232</v>
      </c>
      <c r="C257" s="24" t="s">
        <v>40</v>
      </c>
      <c r="D257" s="19" t="s">
        <v>445</v>
      </c>
      <c r="E257" s="18">
        <v>44013</v>
      </c>
      <c r="F257" s="27">
        <f t="shared" ca="1" si="3"/>
        <v>460</v>
      </c>
      <c r="G257" s="34"/>
      <c r="H257" s="25"/>
      <c r="I257" s="25" t="s">
        <v>278</v>
      </c>
      <c r="J257" s="34"/>
      <c r="K257" s="22"/>
      <c r="L257" s="23">
        <v>44025</v>
      </c>
      <c r="M257" s="23"/>
      <c r="N257" s="33" t="s">
        <v>153</v>
      </c>
      <c r="O257" s="26" t="s">
        <v>477</v>
      </c>
      <c r="R257" s="20"/>
    </row>
    <row r="258" spans="2:18" ht="36" hidden="1" customHeight="1" x14ac:dyDescent="0.25">
      <c r="B258" s="28" t="s">
        <v>252</v>
      </c>
      <c r="C258" s="24" t="s">
        <v>40</v>
      </c>
      <c r="D258" s="19" t="s">
        <v>445</v>
      </c>
      <c r="E258" s="18">
        <v>44013</v>
      </c>
      <c r="F258" s="27">
        <f t="shared" ca="1" si="3"/>
        <v>460</v>
      </c>
      <c r="G258" s="34"/>
      <c r="H258" s="25"/>
      <c r="I258" s="25" t="s">
        <v>278</v>
      </c>
      <c r="J258" s="34"/>
      <c r="K258" s="22"/>
      <c r="L258" s="23">
        <v>44025</v>
      </c>
      <c r="M258" s="23"/>
      <c r="N258" s="33" t="s">
        <v>153</v>
      </c>
      <c r="O258" s="26" t="s">
        <v>477</v>
      </c>
      <c r="R258" s="20"/>
    </row>
    <row r="259" spans="2:18" ht="36" hidden="1" customHeight="1" x14ac:dyDescent="0.25">
      <c r="B259" s="28" t="s">
        <v>261</v>
      </c>
      <c r="C259" s="24" t="s">
        <v>40</v>
      </c>
      <c r="D259" s="19" t="s">
        <v>445</v>
      </c>
      <c r="E259" s="18">
        <v>44013</v>
      </c>
      <c r="F259" s="27">
        <f t="shared" ca="1" si="3"/>
        <v>460</v>
      </c>
      <c r="G259" s="34"/>
      <c r="H259" s="25"/>
      <c r="I259" s="25" t="s">
        <v>278</v>
      </c>
      <c r="J259" s="34"/>
      <c r="K259" s="22"/>
      <c r="L259" s="23">
        <v>44033</v>
      </c>
      <c r="M259" s="23"/>
      <c r="N259" s="33" t="s">
        <v>497</v>
      </c>
      <c r="O259" s="26" t="s">
        <v>477</v>
      </c>
      <c r="R259" s="20"/>
    </row>
    <row r="260" spans="2:18" ht="36" hidden="1" customHeight="1" x14ac:dyDescent="0.25">
      <c r="B260" s="28" t="s">
        <v>240</v>
      </c>
      <c r="C260" s="21" t="s">
        <v>40</v>
      </c>
      <c r="D260" s="26" t="s">
        <v>453</v>
      </c>
      <c r="E260" s="18">
        <v>44014</v>
      </c>
      <c r="F260" s="27">
        <f t="shared" ca="1" si="3"/>
        <v>459</v>
      </c>
      <c r="G260" s="34"/>
      <c r="H260" s="25"/>
      <c r="I260" s="25"/>
      <c r="J260" s="34"/>
      <c r="K260" s="22"/>
      <c r="L260" s="23">
        <v>44014</v>
      </c>
      <c r="M260" s="23"/>
      <c r="N260" s="33" t="s">
        <v>454</v>
      </c>
      <c r="O260" s="26" t="s">
        <v>455</v>
      </c>
      <c r="R260" s="20"/>
    </row>
    <row r="261" spans="2:18" ht="36" hidden="1" customHeight="1" x14ac:dyDescent="0.25">
      <c r="B261" s="28" t="s">
        <v>234</v>
      </c>
      <c r="C261" s="21" t="s">
        <v>23</v>
      </c>
      <c r="D261" s="26" t="s">
        <v>458</v>
      </c>
      <c r="E261" s="18">
        <v>44014</v>
      </c>
      <c r="F261" s="27">
        <f t="shared" ca="1" si="3"/>
        <v>459</v>
      </c>
      <c r="G261" s="34"/>
      <c r="H261" s="25"/>
      <c r="I261" s="25" t="s">
        <v>206</v>
      </c>
      <c r="J261" s="34"/>
      <c r="K261" s="22"/>
      <c r="L261" s="23">
        <v>44025</v>
      </c>
      <c r="M261" s="23"/>
      <c r="N261" s="33" t="s">
        <v>153</v>
      </c>
      <c r="O261" s="26"/>
      <c r="R261" s="20"/>
    </row>
    <row r="262" spans="2:18" ht="36" hidden="1" customHeight="1" x14ac:dyDescent="0.25">
      <c r="B262" s="28" t="s">
        <v>456</v>
      </c>
      <c r="C262" s="24" t="s">
        <v>12</v>
      </c>
      <c r="D262" s="26" t="s">
        <v>457</v>
      </c>
      <c r="E262" s="18">
        <v>44014</v>
      </c>
      <c r="F262" s="27">
        <f t="shared" ca="1" si="3"/>
        <v>459</v>
      </c>
      <c r="G262" s="34"/>
      <c r="H262" s="25"/>
      <c r="I262" s="25" t="s">
        <v>206</v>
      </c>
      <c r="J262" s="34"/>
      <c r="K262" s="22"/>
      <c r="L262" s="23">
        <v>44050</v>
      </c>
      <c r="M262" s="23"/>
      <c r="N262" s="33" t="s">
        <v>153</v>
      </c>
      <c r="O262" s="26" t="s">
        <v>561</v>
      </c>
      <c r="R262" s="20"/>
    </row>
    <row r="263" spans="2:18" ht="36" hidden="1" customHeight="1" x14ac:dyDescent="0.25">
      <c r="B263" s="28" t="s">
        <v>389</v>
      </c>
      <c r="C263" s="21" t="s">
        <v>11</v>
      </c>
      <c r="D263" s="33" t="s">
        <v>459</v>
      </c>
      <c r="E263" s="18">
        <v>44014</v>
      </c>
      <c r="F263" s="27">
        <f t="shared" ca="1" si="3"/>
        <v>459</v>
      </c>
      <c r="G263" s="34"/>
      <c r="H263" s="25"/>
      <c r="I263" s="25" t="s">
        <v>278</v>
      </c>
      <c r="J263" s="34"/>
      <c r="K263" s="22"/>
      <c r="L263" s="23">
        <v>44028</v>
      </c>
      <c r="M263" s="23"/>
      <c r="N263" s="33" t="s">
        <v>462</v>
      </c>
      <c r="O263" s="26" t="s">
        <v>506</v>
      </c>
      <c r="R263" s="20"/>
    </row>
    <row r="264" spans="2:18" ht="36" hidden="1" customHeight="1" x14ac:dyDescent="0.25">
      <c r="B264" s="28" t="s">
        <v>236</v>
      </c>
      <c r="C264" s="21" t="s">
        <v>31</v>
      </c>
      <c r="D264" s="26" t="s">
        <v>460</v>
      </c>
      <c r="E264" s="18">
        <v>44015</v>
      </c>
      <c r="F264" s="27">
        <f t="shared" ca="1" si="3"/>
        <v>458</v>
      </c>
      <c r="G264" s="34"/>
      <c r="H264" s="25"/>
      <c r="I264" s="25" t="s">
        <v>206</v>
      </c>
      <c r="J264" s="34"/>
      <c r="K264" s="22"/>
      <c r="L264" s="23">
        <v>44021</v>
      </c>
      <c r="M264" s="23"/>
      <c r="N264" s="33" t="s">
        <v>153</v>
      </c>
      <c r="O264" s="26" t="s">
        <v>478</v>
      </c>
      <c r="R264" s="20"/>
    </row>
    <row r="265" spans="2:18" ht="36" hidden="1" customHeight="1" x14ac:dyDescent="0.25">
      <c r="B265" s="28" t="s">
        <v>236</v>
      </c>
      <c r="C265" s="24" t="s">
        <v>12</v>
      </c>
      <c r="D265" s="26" t="s">
        <v>54</v>
      </c>
      <c r="E265" s="18">
        <v>44015</v>
      </c>
      <c r="F265" s="27">
        <f t="shared" ca="1" si="3"/>
        <v>458</v>
      </c>
      <c r="G265" s="34"/>
      <c r="H265" s="25"/>
      <c r="I265" s="25" t="s">
        <v>206</v>
      </c>
      <c r="J265" s="34"/>
      <c r="K265" s="22"/>
      <c r="L265" s="23">
        <v>44025</v>
      </c>
      <c r="M265" s="23"/>
      <c r="N265" s="33" t="s">
        <v>491</v>
      </c>
      <c r="O265" s="26" t="s">
        <v>490</v>
      </c>
      <c r="R265" s="20"/>
    </row>
    <row r="266" spans="2:18" ht="36" hidden="1" customHeight="1" x14ac:dyDescent="0.25">
      <c r="B266" s="28" t="s">
        <v>277</v>
      </c>
      <c r="C266" s="21" t="s">
        <v>23</v>
      </c>
      <c r="D266" s="19" t="s">
        <v>346</v>
      </c>
      <c r="E266" s="18">
        <v>44015</v>
      </c>
      <c r="F266" s="27">
        <f t="shared" ca="1" si="3"/>
        <v>458</v>
      </c>
      <c r="G266" s="34"/>
      <c r="H266" s="25"/>
      <c r="I266" s="25" t="s">
        <v>206</v>
      </c>
      <c r="J266" s="34"/>
      <c r="K266" s="22"/>
      <c r="L266" s="23">
        <v>44018</v>
      </c>
      <c r="M266" s="23"/>
      <c r="N266" s="33" t="s">
        <v>462</v>
      </c>
      <c r="O266" s="26" t="s">
        <v>55</v>
      </c>
      <c r="R266" s="20"/>
    </row>
    <row r="267" spans="2:18" ht="36" hidden="1" customHeight="1" x14ac:dyDescent="0.25">
      <c r="B267" s="28" t="s">
        <v>266</v>
      </c>
      <c r="C267" s="21" t="s">
        <v>23</v>
      </c>
      <c r="D267" s="26" t="s">
        <v>452</v>
      </c>
      <c r="E267" s="23">
        <v>44015</v>
      </c>
      <c r="F267" s="27">
        <f t="shared" ca="1" si="3"/>
        <v>458</v>
      </c>
      <c r="G267" s="34"/>
      <c r="H267" s="25"/>
      <c r="I267" s="25" t="s">
        <v>206</v>
      </c>
      <c r="J267" s="34"/>
      <c r="K267" s="22"/>
      <c r="L267" s="23">
        <v>44025</v>
      </c>
      <c r="M267" s="23"/>
      <c r="N267" s="33" t="s">
        <v>153</v>
      </c>
      <c r="O267" s="26" t="s">
        <v>488</v>
      </c>
      <c r="R267" s="20"/>
    </row>
    <row r="268" spans="2:18" ht="36" hidden="1" customHeight="1" x14ac:dyDescent="0.25">
      <c r="B268" s="28" t="s">
        <v>243</v>
      </c>
      <c r="C268" s="21" t="s">
        <v>31</v>
      </c>
      <c r="D268" s="26" t="s">
        <v>464</v>
      </c>
      <c r="E268" s="18">
        <v>44018</v>
      </c>
      <c r="F268" s="27">
        <f t="shared" ca="1" si="3"/>
        <v>455</v>
      </c>
      <c r="G268" s="34"/>
      <c r="H268" s="25"/>
      <c r="I268" s="25" t="s">
        <v>206</v>
      </c>
      <c r="J268" s="34"/>
      <c r="K268" s="22"/>
      <c r="L268" s="23">
        <v>44043</v>
      </c>
      <c r="M268" s="23"/>
      <c r="N268" s="33" t="s">
        <v>491</v>
      </c>
      <c r="O268" s="26" t="s">
        <v>560</v>
      </c>
      <c r="R268" s="20"/>
    </row>
    <row r="269" spans="2:18" ht="36" hidden="1" customHeight="1" x14ac:dyDescent="0.25">
      <c r="B269" s="28" t="s">
        <v>261</v>
      </c>
      <c r="C269" s="21" t="s">
        <v>40</v>
      </c>
      <c r="D269" s="26" t="s">
        <v>463</v>
      </c>
      <c r="E269" s="18">
        <v>44018</v>
      </c>
      <c r="F269" s="27">
        <f t="shared" ca="1" si="3"/>
        <v>455</v>
      </c>
      <c r="G269" s="58"/>
      <c r="H269" s="25"/>
      <c r="I269" s="25" t="s">
        <v>206</v>
      </c>
      <c r="J269" s="58"/>
      <c r="K269" s="58"/>
      <c r="L269" s="23">
        <v>44033</v>
      </c>
      <c r="M269" s="23"/>
      <c r="N269" s="33" t="s">
        <v>497</v>
      </c>
      <c r="O269" s="26" t="s">
        <v>515</v>
      </c>
      <c r="R269" s="20"/>
    </row>
    <row r="270" spans="2:18" ht="36" hidden="1" customHeight="1" x14ac:dyDescent="0.25">
      <c r="B270" s="28" t="s">
        <v>252</v>
      </c>
      <c r="C270" s="21" t="s">
        <v>12</v>
      </c>
      <c r="D270" s="26" t="s">
        <v>470</v>
      </c>
      <c r="E270" s="18">
        <v>44019</v>
      </c>
      <c r="F270" s="27">
        <f t="shared" ca="1" si="3"/>
        <v>454</v>
      </c>
      <c r="G270" s="34"/>
      <c r="H270" s="25"/>
      <c r="I270" s="25" t="s">
        <v>206</v>
      </c>
      <c r="J270" s="34"/>
      <c r="K270" s="22"/>
      <c r="L270" s="23">
        <v>44025</v>
      </c>
      <c r="M270" s="23"/>
      <c r="N270" s="33" t="s">
        <v>153</v>
      </c>
      <c r="O270" s="26" t="s">
        <v>481</v>
      </c>
      <c r="R270" s="20"/>
    </row>
    <row r="271" spans="2:18" ht="36" hidden="1" customHeight="1" x14ac:dyDescent="0.25">
      <c r="B271" s="28" t="s">
        <v>271</v>
      </c>
      <c r="C271" s="24" t="s">
        <v>23</v>
      </c>
      <c r="D271" s="19" t="s">
        <v>468</v>
      </c>
      <c r="E271" s="18">
        <v>44019</v>
      </c>
      <c r="F271" s="27">
        <f t="shared" ca="1" si="3"/>
        <v>454</v>
      </c>
      <c r="G271" s="58"/>
      <c r="H271" s="25"/>
      <c r="I271" s="25" t="s">
        <v>206</v>
      </c>
      <c r="J271" s="58"/>
      <c r="K271" s="58"/>
      <c r="L271" s="23">
        <v>44021</v>
      </c>
      <c r="M271" s="23"/>
      <c r="N271" s="33" t="s">
        <v>480</v>
      </c>
      <c r="O271" s="26" t="s">
        <v>479</v>
      </c>
      <c r="R271" s="20"/>
    </row>
    <row r="272" spans="2:18" ht="36" hidden="1" customHeight="1" x14ac:dyDescent="0.25">
      <c r="B272" s="28" t="s">
        <v>271</v>
      </c>
      <c r="C272" s="21" t="s">
        <v>23</v>
      </c>
      <c r="D272" s="26" t="s">
        <v>469</v>
      </c>
      <c r="E272" s="18">
        <v>44019</v>
      </c>
      <c r="F272" s="27">
        <f t="shared" ref="F272:F335" ca="1" si="4">IF(E272&lt;&gt;"",TODAY()-E272,"")</f>
        <v>454</v>
      </c>
      <c r="G272" s="34"/>
      <c r="H272" s="25"/>
      <c r="I272" s="25" t="s">
        <v>206</v>
      </c>
      <c r="J272" s="34"/>
      <c r="K272" s="22"/>
      <c r="L272" s="23">
        <v>44021</v>
      </c>
      <c r="M272" s="23"/>
      <c r="N272" s="33" t="s">
        <v>480</v>
      </c>
      <c r="O272" s="26" t="s">
        <v>479</v>
      </c>
      <c r="R272" s="20"/>
    </row>
    <row r="273" spans="2:18" ht="36" hidden="1" customHeight="1" x14ac:dyDescent="0.25">
      <c r="B273" s="28" t="s">
        <v>238</v>
      </c>
      <c r="C273" s="21" t="s">
        <v>23</v>
      </c>
      <c r="D273" s="26" t="s">
        <v>473</v>
      </c>
      <c r="E273" s="18">
        <v>44021</v>
      </c>
      <c r="F273" s="27">
        <f t="shared" ca="1" si="4"/>
        <v>452</v>
      </c>
      <c r="G273" s="34"/>
      <c r="H273" s="25"/>
      <c r="I273" s="25" t="s">
        <v>278</v>
      </c>
      <c r="J273" s="34"/>
      <c r="K273" s="22"/>
      <c r="L273" s="23">
        <v>44021</v>
      </c>
      <c r="M273" s="23"/>
      <c r="N273" s="33" t="s">
        <v>153</v>
      </c>
      <c r="O273" s="26" t="s">
        <v>57</v>
      </c>
      <c r="R273" s="20"/>
    </row>
    <row r="274" spans="2:18" ht="36" hidden="1" customHeight="1" x14ac:dyDescent="0.25">
      <c r="B274" s="28" t="s">
        <v>239</v>
      </c>
      <c r="C274" s="24" t="s">
        <v>31</v>
      </c>
      <c r="D274" s="26" t="s">
        <v>471</v>
      </c>
      <c r="E274" s="18">
        <v>44021</v>
      </c>
      <c r="F274" s="27">
        <f t="shared" ca="1" si="4"/>
        <v>452</v>
      </c>
      <c r="G274" s="34"/>
      <c r="H274" s="25"/>
      <c r="I274" s="25" t="s">
        <v>278</v>
      </c>
      <c r="J274" s="34"/>
      <c r="K274" s="22"/>
      <c r="L274" s="23">
        <v>44021</v>
      </c>
      <c r="M274" s="23"/>
      <c r="N274" s="33" t="s">
        <v>153</v>
      </c>
      <c r="O274" s="26" t="s">
        <v>476</v>
      </c>
      <c r="R274" s="20"/>
    </row>
    <row r="275" spans="2:18" ht="36" hidden="1" customHeight="1" x14ac:dyDescent="0.25">
      <c r="B275" s="28" t="s">
        <v>240</v>
      </c>
      <c r="C275" s="21" t="s">
        <v>31</v>
      </c>
      <c r="D275" s="19" t="s">
        <v>472</v>
      </c>
      <c r="E275" s="23">
        <v>44021</v>
      </c>
      <c r="F275" s="27">
        <f t="shared" ca="1" si="4"/>
        <v>452</v>
      </c>
      <c r="G275" s="34"/>
      <c r="H275" s="25"/>
      <c r="I275" s="25" t="s">
        <v>206</v>
      </c>
      <c r="J275" s="34"/>
      <c r="K275" s="22"/>
      <c r="L275" s="23">
        <v>44022</v>
      </c>
      <c r="M275" s="23"/>
      <c r="N275" s="33" t="s">
        <v>153</v>
      </c>
      <c r="O275" s="26" t="s">
        <v>476</v>
      </c>
      <c r="R275" s="20"/>
    </row>
    <row r="276" spans="2:18" ht="36" hidden="1" customHeight="1" x14ac:dyDescent="0.25">
      <c r="B276" s="28" t="s">
        <v>237</v>
      </c>
      <c r="C276" s="21" t="s">
        <v>31</v>
      </c>
      <c r="D276" s="26" t="s">
        <v>471</v>
      </c>
      <c r="E276" s="18">
        <v>44021</v>
      </c>
      <c r="F276" s="27">
        <f t="shared" ca="1" si="4"/>
        <v>452</v>
      </c>
      <c r="G276" s="34"/>
      <c r="H276" s="25"/>
      <c r="I276" s="25" t="s">
        <v>278</v>
      </c>
      <c r="J276" s="34"/>
      <c r="K276" s="22"/>
      <c r="L276" s="23">
        <v>44021</v>
      </c>
      <c r="M276" s="23"/>
      <c r="N276" s="33" t="s">
        <v>153</v>
      </c>
      <c r="O276" s="26" t="s">
        <v>476</v>
      </c>
      <c r="R276" s="20"/>
    </row>
    <row r="277" spans="2:18" ht="36" hidden="1" customHeight="1" x14ac:dyDescent="0.25">
      <c r="B277" s="28" t="s">
        <v>217</v>
      </c>
      <c r="C277" s="24" t="s">
        <v>31</v>
      </c>
      <c r="D277" s="19" t="s">
        <v>474</v>
      </c>
      <c r="E277" s="18">
        <v>44021</v>
      </c>
      <c r="F277" s="27">
        <f t="shared" ca="1" si="4"/>
        <v>452</v>
      </c>
      <c r="G277" s="34"/>
      <c r="H277" s="25"/>
      <c r="I277" s="25" t="s">
        <v>278</v>
      </c>
      <c r="J277" s="34"/>
      <c r="K277" s="22"/>
      <c r="L277" s="23">
        <v>44025</v>
      </c>
      <c r="M277" s="23"/>
      <c r="N277" s="33" t="s">
        <v>153</v>
      </c>
      <c r="O277" s="26" t="s">
        <v>487</v>
      </c>
      <c r="R277" s="20"/>
    </row>
    <row r="278" spans="2:18" ht="36" hidden="1" customHeight="1" x14ac:dyDescent="0.25">
      <c r="B278" s="28" t="s">
        <v>217</v>
      </c>
      <c r="C278" s="24" t="s">
        <v>31</v>
      </c>
      <c r="D278" s="19" t="s">
        <v>475</v>
      </c>
      <c r="E278" s="18">
        <v>44021</v>
      </c>
      <c r="F278" s="27">
        <f t="shared" ca="1" si="4"/>
        <v>452</v>
      </c>
      <c r="G278" s="34"/>
      <c r="H278" s="25"/>
      <c r="I278" s="25" t="s">
        <v>278</v>
      </c>
      <c r="J278" s="34"/>
      <c r="K278" s="22"/>
      <c r="L278" s="23">
        <v>44025</v>
      </c>
      <c r="M278" s="23"/>
      <c r="N278" s="33" t="s">
        <v>153</v>
      </c>
      <c r="O278" s="26" t="s">
        <v>487</v>
      </c>
      <c r="R278" s="20"/>
    </row>
    <row r="279" spans="2:18" ht="36" hidden="1" customHeight="1" x14ac:dyDescent="0.25">
      <c r="B279" s="28" t="s">
        <v>239</v>
      </c>
      <c r="C279" s="24" t="s">
        <v>23</v>
      </c>
      <c r="D279" s="19" t="s">
        <v>489</v>
      </c>
      <c r="E279" s="18">
        <v>44022</v>
      </c>
      <c r="F279" s="27">
        <f t="shared" ca="1" si="4"/>
        <v>451</v>
      </c>
      <c r="G279" s="34"/>
      <c r="H279" s="25"/>
      <c r="I279" s="25"/>
      <c r="J279" s="34"/>
      <c r="K279" s="22"/>
      <c r="L279" s="23">
        <v>44026</v>
      </c>
      <c r="M279" s="23"/>
      <c r="N279" s="33" t="s">
        <v>153</v>
      </c>
      <c r="O279" s="26" t="s">
        <v>52</v>
      </c>
      <c r="R279" s="20"/>
    </row>
    <row r="280" spans="2:18" ht="36" hidden="1" customHeight="1" x14ac:dyDescent="0.25">
      <c r="B280" s="28" t="s">
        <v>353</v>
      </c>
      <c r="C280" s="24" t="s">
        <v>11</v>
      </c>
      <c r="D280" s="19" t="s">
        <v>484</v>
      </c>
      <c r="E280" s="18">
        <v>44022</v>
      </c>
      <c r="F280" s="27">
        <f t="shared" ca="1" si="4"/>
        <v>451</v>
      </c>
      <c r="G280" s="34"/>
      <c r="H280" s="25"/>
      <c r="I280" s="25" t="s">
        <v>206</v>
      </c>
      <c r="J280" s="34"/>
      <c r="K280" s="22"/>
      <c r="L280" s="23">
        <v>44028</v>
      </c>
      <c r="M280" s="23"/>
      <c r="N280" s="33" t="s">
        <v>153</v>
      </c>
      <c r="O280" s="26"/>
      <c r="R280" s="20"/>
    </row>
    <row r="281" spans="2:18" ht="36" hidden="1" customHeight="1" x14ac:dyDescent="0.25">
      <c r="B281" s="28" t="s">
        <v>256</v>
      </c>
      <c r="C281" s="21" t="s">
        <v>31</v>
      </c>
      <c r="D281" s="26" t="s">
        <v>485</v>
      </c>
      <c r="E281" s="18">
        <v>44022</v>
      </c>
      <c r="F281" s="27">
        <f t="shared" ca="1" si="4"/>
        <v>451</v>
      </c>
      <c r="G281" s="34"/>
      <c r="H281" s="25"/>
      <c r="I281" s="25" t="s">
        <v>206</v>
      </c>
      <c r="J281" s="34"/>
      <c r="K281" s="22"/>
      <c r="L281" s="23">
        <v>44026</v>
      </c>
      <c r="M281" s="23"/>
      <c r="N281" s="33" t="s">
        <v>497</v>
      </c>
      <c r="O281" s="26" t="s">
        <v>498</v>
      </c>
      <c r="R281" s="20"/>
    </row>
    <row r="282" spans="2:18" ht="36" hidden="1" customHeight="1" x14ac:dyDescent="0.25">
      <c r="B282" s="28" t="s">
        <v>247</v>
      </c>
      <c r="C282" s="21" t="s">
        <v>37</v>
      </c>
      <c r="D282" s="19" t="s">
        <v>158</v>
      </c>
      <c r="E282" s="18">
        <v>44025</v>
      </c>
      <c r="F282" s="27">
        <f t="shared" ca="1" si="4"/>
        <v>448</v>
      </c>
      <c r="G282" s="34"/>
      <c r="H282" s="25"/>
      <c r="I282" s="25" t="s">
        <v>206</v>
      </c>
      <c r="J282" s="34"/>
      <c r="K282" s="22"/>
      <c r="L282" s="23">
        <v>44033</v>
      </c>
      <c r="M282" s="23"/>
      <c r="N282" s="33" t="s">
        <v>153</v>
      </c>
      <c r="O282" s="26"/>
      <c r="R282" s="20"/>
    </row>
    <row r="283" spans="2:18" ht="36" hidden="1" customHeight="1" x14ac:dyDescent="0.25">
      <c r="B283" s="28" t="s">
        <v>232</v>
      </c>
      <c r="C283" s="21" t="s">
        <v>37</v>
      </c>
      <c r="D283" s="19" t="s">
        <v>158</v>
      </c>
      <c r="E283" s="18">
        <v>44025</v>
      </c>
      <c r="F283" s="27">
        <f t="shared" ca="1" si="4"/>
        <v>448</v>
      </c>
      <c r="G283" s="34"/>
      <c r="H283" s="25"/>
      <c r="I283" s="25" t="s">
        <v>206</v>
      </c>
      <c r="J283" s="34"/>
      <c r="K283" s="22"/>
      <c r="L283" s="23">
        <v>44026</v>
      </c>
      <c r="M283" s="23"/>
      <c r="N283" s="33" t="s">
        <v>153</v>
      </c>
      <c r="O283" s="26"/>
      <c r="R283" s="20"/>
    </row>
    <row r="284" spans="2:18" ht="36" hidden="1" customHeight="1" x14ac:dyDescent="0.25">
      <c r="B284" s="28" t="s">
        <v>252</v>
      </c>
      <c r="C284" s="21" t="s">
        <v>37</v>
      </c>
      <c r="D284" s="19" t="s">
        <v>158</v>
      </c>
      <c r="E284" s="18">
        <v>44025</v>
      </c>
      <c r="F284" s="27">
        <f t="shared" ca="1" si="4"/>
        <v>448</v>
      </c>
      <c r="G284" s="34"/>
      <c r="H284" s="25"/>
      <c r="I284" s="25" t="s">
        <v>206</v>
      </c>
      <c r="J284" s="34"/>
      <c r="K284" s="22"/>
      <c r="L284" s="23">
        <v>44040</v>
      </c>
      <c r="M284" s="23"/>
      <c r="N284" s="33" t="s">
        <v>153</v>
      </c>
      <c r="O284" s="26"/>
      <c r="R284" s="20"/>
    </row>
    <row r="285" spans="2:18" ht="36" hidden="1" customHeight="1" x14ac:dyDescent="0.25">
      <c r="B285" s="28" t="s">
        <v>236</v>
      </c>
      <c r="C285" s="24" t="s">
        <v>31</v>
      </c>
      <c r="D285" s="19" t="s">
        <v>492</v>
      </c>
      <c r="E285" s="18">
        <v>44026</v>
      </c>
      <c r="F285" s="27">
        <f t="shared" ca="1" si="4"/>
        <v>447</v>
      </c>
      <c r="G285" s="34"/>
      <c r="H285" s="25"/>
      <c r="I285" s="25"/>
      <c r="J285" s="34"/>
      <c r="K285" s="22"/>
      <c r="L285" s="23">
        <v>44026</v>
      </c>
      <c r="M285" s="23"/>
      <c r="N285" s="33" t="s">
        <v>153</v>
      </c>
      <c r="O285" s="26" t="s">
        <v>494</v>
      </c>
      <c r="R285" s="20"/>
    </row>
    <row r="286" spans="2:18" ht="36" hidden="1" customHeight="1" x14ac:dyDescent="0.25">
      <c r="B286" s="28" t="s">
        <v>234</v>
      </c>
      <c r="C286" s="24" t="s">
        <v>37</v>
      </c>
      <c r="D286" s="19" t="s">
        <v>461</v>
      </c>
      <c r="E286" s="18">
        <v>44026</v>
      </c>
      <c r="F286" s="27">
        <f t="shared" ca="1" si="4"/>
        <v>447</v>
      </c>
      <c r="G286" s="34"/>
      <c r="H286" s="25"/>
      <c r="I286" s="25" t="s">
        <v>206</v>
      </c>
      <c r="J286" s="34"/>
      <c r="K286" s="22"/>
      <c r="L286" s="23">
        <v>44028</v>
      </c>
      <c r="M286" s="23"/>
      <c r="N286" s="33" t="s">
        <v>153</v>
      </c>
      <c r="O286" s="26"/>
      <c r="R286" s="20"/>
    </row>
    <row r="287" spans="2:18" ht="36" hidden="1" customHeight="1" x14ac:dyDescent="0.25">
      <c r="B287" s="28" t="s">
        <v>227</v>
      </c>
      <c r="C287" s="24" t="s">
        <v>31</v>
      </c>
      <c r="D287" s="19" t="s">
        <v>493</v>
      </c>
      <c r="E287" s="18">
        <v>44026</v>
      </c>
      <c r="F287" s="27">
        <f t="shared" ca="1" si="4"/>
        <v>447</v>
      </c>
      <c r="G287" s="34"/>
      <c r="H287" s="25"/>
      <c r="I287" s="25" t="s">
        <v>206</v>
      </c>
      <c r="J287" s="34"/>
      <c r="K287" s="22"/>
      <c r="L287" s="23">
        <v>44037</v>
      </c>
      <c r="M287" s="23"/>
      <c r="N287" s="33" t="s">
        <v>537</v>
      </c>
      <c r="O287" s="26" t="s">
        <v>513</v>
      </c>
      <c r="R287" s="20"/>
    </row>
    <row r="288" spans="2:18" ht="36" hidden="1" customHeight="1" x14ac:dyDescent="0.25">
      <c r="B288" s="28" t="s">
        <v>370</v>
      </c>
      <c r="C288" s="24" t="s">
        <v>31</v>
      </c>
      <c r="D288" s="19" t="s">
        <v>499</v>
      </c>
      <c r="E288" s="18">
        <v>44027</v>
      </c>
      <c r="F288" s="27">
        <f t="shared" ca="1" si="4"/>
        <v>446</v>
      </c>
      <c r="G288" s="34"/>
      <c r="H288" s="25"/>
      <c r="I288" s="25"/>
      <c r="J288" s="34"/>
      <c r="K288" s="22"/>
      <c r="L288" s="23">
        <v>44034</v>
      </c>
      <c r="M288" s="23"/>
      <c r="N288" s="33" t="s">
        <v>519</v>
      </c>
      <c r="O288" s="26" t="s">
        <v>520</v>
      </c>
      <c r="R288" s="20"/>
    </row>
    <row r="289" spans="2:18" ht="36" hidden="1" customHeight="1" x14ac:dyDescent="0.25">
      <c r="B289" s="28" t="s">
        <v>339</v>
      </c>
      <c r="C289" s="21" t="s">
        <v>37</v>
      </c>
      <c r="D289" s="26" t="s">
        <v>511</v>
      </c>
      <c r="E289" s="18">
        <v>44027</v>
      </c>
      <c r="F289" s="27">
        <f t="shared" ca="1" si="4"/>
        <v>446</v>
      </c>
      <c r="G289" s="34"/>
      <c r="H289" s="25"/>
      <c r="I289" s="25" t="s">
        <v>206</v>
      </c>
      <c r="J289" s="34"/>
      <c r="K289" s="22"/>
      <c r="L289" s="23">
        <v>44033</v>
      </c>
      <c r="M289" s="23"/>
      <c r="N289" s="33" t="s">
        <v>153</v>
      </c>
      <c r="O289" s="26"/>
      <c r="R289" s="20"/>
    </row>
    <row r="290" spans="2:18" ht="36" hidden="1" customHeight="1" x14ac:dyDescent="0.25">
      <c r="B290" s="28" t="s">
        <v>239</v>
      </c>
      <c r="C290" s="24" t="s">
        <v>23</v>
      </c>
      <c r="D290" s="19" t="s">
        <v>504</v>
      </c>
      <c r="E290" s="18">
        <v>44028</v>
      </c>
      <c r="F290" s="27">
        <f t="shared" ca="1" si="4"/>
        <v>445</v>
      </c>
      <c r="G290" s="34"/>
      <c r="H290" s="25"/>
      <c r="I290" s="25" t="s">
        <v>206</v>
      </c>
      <c r="J290" s="34"/>
      <c r="K290" s="22"/>
      <c r="L290" s="23">
        <v>44029</v>
      </c>
      <c r="M290" s="23"/>
      <c r="N290" s="33" t="s">
        <v>153</v>
      </c>
      <c r="O290" s="26" t="s">
        <v>496</v>
      </c>
      <c r="R290" s="20"/>
    </row>
    <row r="291" spans="2:18" ht="36" hidden="1" customHeight="1" x14ac:dyDescent="0.25">
      <c r="B291" s="28" t="s">
        <v>239</v>
      </c>
      <c r="C291" s="24" t="s">
        <v>31</v>
      </c>
      <c r="D291" s="19" t="s">
        <v>500</v>
      </c>
      <c r="E291" s="18">
        <v>44028</v>
      </c>
      <c r="F291" s="27">
        <f t="shared" ca="1" si="4"/>
        <v>445</v>
      </c>
      <c r="G291" s="34"/>
      <c r="H291" s="25"/>
      <c r="I291" s="25" t="s">
        <v>278</v>
      </c>
      <c r="J291" s="34"/>
      <c r="K291" s="22"/>
      <c r="L291" s="23">
        <v>44029</v>
      </c>
      <c r="M291" s="23"/>
      <c r="N291" s="33" t="s">
        <v>153</v>
      </c>
      <c r="O291" s="26" t="s">
        <v>510</v>
      </c>
      <c r="R291" s="20"/>
    </row>
    <row r="292" spans="2:18" ht="36" hidden="1" customHeight="1" x14ac:dyDescent="0.25">
      <c r="B292" s="28" t="s">
        <v>273</v>
      </c>
      <c r="C292" s="24" t="s">
        <v>19</v>
      </c>
      <c r="D292" s="19" t="s">
        <v>503</v>
      </c>
      <c r="E292" s="18">
        <v>44028</v>
      </c>
      <c r="F292" s="27">
        <f t="shared" ca="1" si="4"/>
        <v>445</v>
      </c>
      <c r="G292" s="34"/>
      <c r="H292" s="25"/>
      <c r="I292" s="25" t="s">
        <v>278</v>
      </c>
      <c r="J292" s="34"/>
      <c r="K292" s="22"/>
      <c r="L292" s="23">
        <v>44032</v>
      </c>
      <c r="M292" s="23"/>
      <c r="N292" s="33" t="s">
        <v>153</v>
      </c>
      <c r="O292" s="26" t="s">
        <v>512</v>
      </c>
      <c r="R292" s="20"/>
    </row>
    <row r="293" spans="2:18" ht="36" hidden="1" customHeight="1" x14ac:dyDescent="0.25">
      <c r="B293" s="28" t="s">
        <v>245</v>
      </c>
      <c r="C293" s="24" t="s">
        <v>40</v>
      </c>
      <c r="D293" s="19" t="s">
        <v>501</v>
      </c>
      <c r="E293" s="18">
        <v>44028</v>
      </c>
      <c r="F293" s="27">
        <f t="shared" ca="1" si="4"/>
        <v>445</v>
      </c>
      <c r="G293" s="34"/>
      <c r="H293" s="25"/>
      <c r="I293" s="25" t="s">
        <v>206</v>
      </c>
      <c r="J293" s="34"/>
      <c r="K293" s="22"/>
      <c r="L293" s="23">
        <v>44040</v>
      </c>
      <c r="M293" s="23"/>
      <c r="N293" s="33" t="s">
        <v>533</v>
      </c>
      <c r="O293" s="26" t="s">
        <v>540</v>
      </c>
      <c r="R293" s="20"/>
    </row>
    <row r="294" spans="2:18" ht="36" hidden="1" customHeight="1" x14ac:dyDescent="0.25">
      <c r="B294" s="36" t="s">
        <v>246</v>
      </c>
      <c r="C294" s="37" t="s">
        <v>31</v>
      </c>
      <c r="D294" s="38" t="s">
        <v>502</v>
      </c>
      <c r="E294" s="40">
        <v>44028</v>
      </c>
      <c r="F294" s="27">
        <f t="shared" ca="1" si="4"/>
        <v>445</v>
      </c>
      <c r="G294" s="34"/>
      <c r="H294" s="25"/>
      <c r="I294" s="25" t="s">
        <v>278</v>
      </c>
      <c r="J294" s="34"/>
      <c r="K294" s="22"/>
      <c r="L294" s="23">
        <v>44035</v>
      </c>
      <c r="M294" s="23"/>
      <c r="N294" s="33" t="s">
        <v>153</v>
      </c>
      <c r="O294" s="26" t="s">
        <v>528</v>
      </c>
      <c r="R294" s="20"/>
    </row>
    <row r="295" spans="2:18" ht="36" customHeight="1" x14ac:dyDescent="0.25">
      <c r="B295" s="36" t="s">
        <v>256</v>
      </c>
      <c r="C295" s="39" t="s">
        <v>11</v>
      </c>
      <c r="D295" s="38" t="s">
        <v>574</v>
      </c>
      <c r="E295" s="40">
        <v>44029</v>
      </c>
      <c r="F295" s="27">
        <f t="shared" ca="1" si="4"/>
        <v>444</v>
      </c>
      <c r="G295" s="68"/>
      <c r="H295" s="25"/>
      <c r="I295" s="62" t="s">
        <v>206</v>
      </c>
      <c r="J295" s="68"/>
      <c r="K295" s="22"/>
      <c r="L295" s="23"/>
      <c r="M295" s="23"/>
      <c r="N295" s="33"/>
      <c r="O295" s="26" t="s">
        <v>575</v>
      </c>
      <c r="R295" s="20"/>
    </row>
    <row r="296" spans="2:18" ht="36" customHeight="1" x14ac:dyDescent="0.25">
      <c r="B296" s="36" t="s">
        <v>217</v>
      </c>
      <c r="C296" s="37" t="s">
        <v>11</v>
      </c>
      <c r="D296" s="38" t="s">
        <v>574</v>
      </c>
      <c r="E296" s="40">
        <v>44029</v>
      </c>
      <c r="F296" s="27">
        <f t="shared" ca="1" si="4"/>
        <v>444</v>
      </c>
      <c r="G296" s="68"/>
      <c r="H296" s="25"/>
      <c r="I296" s="62" t="s">
        <v>206</v>
      </c>
      <c r="J296" s="68"/>
      <c r="K296" s="22"/>
      <c r="L296" s="23"/>
      <c r="M296" s="23"/>
      <c r="N296" s="33"/>
      <c r="O296" s="26" t="s">
        <v>575</v>
      </c>
      <c r="R296" s="20"/>
    </row>
    <row r="297" spans="2:18" ht="36" hidden="1" customHeight="1" x14ac:dyDescent="0.25">
      <c r="B297" s="28" t="s">
        <v>242</v>
      </c>
      <c r="C297" s="24" t="s">
        <v>23</v>
      </c>
      <c r="D297" s="19" t="s">
        <v>509</v>
      </c>
      <c r="E297" s="18">
        <v>44032</v>
      </c>
      <c r="F297" s="27">
        <f t="shared" ca="1" si="4"/>
        <v>441</v>
      </c>
      <c r="G297" s="34"/>
      <c r="H297" s="25"/>
      <c r="I297" s="25" t="s">
        <v>206</v>
      </c>
      <c r="J297" s="34"/>
      <c r="K297" s="22"/>
      <c r="L297" s="23">
        <v>44032</v>
      </c>
      <c r="M297" s="23"/>
      <c r="N297" s="33" t="s">
        <v>153</v>
      </c>
      <c r="O297" s="26" t="s">
        <v>55</v>
      </c>
      <c r="R297" s="20"/>
    </row>
    <row r="298" spans="2:18" ht="36" hidden="1" customHeight="1" x14ac:dyDescent="0.25">
      <c r="B298" s="28" t="s">
        <v>244</v>
      </c>
      <c r="C298" s="21" t="s">
        <v>35</v>
      </c>
      <c r="D298" s="19" t="s">
        <v>568</v>
      </c>
      <c r="E298" s="18">
        <v>44032</v>
      </c>
      <c r="F298" s="27">
        <f t="shared" ca="1" si="4"/>
        <v>441</v>
      </c>
      <c r="G298" s="68"/>
      <c r="H298" s="25"/>
      <c r="I298" s="62" t="s">
        <v>206</v>
      </c>
      <c r="J298" s="68"/>
      <c r="K298" s="22"/>
      <c r="L298" s="23">
        <v>44082</v>
      </c>
      <c r="M298" s="23"/>
      <c r="N298" s="33"/>
      <c r="O298" s="26" t="s">
        <v>4531</v>
      </c>
      <c r="R298" s="20"/>
    </row>
    <row r="299" spans="2:18" ht="36" hidden="1" customHeight="1" x14ac:dyDescent="0.25">
      <c r="B299" s="28" t="s">
        <v>266</v>
      </c>
      <c r="C299" s="24" t="s">
        <v>31</v>
      </c>
      <c r="D299" s="19" t="s">
        <v>507</v>
      </c>
      <c r="E299" s="18">
        <v>44032</v>
      </c>
      <c r="F299" s="27">
        <f t="shared" ca="1" si="4"/>
        <v>441</v>
      </c>
      <c r="G299" s="34"/>
      <c r="H299" s="25"/>
      <c r="I299" s="25" t="s">
        <v>278</v>
      </c>
      <c r="J299" s="34"/>
      <c r="K299" s="22"/>
      <c r="L299" s="23">
        <v>44032</v>
      </c>
      <c r="M299" s="23"/>
      <c r="N299" s="33" t="s">
        <v>153</v>
      </c>
      <c r="O299" s="26" t="s">
        <v>508</v>
      </c>
      <c r="R299" s="20"/>
    </row>
    <row r="300" spans="2:18" ht="36" hidden="1" customHeight="1" x14ac:dyDescent="0.25">
      <c r="B300" s="28" t="s">
        <v>308</v>
      </c>
      <c r="C300" s="24" t="s">
        <v>23</v>
      </c>
      <c r="D300" s="26" t="s">
        <v>514</v>
      </c>
      <c r="E300" s="18">
        <v>44033</v>
      </c>
      <c r="F300" s="27">
        <f t="shared" ca="1" si="4"/>
        <v>440</v>
      </c>
      <c r="G300" s="34"/>
      <c r="H300" s="25"/>
      <c r="I300" s="25" t="s">
        <v>206</v>
      </c>
      <c r="J300" s="34"/>
      <c r="K300" s="22"/>
      <c r="L300" s="23">
        <v>44037</v>
      </c>
      <c r="M300" s="23"/>
      <c r="N300" s="33" t="s">
        <v>153</v>
      </c>
      <c r="O300" s="26" t="s">
        <v>534</v>
      </c>
      <c r="R300" s="20"/>
    </row>
    <row r="301" spans="2:18" ht="36" hidden="1" customHeight="1" x14ac:dyDescent="0.25">
      <c r="B301" s="28" t="s">
        <v>249</v>
      </c>
      <c r="C301" s="21" t="s">
        <v>37</v>
      </c>
      <c r="D301" s="19" t="s">
        <v>461</v>
      </c>
      <c r="E301" s="18">
        <v>44033</v>
      </c>
      <c r="F301" s="27">
        <f t="shared" ca="1" si="4"/>
        <v>440</v>
      </c>
      <c r="G301" s="34"/>
      <c r="H301" s="25"/>
      <c r="I301" s="25" t="s">
        <v>206</v>
      </c>
      <c r="J301" s="34"/>
      <c r="K301" s="22"/>
      <c r="L301" s="23">
        <v>44041</v>
      </c>
      <c r="M301" s="23"/>
      <c r="N301" s="33" t="s">
        <v>153</v>
      </c>
      <c r="O301" s="26"/>
      <c r="R301" s="20"/>
    </row>
    <row r="302" spans="2:18" ht="36" hidden="1" customHeight="1" x14ac:dyDescent="0.25">
      <c r="B302" s="28" t="s">
        <v>389</v>
      </c>
      <c r="C302" s="24" t="s">
        <v>31</v>
      </c>
      <c r="D302" s="19" t="s">
        <v>518</v>
      </c>
      <c r="E302" s="18">
        <v>44033</v>
      </c>
      <c r="F302" s="27">
        <f t="shared" ca="1" si="4"/>
        <v>440</v>
      </c>
      <c r="G302" s="34"/>
      <c r="H302" s="25"/>
      <c r="I302" s="25"/>
      <c r="J302" s="34"/>
      <c r="K302" s="22"/>
      <c r="L302" s="23">
        <v>44033</v>
      </c>
      <c r="M302" s="23"/>
      <c r="N302" s="33" t="s">
        <v>153</v>
      </c>
      <c r="O302" s="26" t="s">
        <v>476</v>
      </c>
      <c r="R302" s="20"/>
    </row>
    <row r="303" spans="2:18" ht="36" hidden="1" customHeight="1" x14ac:dyDescent="0.25">
      <c r="B303" s="28" t="s">
        <v>232</v>
      </c>
      <c r="C303" s="24" t="s">
        <v>37</v>
      </c>
      <c r="D303" s="19" t="s">
        <v>516</v>
      </c>
      <c r="E303" s="18">
        <v>44033</v>
      </c>
      <c r="F303" s="27">
        <f t="shared" ca="1" si="4"/>
        <v>440</v>
      </c>
      <c r="G303" s="34"/>
      <c r="H303" s="25"/>
      <c r="I303" s="25" t="s">
        <v>206</v>
      </c>
      <c r="J303" s="34"/>
      <c r="K303" s="22"/>
      <c r="L303" s="23">
        <v>44033</v>
      </c>
      <c r="M303" s="23"/>
      <c r="N303" s="33" t="s">
        <v>153</v>
      </c>
      <c r="O303" s="26"/>
      <c r="R303" s="20"/>
    </row>
    <row r="304" spans="2:18" ht="36" hidden="1" customHeight="1" x14ac:dyDescent="0.25">
      <c r="B304" s="28" t="s">
        <v>261</v>
      </c>
      <c r="C304" s="24" t="s">
        <v>37</v>
      </c>
      <c r="D304" s="19" t="s">
        <v>461</v>
      </c>
      <c r="E304" s="18">
        <v>44033</v>
      </c>
      <c r="F304" s="27">
        <f t="shared" ca="1" si="4"/>
        <v>440</v>
      </c>
      <c r="G304" s="34"/>
      <c r="H304" s="25"/>
      <c r="I304" s="25" t="s">
        <v>206</v>
      </c>
      <c r="J304" s="34"/>
      <c r="K304" s="22"/>
      <c r="L304" s="23">
        <v>44040</v>
      </c>
      <c r="M304" s="23"/>
      <c r="N304" s="33" t="s">
        <v>153</v>
      </c>
      <c r="O304" s="26"/>
      <c r="R304" s="20"/>
    </row>
    <row r="305" spans="2:18" ht="36" hidden="1" customHeight="1" x14ac:dyDescent="0.25">
      <c r="B305" s="28" t="s">
        <v>239</v>
      </c>
      <c r="C305" s="24" t="s">
        <v>11</v>
      </c>
      <c r="D305" s="19" t="s">
        <v>527</v>
      </c>
      <c r="E305" s="18">
        <v>44035</v>
      </c>
      <c r="F305" s="27">
        <f t="shared" ca="1" si="4"/>
        <v>438</v>
      </c>
      <c r="G305" s="34"/>
      <c r="H305" s="25"/>
      <c r="I305" s="25" t="s">
        <v>206</v>
      </c>
      <c r="J305" s="34"/>
      <c r="K305" s="22"/>
      <c r="L305" s="23">
        <v>44037</v>
      </c>
      <c r="M305" s="23"/>
      <c r="N305" s="33" t="s">
        <v>533</v>
      </c>
      <c r="O305" s="26" t="s">
        <v>546</v>
      </c>
      <c r="R305" s="20"/>
    </row>
    <row r="306" spans="2:18" ht="36" hidden="1" customHeight="1" x14ac:dyDescent="0.25">
      <c r="B306" s="28" t="s">
        <v>250</v>
      </c>
      <c r="C306" s="24" t="s">
        <v>31</v>
      </c>
      <c r="D306" s="19" t="s">
        <v>521</v>
      </c>
      <c r="E306" s="18">
        <v>44035</v>
      </c>
      <c r="F306" s="27">
        <f t="shared" ca="1" si="4"/>
        <v>438</v>
      </c>
      <c r="G306" s="34"/>
      <c r="H306" s="25"/>
      <c r="I306" s="25" t="s">
        <v>278</v>
      </c>
      <c r="J306" s="34"/>
      <c r="K306" s="22"/>
      <c r="L306" s="23">
        <v>44035</v>
      </c>
      <c r="M306" s="23"/>
      <c r="N306" s="33" t="s">
        <v>153</v>
      </c>
      <c r="O306" s="26" t="s">
        <v>529</v>
      </c>
      <c r="R306" s="20"/>
    </row>
    <row r="307" spans="2:18" ht="36" hidden="1" customHeight="1" x14ac:dyDescent="0.25">
      <c r="B307" s="28" t="s">
        <v>239</v>
      </c>
      <c r="C307" s="24" t="s">
        <v>31</v>
      </c>
      <c r="D307" s="19" t="s">
        <v>522</v>
      </c>
      <c r="E307" s="18">
        <v>44036</v>
      </c>
      <c r="F307" s="27">
        <f t="shared" ca="1" si="4"/>
        <v>437</v>
      </c>
      <c r="G307" s="34"/>
      <c r="H307" s="25"/>
      <c r="I307" s="25" t="s">
        <v>206</v>
      </c>
      <c r="J307" s="34"/>
      <c r="K307" s="22"/>
      <c r="L307" s="23">
        <v>44037</v>
      </c>
      <c r="M307" s="23"/>
      <c r="N307" s="33" t="s">
        <v>153</v>
      </c>
      <c r="O307" s="26" t="s">
        <v>476</v>
      </c>
      <c r="R307" s="20"/>
    </row>
    <row r="308" spans="2:18" ht="36" hidden="1" customHeight="1" x14ac:dyDescent="0.25">
      <c r="B308" s="28" t="s">
        <v>239</v>
      </c>
      <c r="C308" s="24" t="s">
        <v>12</v>
      </c>
      <c r="D308" s="26" t="s">
        <v>523</v>
      </c>
      <c r="E308" s="18">
        <v>44036</v>
      </c>
      <c r="F308" s="27">
        <f t="shared" ca="1" si="4"/>
        <v>437</v>
      </c>
      <c r="G308" s="34"/>
      <c r="H308" s="25"/>
      <c r="I308" s="25" t="s">
        <v>278</v>
      </c>
      <c r="J308" s="34"/>
      <c r="K308" s="22"/>
      <c r="L308" s="23">
        <v>44037</v>
      </c>
      <c r="M308" s="23"/>
      <c r="N308" s="33" t="s">
        <v>153</v>
      </c>
      <c r="O308" s="26" t="s">
        <v>300</v>
      </c>
      <c r="R308" s="20"/>
    </row>
    <row r="309" spans="2:18" ht="36" hidden="1" customHeight="1" x14ac:dyDescent="0.25">
      <c r="B309" s="28" t="s">
        <v>229</v>
      </c>
      <c r="C309" s="24" t="s">
        <v>31</v>
      </c>
      <c r="D309" s="19" t="s">
        <v>530</v>
      </c>
      <c r="E309" s="18">
        <v>44036</v>
      </c>
      <c r="F309" s="27">
        <f t="shared" ca="1" si="4"/>
        <v>437</v>
      </c>
      <c r="G309" s="34"/>
      <c r="H309" s="25"/>
      <c r="I309" s="25" t="s">
        <v>206</v>
      </c>
      <c r="J309" s="34"/>
      <c r="K309" s="22"/>
      <c r="L309" s="23">
        <v>44040</v>
      </c>
      <c r="M309" s="23"/>
      <c r="N309" s="33" t="s">
        <v>153</v>
      </c>
      <c r="O309" s="26" t="s">
        <v>539</v>
      </c>
      <c r="R309" s="20"/>
    </row>
    <row r="310" spans="2:18" ht="36" hidden="1" customHeight="1" x14ac:dyDescent="0.25">
      <c r="B310" s="28" t="s">
        <v>232</v>
      </c>
      <c r="C310" s="21" t="s">
        <v>23</v>
      </c>
      <c r="D310" s="19" t="s">
        <v>524</v>
      </c>
      <c r="E310" s="18">
        <v>44036</v>
      </c>
      <c r="F310" s="27">
        <f t="shared" ca="1" si="4"/>
        <v>437</v>
      </c>
      <c r="G310" s="34"/>
      <c r="H310" s="25"/>
      <c r="I310" s="25" t="s">
        <v>206</v>
      </c>
      <c r="J310" s="34"/>
      <c r="K310" s="22"/>
      <c r="L310" s="23">
        <v>44037</v>
      </c>
      <c r="M310" s="23"/>
      <c r="N310" s="33" t="s">
        <v>153</v>
      </c>
      <c r="O310" s="26" t="s">
        <v>55</v>
      </c>
      <c r="R310" s="20"/>
    </row>
    <row r="311" spans="2:18" ht="36" hidden="1" customHeight="1" x14ac:dyDescent="0.25">
      <c r="B311" s="28" t="s">
        <v>266</v>
      </c>
      <c r="C311" s="24" t="s">
        <v>23</v>
      </c>
      <c r="D311" s="19" t="s">
        <v>525</v>
      </c>
      <c r="E311" s="18">
        <v>44036</v>
      </c>
      <c r="F311" s="27">
        <f t="shared" ca="1" si="4"/>
        <v>437</v>
      </c>
      <c r="G311" s="34"/>
      <c r="H311" s="25"/>
      <c r="I311" s="25" t="s">
        <v>206</v>
      </c>
      <c r="J311" s="34"/>
      <c r="K311" s="22"/>
      <c r="L311" s="23">
        <v>44037</v>
      </c>
      <c r="M311" s="23"/>
      <c r="N311" s="33" t="s">
        <v>153</v>
      </c>
      <c r="O311" s="26" t="s">
        <v>531</v>
      </c>
      <c r="R311" s="20"/>
    </row>
    <row r="312" spans="2:18" ht="36" hidden="1" customHeight="1" x14ac:dyDescent="0.25">
      <c r="B312" s="28" t="s">
        <v>266</v>
      </c>
      <c r="C312" s="24" t="s">
        <v>11</v>
      </c>
      <c r="D312" s="19" t="s">
        <v>526</v>
      </c>
      <c r="E312" s="18">
        <v>44036</v>
      </c>
      <c r="F312" s="27">
        <f t="shared" ca="1" si="4"/>
        <v>437</v>
      </c>
      <c r="G312" s="34"/>
      <c r="H312" s="25"/>
      <c r="I312" s="25" t="s">
        <v>206</v>
      </c>
      <c r="J312" s="34"/>
      <c r="K312" s="22"/>
      <c r="L312" s="23">
        <v>44037</v>
      </c>
      <c r="M312" s="23"/>
      <c r="N312" s="33" t="s">
        <v>153</v>
      </c>
      <c r="O312" s="26" t="s">
        <v>532</v>
      </c>
      <c r="R312" s="20"/>
    </row>
    <row r="313" spans="2:18" ht="36" hidden="1" customHeight="1" x14ac:dyDescent="0.25">
      <c r="B313" s="28" t="s">
        <v>333</v>
      </c>
      <c r="C313" s="24" t="s">
        <v>16</v>
      </c>
      <c r="D313" s="19" t="s">
        <v>129</v>
      </c>
      <c r="E313" s="18">
        <v>44039</v>
      </c>
      <c r="F313" s="27">
        <f t="shared" ca="1" si="4"/>
        <v>434</v>
      </c>
      <c r="G313" s="34"/>
      <c r="H313" s="25"/>
      <c r="I313" s="25" t="s">
        <v>206</v>
      </c>
      <c r="J313" s="34"/>
      <c r="K313" s="22"/>
      <c r="L313" s="23">
        <v>44040</v>
      </c>
      <c r="M313" s="23"/>
      <c r="N313" s="33" t="s">
        <v>153</v>
      </c>
      <c r="O313" s="26" t="s">
        <v>130</v>
      </c>
      <c r="R313" s="20"/>
    </row>
    <row r="314" spans="2:18" ht="36" hidden="1" customHeight="1" x14ac:dyDescent="0.25">
      <c r="B314" s="28" t="s">
        <v>238</v>
      </c>
      <c r="C314" s="24" t="s">
        <v>11</v>
      </c>
      <c r="D314" s="19" t="s">
        <v>535</v>
      </c>
      <c r="E314" s="18">
        <v>44040</v>
      </c>
      <c r="F314" s="27">
        <f t="shared" ca="1" si="4"/>
        <v>433</v>
      </c>
      <c r="G314" s="34"/>
      <c r="H314" s="25"/>
      <c r="I314" s="25" t="s">
        <v>206</v>
      </c>
      <c r="J314" s="34"/>
      <c r="K314" s="22"/>
      <c r="L314" s="23">
        <v>44040</v>
      </c>
      <c r="M314" s="23"/>
      <c r="N314" s="33" t="s">
        <v>153</v>
      </c>
      <c r="O314" s="26" t="s">
        <v>538</v>
      </c>
      <c r="R314" s="20"/>
    </row>
    <row r="315" spans="2:18" ht="36" hidden="1" customHeight="1" x14ac:dyDescent="0.25">
      <c r="B315" s="28" t="s">
        <v>250</v>
      </c>
      <c r="C315" s="24" t="s">
        <v>31</v>
      </c>
      <c r="D315" s="19" t="s">
        <v>536</v>
      </c>
      <c r="E315" s="18">
        <v>44040</v>
      </c>
      <c r="F315" s="27">
        <f t="shared" ca="1" si="4"/>
        <v>433</v>
      </c>
      <c r="G315" s="34"/>
      <c r="H315" s="25"/>
      <c r="I315" s="25" t="s">
        <v>278</v>
      </c>
      <c r="J315" s="34"/>
      <c r="K315" s="22"/>
      <c r="L315" s="23">
        <v>44041</v>
      </c>
      <c r="M315" s="23"/>
      <c r="N315" s="33" t="s">
        <v>153</v>
      </c>
      <c r="O315" s="26" t="s">
        <v>549</v>
      </c>
      <c r="R315" s="20"/>
    </row>
    <row r="316" spans="2:18" ht="36" hidden="1" customHeight="1" x14ac:dyDescent="0.25">
      <c r="B316" s="28" t="s">
        <v>234</v>
      </c>
      <c r="C316" s="24" t="s">
        <v>11</v>
      </c>
      <c r="D316" s="19" t="s">
        <v>542</v>
      </c>
      <c r="E316" s="18">
        <v>44041</v>
      </c>
      <c r="F316" s="27">
        <f t="shared" ca="1" si="4"/>
        <v>432</v>
      </c>
      <c r="G316" s="34"/>
      <c r="H316" s="25"/>
      <c r="I316" s="25" t="s">
        <v>206</v>
      </c>
      <c r="J316" s="34"/>
      <c r="K316" s="22"/>
      <c r="L316" s="23">
        <v>44044</v>
      </c>
      <c r="M316" s="23"/>
      <c r="N316" s="33" t="s">
        <v>153</v>
      </c>
      <c r="O316" s="26" t="s">
        <v>556</v>
      </c>
      <c r="R316" s="20"/>
    </row>
    <row r="317" spans="2:18" ht="36" hidden="1" customHeight="1" x14ac:dyDescent="0.25">
      <c r="B317" s="28" t="s">
        <v>234</v>
      </c>
      <c r="C317" s="24" t="s">
        <v>40</v>
      </c>
      <c r="D317" s="19" t="s">
        <v>543</v>
      </c>
      <c r="E317" s="18">
        <v>44041</v>
      </c>
      <c r="F317" s="27">
        <f t="shared" ca="1" si="4"/>
        <v>432</v>
      </c>
      <c r="G317" s="34"/>
      <c r="H317" s="25"/>
      <c r="I317" s="25" t="s">
        <v>206</v>
      </c>
      <c r="J317" s="34"/>
      <c r="K317" s="22"/>
      <c r="L317" s="23">
        <v>44044</v>
      </c>
      <c r="M317" s="23"/>
      <c r="N317" s="33" t="s">
        <v>153</v>
      </c>
      <c r="O317" s="126" t="s">
        <v>558</v>
      </c>
      <c r="R317" s="20"/>
    </row>
    <row r="318" spans="2:18" ht="36" hidden="1" customHeight="1" x14ac:dyDescent="0.25">
      <c r="B318" s="28" t="s">
        <v>234</v>
      </c>
      <c r="C318" s="21" t="s">
        <v>11</v>
      </c>
      <c r="D318" s="19" t="s">
        <v>544</v>
      </c>
      <c r="E318" s="18">
        <v>44041</v>
      </c>
      <c r="F318" s="27">
        <f t="shared" ca="1" si="4"/>
        <v>432</v>
      </c>
      <c r="G318" s="34"/>
      <c r="H318" s="25"/>
      <c r="I318" s="25" t="s">
        <v>206</v>
      </c>
      <c r="J318" s="34"/>
      <c r="K318" s="22"/>
      <c r="L318" s="23">
        <v>44044</v>
      </c>
      <c r="M318" s="23"/>
      <c r="N318" s="33" t="s">
        <v>153</v>
      </c>
      <c r="O318" s="26" t="s">
        <v>559</v>
      </c>
      <c r="R318" s="20"/>
    </row>
    <row r="319" spans="2:18" ht="36" hidden="1" customHeight="1" x14ac:dyDescent="0.25">
      <c r="B319" s="28" t="s">
        <v>242</v>
      </c>
      <c r="C319" s="24" t="s">
        <v>17</v>
      </c>
      <c r="D319" s="19" t="s">
        <v>545</v>
      </c>
      <c r="E319" s="18">
        <v>44041</v>
      </c>
      <c r="F319" s="27">
        <f t="shared" ca="1" si="4"/>
        <v>432</v>
      </c>
      <c r="G319" s="34"/>
      <c r="H319" s="25"/>
      <c r="I319" s="25" t="s">
        <v>206</v>
      </c>
      <c r="J319" s="34"/>
      <c r="K319" s="22"/>
      <c r="L319" s="23">
        <v>44048</v>
      </c>
      <c r="M319" s="23"/>
      <c r="N319" s="33" t="s">
        <v>153</v>
      </c>
      <c r="O319" s="26" t="s">
        <v>557</v>
      </c>
      <c r="R319" s="20"/>
    </row>
    <row r="320" spans="2:18" ht="36" hidden="1" customHeight="1" x14ac:dyDescent="0.25">
      <c r="B320" s="23" t="s">
        <v>266</v>
      </c>
      <c r="C320" s="26" t="s">
        <v>31</v>
      </c>
      <c r="D320" s="26" t="s">
        <v>541</v>
      </c>
      <c r="E320" s="18">
        <v>44041</v>
      </c>
      <c r="F320" s="27">
        <f t="shared" ca="1" si="4"/>
        <v>432</v>
      </c>
      <c r="G320" s="34"/>
      <c r="H320" s="25"/>
      <c r="I320" s="25" t="s">
        <v>206</v>
      </c>
      <c r="J320" s="34"/>
      <c r="K320" s="22"/>
      <c r="L320" s="23">
        <v>44042</v>
      </c>
      <c r="M320" s="23"/>
      <c r="N320" s="33" t="s">
        <v>153</v>
      </c>
      <c r="O320" s="26" t="s">
        <v>555</v>
      </c>
      <c r="R320" s="20"/>
    </row>
    <row r="321" spans="1:345" ht="36" hidden="1" customHeight="1" x14ac:dyDescent="0.25">
      <c r="B321" s="28" t="s">
        <v>275</v>
      </c>
      <c r="C321" s="24" t="s">
        <v>19</v>
      </c>
      <c r="D321" s="19" t="s">
        <v>547</v>
      </c>
      <c r="E321" s="18">
        <v>44042</v>
      </c>
      <c r="F321" s="27">
        <f t="shared" ca="1" si="4"/>
        <v>431</v>
      </c>
      <c r="G321" s="34"/>
      <c r="H321" s="25"/>
      <c r="I321" s="25" t="s">
        <v>206</v>
      </c>
      <c r="J321" s="34"/>
      <c r="K321" s="22"/>
      <c r="L321" s="23">
        <v>44044</v>
      </c>
      <c r="M321" s="23"/>
      <c r="N321" s="33" t="s">
        <v>153</v>
      </c>
      <c r="O321" s="26"/>
      <c r="R321" s="20"/>
    </row>
    <row r="322" spans="1:345" s="67" customFormat="1" ht="36" hidden="1" customHeight="1" x14ac:dyDescent="0.25">
      <c r="B322" s="28" t="s">
        <v>232</v>
      </c>
      <c r="C322" s="24" t="s">
        <v>31</v>
      </c>
      <c r="D322" s="19" t="s">
        <v>548</v>
      </c>
      <c r="E322" s="18">
        <v>44042</v>
      </c>
      <c r="F322" s="27">
        <f t="shared" ca="1" si="4"/>
        <v>431</v>
      </c>
      <c r="G322" s="34"/>
      <c r="H322" s="25"/>
      <c r="I322" s="25" t="s">
        <v>206</v>
      </c>
      <c r="J322" s="34"/>
      <c r="K322" s="22"/>
      <c r="L322" s="23">
        <v>44042</v>
      </c>
      <c r="M322" s="23"/>
      <c r="N322" s="33" t="s">
        <v>153</v>
      </c>
      <c r="O322" s="26" t="s">
        <v>556</v>
      </c>
      <c r="P322" s="35"/>
      <c r="Q322" s="35"/>
      <c r="R322" s="20"/>
      <c r="S322" s="35"/>
      <c r="T322" s="35"/>
      <c r="U322" s="35"/>
      <c r="V322" s="35"/>
      <c r="W322" s="35"/>
      <c r="X322" s="35"/>
      <c r="Y322" s="35"/>
      <c r="Z322" s="35"/>
      <c r="AA322" s="35"/>
      <c r="AB322" s="35"/>
      <c r="AC322" s="35"/>
      <c r="AD322" s="35"/>
      <c r="AE322" s="35"/>
      <c r="AF322" s="35"/>
      <c r="AG322" s="35"/>
      <c r="AH322" s="35"/>
      <c r="AI322" s="35"/>
      <c r="AJ322" s="35"/>
      <c r="AK322" s="35"/>
      <c r="AL322" s="35"/>
      <c r="AM322" s="35"/>
      <c r="AN322" s="35"/>
      <c r="AO322" s="35"/>
      <c r="AP322" s="35"/>
      <c r="AQ322" s="35"/>
      <c r="AR322" s="35"/>
      <c r="AS322" s="35"/>
      <c r="AT322" s="35"/>
      <c r="AU322" s="35"/>
      <c r="AV322" s="35"/>
      <c r="AW322" s="35"/>
      <c r="AX322" s="35"/>
      <c r="AY322" s="35"/>
      <c r="AZ322" s="35"/>
      <c r="BA322" s="35"/>
      <c r="BB322" s="35"/>
      <c r="BC322" s="35"/>
      <c r="BD322" s="35"/>
      <c r="BE322" s="35"/>
      <c r="BF322" s="35"/>
      <c r="BG322" s="35"/>
      <c r="BH322" s="35"/>
      <c r="BI322" s="35"/>
      <c r="BJ322" s="35"/>
      <c r="BK322" s="35"/>
      <c r="BL322" s="35"/>
      <c r="BM322" s="35"/>
      <c r="BN322" s="35"/>
      <c r="BO322" s="35"/>
      <c r="BP322" s="35"/>
      <c r="BQ322" s="35"/>
      <c r="BR322" s="35"/>
      <c r="BS322" s="35"/>
      <c r="BT322" s="35"/>
      <c r="BU322" s="35"/>
      <c r="BV322" s="35"/>
      <c r="BW322" s="35"/>
      <c r="BX322" s="35"/>
      <c r="BY322" s="35"/>
      <c r="BZ322" s="35"/>
      <c r="CA322" s="35"/>
      <c r="CB322" s="35"/>
      <c r="CC322" s="35"/>
      <c r="CD322" s="35"/>
      <c r="CE322" s="35"/>
      <c r="CF322" s="35"/>
      <c r="CG322" s="35"/>
      <c r="CH322" s="35"/>
      <c r="CI322" s="35"/>
      <c r="CJ322" s="35"/>
      <c r="CK322" s="35"/>
      <c r="CL322" s="35"/>
      <c r="CM322" s="35"/>
      <c r="CN322" s="35"/>
      <c r="CO322" s="35"/>
      <c r="CP322" s="35"/>
      <c r="CQ322" s="35"/>
      <c r="CR322" s="35"/>
      <c r="CS322" s="35"/>
      <c r="CT322" s="35"/>
      <c r="CU322" s="35"/>
      <c r="CV322" s="35"/>
      <c r="CW322" s="35"/>
      <c r="CX322" s="35"/>
      <c r="CY322" s="35"/>
      <c r="CZ322" s="35"/>
      <c r="DA322" s="35"/>
      <c r="DB322" s="35"/>
      <c r="DC322" s="35"/>
      <c r="DD322" s="35"/>
      <c r="DE322" s="35"/>
      <c r="DF322" s="35"/>
      <c r="DG322" s="35"/>
      <c r="DH322" s="35"/>
      <c r="DI322" s="35"/>
      <c r="DJ322" s="35"/>
      <c r="DK322" s="35"/>
      <c r="DL322" s="35"/>
      <c r="DM322" s="35"/>
      <c r="DN322" s="35"/>
      <c r="DO322" s="35"/>
      <c r="DP322" s="35"/>
      <c r="DQ322" s="35"/>
      <c r="DR322" s="35"/>
      <c r="DS322" s="35"/>
      <c r="DT322" s="35"/>
      <c r="DU322" s="35"/>
      <c r="DV322" s="35"/>
      <c r="DW322" s="35"/>
      <c r="DX322" s="35"/>
      <c r="DY322" s="35"/>
      <c r="DZ322" s="35"/>
      <c r="EA322" s="35"/>
      <c r="EB322" s="35"/>
      <c r="EC322" s="35"/>
      <c r="ED322" s="35"/>
      <c r="EE322" s="35"/>
      <c r="EF322" s="35"/>
      <c r="EG322" s="35"/>
      <c r="EH322" s="35"/>
      <c r="EI322" s="35"/>
      <c r="EJ322" s="35"/>
      <c r="EK322" s="35"/>
      <c r="EL322" s="35"/>
      <c r="EM322" s="35"/>
      <c r="EN322" s="35"/>
      <c r="EO322" s="35"/>
      <c r="EP322" s="35"/>
      <c r="EQ322" s="35"/>
      <c r="ER322" s="35"/>
      <c r="ES322" s="35"/>
      <c r="ET322" s="35"/>
      <c r="EU322" s="35"/>
      <c r="EV322" s="35"/>
      <c r="EW322" s="35"/>
      <c r="EX322" s="35"/>
      <c r="EY322" s="35"/>
      <c r="EZ322" s="35"/>
      <c r="FA322" s="35"/>
      <c r="FB322" s="35"/>
      <c r="FC322" s="35"/>
      <c r="FD322" s="35"/>
      <c r="FE322" s="35"/>
      <c r="FF322" s="35"/>
      <c r="FG322" s="35"/>
      <c r="FH322" s="35"/>
      <c r="FI322" s="35"/>
      <c r="FJ322" s="35"/>
      <c r="FK322" s="35"/>
      <c r="FL322" s="35"/>
      <c r="FM322" s="35"/>
      <c r="FN322" s="35"/>
      <c r="FO322" s="35"/>
      <c r="FP322" s="35"/>
      <c r="FQ322" s="35"/>
      <c r="FR322" s="35"/>
      <c r="FS322" s="35"/>
      <c r="FT322" s="35"/>
      <c r="FU322" s="35"/>
      <c r="FV322" s="35"/>
      <c r="FW322" s="35"/>
      <c r="FX322" s="35"/>
      <c r="FY322" s="35"/>
      <c r="FZ322" s="35"/>
      <c r="GA322" s="35"/>
      <c r="GB322" s="35"/>
      <c r="GC322" s="35"/>
      <c r="GD322" s="35"/>
      <c r="GE322" s="35"/>
      <c r="GF322" s="35"/>
      <c r="GG322" s="35"/>
      <c r="GH322" s="35"/>
      <c r="GI322" s="35"/>
      <c r="GJ322" s="35"/>
      <c r="GK322" s="35"/>
      <c r="GL322" s="35"/>
      <c r="GM322" s="35"/>
      <c r="GN322" s="35"/>
      <c r="GO322" s="35"/>
      <c r="GP322" s="35"/>
      <c r="GQ322" s="35"/>
      <c r="GR322" s="35"/>
      <c r="GS322" s="35"/>
      <c r="GT322" s="35"/>
      <c r="GU322" s="35"/>
      <c r="GV322" s="35"/>
      <c r="GW322" s="35"/>
      <c r="GX322" s="35"/>
      <c r="GY322" s="35"/>
      <c r="GZ322" s="35"/>
      <c r="HA322" s="35"/>
      <c r="HB322" s="35"/>
      <c r="HC322" s="35"/>
      <c r="HD322" s="35"/>
      <c r="HE322" s="35"/>
      <c r="HF322" s="35"/>
      <c r="HG322" s="35"/>
      <c r="HH322" s="35"/>
      <c r="HI322" s="35"/>
      <c r="HJ322" s="35"/>
      <c r="HK322" s="35"/>
      <c r="HL322" s="35"/>
      <c r="HM322" s="35"/>
      <c r="HN322" s="35"/>
      <c r="HO322" s="35"/>
      <c r="HP322" s="35"/>
      <c r="HQ322" s="35"/>
      <c r="HR322" s="35"/>
      <c r="HS322" s="35"/>
      <c r="HT322" s="35"/>
      <c r="HU322" s="35"/>
      <c r="HV322" s="35"/>
      <c r="HW322" s="35"/>
      <c r="HX322" s="35"/>
      <c r="HY322" s="35"/>
      <c r="HZ322" s="35"/>
      <c r="IA322" s="35"/>
      <c r="IB322" s="35"/>
      <c r="IC322" s="35"/>
      <c r="ID322" s="35"/>
      <c r="IE322" s="35"/>
      <c r="IF322" s="35"/>
      <c r="IG322" s="35"/>
      <c r="IH322" s="35"/>
      <c r="II322" s="35"/>
      <c r="IJ322" s="35"/>
      <c r="IK322" s="35"/>
      <c r="IL322" s="35"/>
      <c r="IM322" s="35"/>
      <c r="IN322" s="35"/>
      <c r="IO322" s="35"/>
      <c r="IP322" s="35"/>
      <c r="IQ322" s="35"/>
      <c r="IR322" s="35"/>
      <c r="IS322" s="35"/>
      <c r="IT322" s="35"/>
      <c r="IU322" s="35"/>
      <c r="IV322" s="35"/>
      <c r="IW322" s="35"/>
      <c r="IX322" s="35"/>
      <c r="IY322" s="35"/>
      <c r="IZ322" s="35"/>
      <c r="JA322" s="35"/>
      <c r="JB322" s="35"/>
      <c r="JC322" s="35"/>
      <c r="JD322" s="35"/>
      <c r="JE322" s="35"/>
      <c r="JF322" s="35"/>
      <c r="JG322" s="35"/>
      <c r="JH322" s="35"/>
      <c r="JI322" s="35"/>
      <c r="JJ322" s="35"/>
      <c r="JK322" s="35"/>
      <c r="JL322" s="35"/>
      <c r="JM322" s="35"/>
      <c r="JN322" s="35"/>
      <c r="JO322" s="35"/>
      <c r="JP322" s="35"/>
      <c r="JQ322" s="35"/>
      <c r="JR322" s="35"/>
      <c r="JS322" s="35"/>
      <c r="JT322" s="35"/>
      <c r="JU322" s="35"/>
      <c r="JV322" s="35"/>
      <c r="JW322" s="35"/>
      <c r="JX322" s="35"/>
      <c r="JY322" s="35"/>
      <c r="JZ322" s="35"/>
      <c r="KA322" s="35"/>
      <c r="KB322" s="35"/>
      <c r="KC322" s="35"/>
      <c r="KD322" s="35"/>
      <c r="KE322" s="35"/>
      <c r="KF322" s="35"/>
      <c r="KG322" s="35"/>
      <c r="KH322" s="35"/>
      <c r="KI322" s="35"/>
      <c r="KJ322" s="35"/>
      <c r="KK322" s="35"/>
      <c r="KL322" s="35"/>
      <c r="KM322" s="35"/>
      <c r="KN322" s="35"/>
      <c r="KO322" s="35"/>
      <c r="KP322" s="35"/>
      <c r="KQ322" s="35"/>
      <c r="KR322" s="35"/>
      <c r="KS322" s="35"/>
      <c r="KT322" s="35"/>
      <c r="KU322" s="35"/>
      <c r="KV322" s="35"/>
      <c r="KW322" s="35"/>
      <c r="KX322" s="35"/>
      <c r="KY322" s="35"/>
      <c r="KZ322" s="35"/>
      <c r="LA322" s="35"/>
      <c r="LB322" s="35"/>
      <c r="LC322" s="35"/>
      <c r="LD322" s="35"/>
      <c r="LE322" s="35"/>
      <c r="LF322" s="35"/>
      <c r="LG322" s="35"/>
      <c r="LH322" s="35"/>
      <c r="LI322" s="35"/>
      <c r="LJ322" s="35"/>
      <c r="LK322" s="35"/>
      <c r="LL322" s="35"/>
      <c r="LM322" s="35"/>
      <c r="LN322" s="35"/>
      <c r="LO322" s="35"/>
      <c r="LP322" s="35"/>
      <c r="LQ322" s="35"/>
      <c r="LR322" s="35"/>
      <c r="LS322" s="35"/>
      <c r="LT322" s="35"/>
      <c r="LU322" s="35"/>
      <c r="LV322" s="35"/>
      <c r="LW322" s="35"/>
      <c r="LX322" s="35"/>
      <c r="LY322" s="35"/>
      <c r="LZ322" s="35"/>
      <c r="MA322" s="35"/>
      <c r="MB322" s="35"/>
      <c r="MC322" s="35"/>
      <c r="MD322" s="35"/>
      <c r="ME322" s="35"/>
      <c r="MF322" s="35"/>
      <c r="MG322" s="35"/>
    </row>
    <row r="323" spans="1:345" s="67" customFormat="1" ht="36" hidden="1" customHeight="1" x14ac:dyDescent="0.25">
      <c r="B323" s="28" t="s">
        <v>552</v>
      </c>
      <c r="C323" s="24" t="s">
        <v>40</v>
      </c>
      <c r="D323" s="54" t="s">
        <v>554</v>
      </c>
      <c r="E323" s="18">
        <v>44044</v>
      </c>
      <c r="F323" s="27">
        <f t="shared" ca="1" si="4"/>
        <v>429</v>
      </c>
      <c r="G323" s="34"/>
      <c r="H323" s="25"/>
      <c r="I323" s="25" t="s">
        <v>278</v>
      </c>
      <c r="J323" s="34"/>
      <c r="K323" s="22"/>
      <c r="L323" s="23">
        <v>44051</v>
      </c>
      <c r="M323" s="23"/>
      <c r="N323" s="33" t="s">
        <v>153</v>
      </c>
      <c r="O323" s="26"/>
      <c r="P323" s="35"/>
      <c r="Q323" s="35"/>
      <c r="R323" s="20"/>
      <c r="S323" s="35"/>
      <c r="T323" s="35"/>
      <c r="U323" s="35"/>
      <c r="V323" s="35"/>
      <c r="W323" s="35"/>
      <c r="X323" s="35"/>
      <c r="Y323" s="35"/>
      <c r="Z323" s="35"/>
      <c r="AA323" s="35"/>
      <c r="AB323" s="35"/>
      <c r="AC323" s="35"/>
      <c r="AD323" s="35"/>
      <c r="AE323" s="35"/>
      <c r="AF323" s="35"/>
      <c r="AG323" s="35"/>
      <c r="AH323" s="35"/>
      <c r="AI323" s="35"/>
      <c r="AJ323" s="35"/>
      <c r="AK323" s="35"/>
      <c r="AL323" s="35"/>
      <c r="AM323" s="35"/>
      <c r="AN323" s="35"/>
      <c r="AO323" s="35"/>
      <c r="AP323" s="35"/>
      <c r="AQ323" s="35"/>
      <c r="AR323" s="35"/>
      <c r="AS323" s="35"/>
      <c r="AT323" s="35"/>
      <c r="AU323" s="35"/>
      <c r="AV323" s="35"/>
      <c r="AW323" s="35"/>
      <c r="AX323" s="35"/>
      <c r="AY323" s="35"/>
      <c r="AZ323" s="35"/>
      <c r="BA323" s="35"/>
      <c r="BB323" s="35"/>
      <c r="BC323" s="35"/>
      <c r="BD323" s="35"/>
      <c r="BE323" s="35"/>
      <c r="BF323" s="35"/>
      <c r="BG323" s="35"/>
      <c r="BH323" s="35"/>
      <c r="BI323" s="35"/>
      <c r="BJ323" s="35"/>
      <c r="BK323" s="35"/>
      <c r="BL323" s="35"/>
      <c r="BM323" s="35"/>
      <c r="BN323" s="35"/>
      <c r="BO323" s="35"/>
      <c r="BP323" s="35"/>
      <c r="BQ323" s="35"/>
      <c r="BR323" s="35"/>
      <c r="BS323" s="35"/>
      <c r="BT323" s="35"/>
      <c r="BU323" s="35"/>
      <c r="BV323" s="35"/>
      <c r="BW323" s="35"/>
      <c r="BX323" s="35"/>
      <c r="BY323" s="35"/>
      <c r="BZ323" s="35"/>
      <c r="CA323" s="35"/>
      <c r="CB323" s="35"/>
      <c r="CC323" s="35"/>
      <c r="CD323" s="35"/>
      <c r="CE323" s="35"/>
      <c r="CF323" s="35"/>
      <c r="CG323" s="35"/>
      <c r="CH323" s="35"/>
      <c r="CI323" s="35"/>
      <c r="CJ323" s="35"/>
      <c r="CK323" s="35"/>
      <c r="CL323" s="35"/>
      <c r="CM323" s="35"/>
      <c r="CN323" s="35"/>
      <c r="CO323" s="35"/>
      <c r="CP323" s="35"/>
      <c r="CQ323" s="35"/>
      <c r="CR323" s="35"/>
      <c r="CS323" s="35"/>
      <c r="CT323" s="35"/>
      <c r="CU323" s="35"/>
      <c r="CV323" s="35"/>
      <c r="CW323" s="35"/>
      <c r="CX323" s="35"/>
      <c r="CY323" s="35"/>
      <c r="CZ323" s="35"/>
      <c r="DA323" s="35"/>
      <c r="DB323" s="35"/>
      <c r="DC323" s="35"/>
      <c r="DD323" s="35"/>
      <c r="DE323" s="35"/>
      <c r="DF323" s="35"/>
      <c r="DG323" s="35"/>
      <c r="DH323" s="35"/>
      <c r="DI323" s="35"/>
      <c r="DJ323" s="35"/>
      <c r="DK323" s="35"/>
      <c r="DL323" s="35"/>
      <c r="DM323" s="35"/>
      <c r="DN323" s="35"/>
      <c r="DO323" s="35"/>
      <c r="DP323" s="35"/>
      <c r="DQ323" s="35"/>
      <c r="DR323" s="35"/>
      <c r="DS323" s="35"/>
      <c r="DT323" s="35"/>
      <c r="DU323" s="35"/>
      <c r="DV323" s="35"/>
      <c r="DW323" s="35"/>
      <c r="DX323" s="35"/>
      <c r="DY323" s="35"/>
      <c r="DZ323" s="35"/>
      <c r="EA323" s="35"/>
      <c r="EB323" s="35"/>
      <c r="EC323" s="35"/>
      <c r="ED323" s="35"/>
      <c r="EE323" s="35"/>
      <c r="EF323" s="35"/>
      <c r="EG323" s="35"/>
      <c r="EH323" s="35"/>
      <c r="EI323" s="35"/>
      <c r="EJ323" s="35"/>
      <c r="EK323" s="35"/>
      <c r="EL323" s="35"/>
      <c r="EM323" s="35"/>
      <c r="EN323" s="35"/>
      <c r="EO323" s="35"/>
      <c r="EP323" s="35"/>
      <c r="EQ323" s="35"/>
      <c r="ER323" s="35"/>
      <c r="ES323" s="35"/>
      <c r="ET323" s="35"/>
      <c r="EU323" s="35"/>
      <c r="EV323" s="35"/>
      <c r="EW323" s="35"/>
      <c r="EX323" s="35"/>
      <c r="EY323" s="35"/>
      <c r="EZ323" s="35"/>
      <c r="FA323" s="35"/>
      <c r="FB323" s="35"/>
      <c r="FC323" s="35"/>
      <c r="FD323" s="35"/>
      <c r="FE323" s="35"/>
      <c r="FF323" s="35"/>
      <c r="FG323" s="35"/>
      <c r="FH323" s="35"/>
      <c r="FI323" s="35"/>
      <c r="FJ323" s="35"/>
      <c r="FK323" s="35"/>
      <c r="FL323" s="35"/>
      <c r="FM323" s="35"/>
      <c r="FN323" s="35"/>
      <c r="FO323" s="35"/>
      <c r="FP323" s="35"/>
      <c r="FQ323" s="35"/>
      <c r="FR323" s="35"/>
      <c r="FS323" s="35"/>
      <c r="FT323" s="35"/>
      <c r="FU323" s="35"/>
      <c r="FV323" s="35"/>
      <c r="FW323" s="35"/>
      <c r="FX323" s="35"/>
      <c r="FY323" s="35"/>
      <c r="FZ323" s="35"/>
      <c r="GA323" s="35"/>
      <c r="GB323" s="35"/>
      <c r="GC323" s="35"/>
      <c r="GD323" s="35"/>
      <c r="GE323" s="35"/>
      <c r="GF323" s="35"/>
      <c r="GG323" s="35"/>
      <c r="GH323" s="35"/>
      <c r="GI323" s="35"/>
      <c r="GJ323" s="35"/>
      <c r="GK323" s="35"/>
      <c r="GL323" s="35"/>
      <c r="GM323" s="35"/>
      <c r="GN323" s="35"/>
      <c r="GO323" s="35"/>
      <c r="GP323" s="35"/>
      <c r="GQ323" s="35"/>
      <c r="GR323" s="35"/>
      <c r="GS323" s="35"/>
      <c r="GT323" s="35"/>
      <c r="GU323" s="35"/>
      <c r="GV323" s="35"/>
      <c r="GW323" s="35"/>
      <c r="GX323" s="35"/>
      <c r="GY323" s="35"/>
      <c r="GZ323" s="35"/>
      <c r="HA323" s="35"/>
      <c r="HB323" s="35"/>
      <c r="HC323" s="35"/>
      <c r="HD323" s="35"/>
      <c r="HE323" s="35"/>
      <c r="HF323" s="35"/>
      <c r="HG323" s="35"/>
      <c r="HH323" s="35"/>
      <c r="HI323" s="35"/>
      <c r="HJ323" s="35"/>
      <c r="HK323" s="35"/>
      <c r="HL323" s="35"/>
      <c r="HM323" s="35"/>
      <c r="HN323" s="35"/>
      <c r="HO323" s="35"/>
      <c r="HP323" s="35"/>
      <c r="HQ323" s="35"/>
      <c r="HR323" s="35"/>
      <c r="HS323" s="35"/>
      <c r="HT323" s="35"/>
      <c r="HU323" s="35"/>
      <c r="HV323" s="35"/>
      <c r="HW323" s="35"/>
      <c r="HX323" s="35"/>
      <c r="HY323" s="35"/>
      <c r="HZ323" s="35"/>
      <c r="IA323" s="35"/>
      <c r="IB323" s="35"/>
      <c r="IC323" s="35"/>
      <c r="ID323" s="35"/>
      <c r="IE323" s="35"/>
      <c r="IF323" s="35"/>
      <c r="IG323" s="35"/>
      <c r="IH323" s="35"/>
      <c r="II323" s="35"/>
      <c r="IJ323" s="35"/>
      <c r="IK323" s="35"/>
      <c r="IL323" s="35"/>
      <c r="IM323" s="35"/>
      <c r="IN323" s="35"/>
      <c r="IO323" s="35"/>
      <c r="IP323" s="35"/>
      <c r="IQ323" s="35"/>
      <c r="IR323" s="35"/>
      <c r="IS323" s="35"/>
      <c r="IT323" s="35"/>
      <c r="IU323" s="35"/>
      <c r="IV323" s="35"/>
      <c r="IW323" s="35"/>
      <c r="IX323" s="35"/>
      <c r="IY323" s="35"/>
      <c r="IZ323" s="35"/>
      <c r="JA323" s="35"/>
      <c r="JB323" s="35"/>
      <c r="JC323" s="35"/>
      <c r="JD323" s="35"/>
      <c r="JE323" s="35"/>
      <c r="JF323" s="35"/>
      <c r="JG323" s="35"/>
      <c r="JH323" s="35"/>
      <c r="JI323" s="35"/>
      <c r="JJ323" s="35"/>
      <c r="JK323" s="35"/>
      <c r="JL323" s="35"/>
      <c r="JM323" s="35"/>
      <c r="JN323" s="35"/>
      <c r="JO323" s="35"/>
      <c r="JP323" s="35"/>
      <c r="JQ323" s="35"/>
      <c r="JR323" s="35"/>
      <c r="JS323" s="35"/>
      <c r="JT323" s="35"/>
      <c r="JU323" s="35"/>
      <c r="JV323" s="35"/>
      <c r="JW323" s="35"/>
      <c r="JX323" s="35"/>
      <c r="JY323" s="35"/>
      <c r="JZ323" s="35"/>
      <c r="KA323" s="35"/>
      <c r="KB323" s="35"/>
      <c r="KC323" s="35"/>
      <c r="KD323" s="35"/>
      <c r="KE323" s="35"/>
      <c r="KF323" s="35"/>
      <c r="KG323" s="35"/>
      <c r="KH323" s="35"/>
      <c r="KI323" s="35"/>
      <c r="KJ323" s="35"/>
      <c r="KK323" s="35"/>
      <c r="KL323" s="35"/>
      <c r="KM323" s="35"/>
      <c r="KN323" s="35"/>
      <c r="KO323" s="35"/>
      <c r="KP323" s="35"/>
      <c r="KQ323" s="35"/>
      <c r="KR323" s="35"/>
      <c r="KS323" s="35"/>
      <c r="KT323" s="35"/>
      <c r="KU323" s="35"/>
      <c r="KV323" s="35"/>
      <c r="KW323" s="35"/>
      <c r="KX323" s="35"/>
      <c r="KY323" s="35"/>
      <c r="KZ323" s="35"/>
      <c r="LA323" s="35"/>
      <c r="LB323" s="35"/>
      <c r="LC323" s="35"/>
      <c r="LD323" s="35"/>
      <c r="LE323" s="35"/>
      <c r="LF323" s="35"/>
      <c r="LG323" s="35"/>
      <c r="LH323" s="35"/>
      <c r="LI323" s="35"/>
      <c r="LJ323" s="35"/>
      <c r="LK323" s="35"/>
      <c r="LL323" s="35"/>
      <c r="LM323" s="35"/>
      <c r="LN323" s="35"/>
      <c r="LO323" s="35"/>
      <c r="LP323" s="35"/>
      <c r="LQ323" s="35"/>
      <c r="LR323" s="35"/>
      <c r="LS323" s="35"/>
      <c r="LT323" s="35"/>
      <c r="LU323" s="35"/>
      <c r="LV323" s="35"/>
      <c r="LW323" s="35"/>
      <c r="LX323" s="35"/>
      <c r="LY323" s="35"/>
      <c r="LZ323" s="35"/>
      <c r="MA323" s="35"/>
      <c r="MB323" s="35"/>
      <c r="MC323" s="35"/>
      <c r="MD323" s="35"/>
      <c r="ME323" s="35"/>
      <c r="MF323" s="35"/>
      <c r="MG323" s="35"/>
    </row>
    <row r="324" spans="1:345" s="67" customFormat="1" ht="36" hidden="1" customHeight="1" x14ac:dyDescent="0.25">
      <c r="B324" s="28" t="s">
        <v>553</v>
      </c>
      <c r="C324" s="24" t="s">
        <v>40</v>
      </c>
      <c r="D324" s="54" t="s">
        <v>554</v>
      </c>
      <c r="E324" s="18">
        <v>44044</v>
      </c>
      <c r="F324" s="27">
        <f t="shared" ca="1" si="4"/>
        <v>429</v>
      </c>
      <c r="G324" s="34"/>
      <c r="H324" s="25"/>
      <c r="I324" s="25" t="s">
        <v>278</v>
      </c>
      <c r="J324" s="34"/>
      <c r="K324" s="22"/>
      <c r="L324" s="23">
        <v>44048</v>
      </c>
      <c r="M324" s="23"/>
      <c r="N324" s="33" t="s">
        <v>153</v>
      </c>
      <c r="O324" s="26"/>
      <c r="P324" s="35"/>
      <c r="Q324" s="35"/>
      <c r="R324" s="20"/>
      <c r="S324" s="35"/>
      <c r="T324" s="35"/>
      <c r="U324" s="35"/>
      <c r="V324" s="35"/>
      <c r="W324" s="35"/>
      <c r="X324" s="35"/>
      <c r="Y324" s="35"/>
      <c r="Z324" s="35"/>
      <c r="AA324" s="35"/>
      <c r="AB324" s="35"/>
      <c r="AC324" s="35"/>
      <c r="AD324" s="35"/>
      <c r="AE324" s="35"/>
      <c r="AF324" s="35"/>
      <c r="AG324" s="35"/>
      <c r="AH324" s="35"/>
      <c r="AI324" s="35"/>
      <c r="AJ324" s="35"/>
      <c r="AK324" s="35"/>
      <c r="AL324" s="35"/>
      <c r="AM324" s="35"/>
      <c r="AN324" s="35"/>
      <c r="AO324" s="35"/>
      <c r="AP324" s="35"/>
      <c r="AQ324" s="35"/>
      <c r="AR324" s="35"/>
      <c r="AS324" s="35"/>
      <c r="AT324" s="35"/>
      <c r="AU324" s="35"/>
      <c r="AV324" s="35"/>
      <c r="AW324" s="35"/>
      <c r="AX324" s="35"/>
      <c r="AY324" s="35"/>
      <c r="AZ324" s="35"/>
      <c r="BA324" s="35"/>
      <c r="BB324" s="35"/>
      <c r="BC324" s="35"/>
      <c r="BD324" s="35"/>
      <c r="BE324" s="35"/>
      <c r="BF324" s="35"/>
      <c r="BG324" s="35"/>
      <c r="BH324" s="35"/>
      <c r="BI324" s="35"/>
      <c r="BJ324" s="35"/>
      <c r="BK324" s="35"/>
      <c r="BL324" s="35"/>
      <c r="BM324" s="35"/>
      <c r="BN324" s="35"/>
      <c r="BO324" s="35"/>
      <c r="BP324" s="35"/>
      <c r="BQ324" s="35"/>
      <c r="BR324" s="35"/>
      <c r="BS324" s="35"/>
      <c r="BT324" s="35"/>
      <c r="BU324" s="35"/>
      <c r="BV324" s="35"/>
      <c r="BW324" s="35"/>
      <c r="BX324" s="35"/>
      <c r="BY324" s="35"/>
      <c r="BZ324" s="35"/>
      <c r="CA324" s="35"/>
      <c r="CB324" s="35"/>
      <c r="CC324" s="35"/>
      <c r="CD324" s="35"/>
      <c r="CE324" s="35"/>
      <c r="CF324" s="35"/>
      <c r="CG324" s="35"/>
      <c r="CH324" s="35"/>
      <c r="CI324" s="35"/>
      <c r="CJ324" s="35"/>
      <c r="CK324" s="35"/>
      <c r="CL324" s="35"/>
      <c r="CM324" s="35"/>
      <c r="CN324" s="35"/>
      <c r="CO324" s="35"/>
      <c r="CP324" s="35"/>
      <c r="CQ324" s="35"/>
      <c r="CR324" s="35"/>
      <c r="CS324" s="35"/>
      <c r="CT324" s="35"/>
      <c r="CU324" s="35"/>
      <c r="CV324" s="35"/>
      <c r="CW324" s="35"/>
      <c r="CX324" s="35"/>
      <c r="CY324" s="35"/>
      <c r="CZ324" s="35"/>
      <c r="DA324" s="35"/>
      <c r="DB324" s="35"/>
      <c r="DC324" s="35"/>
      <c r="DD324" s="35"/>
      <c r="DE324" s="35"/>
      <c r="DF324" s="35"/>
      <c r="DG324" s="35"/>
      <c r="DH324" s="35"/>
      <c r="DI324" s="35"/>
      <c r="DJ324" s="35"/>
      <c r="DK324" s="35"/>
      <c r="DL324" s="35"/>
      <c r="DM324" s="35"/>
      <c r="DN324" s="35"/>
      <c r="DO324" s="35"/>
      <c r="DP324" s="35"/>
      <c r="DQ324" s="35"/>
      <c r="DR324" s="35"/>
      <c r="DS324" s="35"/>
      <c r="DT324" s="35"/>
      <c r="DU324" s="35"/>
      <c r="DV324" s="35"/>
      <c r="DW324" s="35"/>
      <c r="DX324" s="35"/>
      <c r="DY324" s="35"/>
      <c r="DZ324" s="35"/>
      <c r="EA324" s="35"/>
      <c r="EB324" s="35"/>
      <c r="EC324" s="35"/>
      <c r="ED324" s="35"/>
      <c r="EE324" s="35"/>
      <c r="EF324" s="35"/>
      <c r="EG324" s="35"/>
      <c r="EH324" s="35"/>
      <c r="EI324" s="35"/>
      <c r="EJ324" s="35"/>
      <c r="EK324" s="35"/>
      <c r="EL324" s="35"/>
      <c r="EM324" s="35"/>
      <c r="EN324" s="35"/>
      <c r="EO324" s="35"/>
      <c r="EP324" s="35"/>
      <c r="EQ324" s="35"/>
      <c r="ER324" s="35"/>
      <c r="ES324" s="35"/>
      <c r="ET324" s="35"/>
      <c r="EU324" s="35"/>
      <c r="EV324" s="35"/>
      <c r="EW324" s="35"/>
      <c r="EX324" s="35"/>
      <c r="EY324" s="35"/>
      <c r="EZ324" s="35"/>
      <c r="FA324" s="35"/>
      <c r="FB324" s="35"/>
      <c r="FC324" s="35"/>
      <c r="FD324" s="35"/>
      <c r="FE324" s="35"/>
      <c r="FF324" s="35"/>
      <c r="FG324" s="35"/>
      <c r="FH324" s="35"/>
      <c r="FI324" s="35"/>
      <c r="FJ324" s="35"/>
      <c r="FK324" s="35"/>
      <c r="FL324" s="35"/>
      <c r="FM324" s="35"/>
      <c r="FN324" s="35"/>
      <c r="FO324" s="35"/>
      <c r="FP324" s="35"/>
      <c r="FQ324" s="35"/>
      <c r="FR324" s="35"/>
      <c r="FS324" s="35"/>
      <c r="FT324" s="35"/>
      <c r="FU324" s="35"/>
      <c r="FV324" s="35"/>
      <c r="FW324" s="35"/>
      <c r="FX324" s="35"/>
      <c r="FY324" s="35"/>
      <c r="FZ324" s="35"/>
      <c r="GA324" s="35"/>
      <c r="GB324" s="35"/>
      <c r="GC324" s="35"/>
      <c r="GD324" s="35"/>
      <c r="GE324" s="35"/>
      <c r="GF324" s="35"/>
      <c r="GG324" s="35"/>
      <c r="GH324" s="35"/>
      <c r="GI324" s="35"/>
      <c r="GJ324" s="35"/>
      <c r="GK324" s="35"/>
      <c r="GL324" s="35"/>
      <c r="GM324" s="35"/>
      <c r="GN324" s="35"/>
      <c r="GO324" s="35"/>
      <c r="GP324" s="35"/>
      <c r="GQ324" s="35"/>
      <c r="GR324" s="35"/>
      <c r="GS324" s="35"/>
      <c r="GT324" s="35"/>
      <c r="GU324" s="35"/>
      <c r="GV324" s="35"/>
      <c r="GW324" s="35"/>
      <c r="GX324" s="35"/>
      <c r="GY324" s="35"/>
      <c r="GZ324" s="35"/>
      <c r="HA324" s="35"/>
      <c r="HB324" s="35"/>
      <c r="HC324" s="35"/>
      <c r="HD324" s="35"/>
      <c r="HE324" s="35"/>
      <c r="HF324" s="35"/>
      <c r="HG324" s="35"/>
      <c r="HH324" s="35"/>
      <c r="HI324" s="35"/>
      <c r="HJ324" s="35"/>
      <c r="HK324" s="35"/>
      <c r="HL324" s="35"/>
      <c r="HM324" s="35"/>
      <c r="HN324" s="35"/>
      <c r="HO324" s="35"/>
      <c r="HP324" s="35"/>
      <c r="HQ324" s="35"/>
      <c r="HR324" s="35"/>
      <c r="HS324" s="35"/>
      <c r="HT324" s="35"/>
      <c r="HU324" s="35"/>
      <c r="HV324" s="35"/>
      <c r="HW324" s="35"/>
      <c r="HX324" s="35"/>
      <c r="HY324" s="35"/>
      <c r="HZ324" s="35"/>
      <c r="IA324" s="35"/>
      <c r="IB324" s="35"/>
      <c r="IC324" s="35"/>
      <c r="ID324" s="35"/>
      <c r="IE324" s="35"/>
      <c r="IF324" s="35"/>
      <c r="IG324" s="35"/>
      <c r="IH324" s="35"/>
      <c r="II324" s="35"/>
      <c r="IJ324" s="35"/>
      <c r="IK324" s="35"/>
      <c r="IL324" s="35"/>
      <c r="IM324" s="35"/>
      <c r="IN324" s="35"/>
      <c r="IO324" s="35"/>
      <c r="IP324" s="35"/>
      <c r="IQ324" s="35"/>
      <c r="IR324" s="35"/>
      <c r="IS324" s="35"/>
      <c r="IT324" s="35"/>
      <c r="IU324" s="35"/>
      <c r="IV324" s="35"/>
      <c r="IW324" s="35"/>
      <c r="IX324" s="35"/>
      <c r="IY324" s="35"/>
      <c r="IZ324" s="35"/>
      <c r="JA324" s="35"/>
      <c r="JB324" s="35"/>
      <c r="JC324" s="35"/>
      <c r="JD324" s="35"/>
      <c r="JE324" s="35"/>
      <c r="JF324" s="35"/>
      <c r="JG324" s="35"/>
      <c r="JH324" s="35"/>
      <c r="JI324" s="35"/>
      <c r="JJ324" s="35"/>
      <c r="JK324" s="35"/>
      <c r="JL324" s="35"/>
      <c r="JM324" s="35"/>
      <c r="JN324" s="35"/>
      <c r="JO324" s="35"/>
      <c r="JP324" s="35"/>
      <c r="JQ324" s="35"/>
      <c r="JR324" s="35"/>
      <c r="JS324" s="35"/>
      <c r="JT324" s="35"/>
      <c r="JU324" s="35"/>
      <c r="JV324" s="35"/>
      <c r="JW324" s="35"/>
      <c r="JX324" s="35"/>
      <c r="JY324" s="35"/>
      <c r="JZ324" s="35"/>
      <c r="KA324" s="35"/>
      <c r="KB324" s="35"/>
      <c r="KC324" s="35"/>
      <c r="KD324" s="35"/>
      <c r="KE324" s="35"/>
      <c r="KF324" s="35"/>
      <c r="KG324" s="35"/>
      <c r="KH324" s="35"/>
      <c r="KI324" s="35"/>
      <c r="KJ324" s="35"/>
      <c r="KK324" s="35"/>
      <c r="KL324" s="35"/>
      <c r="KM324" s="35"/>
      <c r="KN324" s="35"/>
      <c r="KO324" s="35"/>
      <c r="KP324" s="35"/>
      <c r="KQ324" s="35"/>
      <c r="KR324" s="35"/>
      <c r="KS324" s="35"/>
      <c r="KT324" s="35"/>
      <c r="KU324" s="35"/>
      <c r="KV324" s="35"/>
      <c r="KW324" s="35"/>
      <c r="KX324" s="35"/>
      <c r="KY324" s="35"/>
      <c r="KZ324" s="35"/>
      <c r="LA324" s="35"/>
      <c r="LB324" s="35"/>
      <c r="LC324" s="35"/>
      <c r="LD324" s="35"/>
      <c r="LE324" s="35"/>
      <c r="LF324" s="35"/>
      <c r="LG324" s="35"/>
      <c r="LH324" s="35"/>
      <c r="LI324" s="35"/>
      <c r="LJ324" s="35"/>
      <c r="LK324" s="35"/>
      <c r="LL324" s="35"/>
      <c r="LM324" s="35"/>
      <c r="LN324" s="35"/>
      <c r="LO324" s="35"/>
      <c r="LP324" s="35"/>
      <c r="LQ324" s="35"/>
      <c r="LR324" s="35"/>
      <c r="LS324" s="35"/>
      <c r="LT324" s="35"/>
      <c r="LU324" s="35"/>
      <c r="LV324" s="35"/>
      <c r="LW324" s="35"/>
      <c r="LX324" s="35"/>
      <c r="LY324" s="35"/>
      <c r="LZ324" s="35"/>
      <c r="MA324" s="35"/>
      <c r="MB324" s="35"/>
      <c r="MC324" s="35"/>
      <c r="MD324" s="35"/>
      <c r="ME324" s="35"/>
      <c r="MF324" s="35"/>
      <c r="MG324" s="35"/>
    </row>
    <row r="325" spans="1:345" s="67" customFormat="1" ht="36" hidden="1" customHeight="1" x14ac:dyDescent="0.25">
      <c r="B325" s="28" t="s">
        <v>550</v>
      </c>
      <c r="C325" s="24" t="s">
        <v>40</v>
      </c>
      <c r="D325" s="54" t="s">
        <v>554</v>
      </c>
      <c r="E325" s="18">
        <v>44044</v>
      </c>
      <c r="F325" s="27">
        <f t="shared" ca="1" si="4"/>
        <v>429</v>
      </c>
      <c r="G325" s="34"/>
      <c r="H325" s="25"/>
      <c r="I325" s="25" t="s">
        <v>278</v>
      </c>
      <c r="J325" s="34"/>
      <c r="K325" s="22"/>
      <c r="L325" s="23">
        <v>44050</v>
      </c>
      <c r="M325" s="23"/>
      <c r="N325" s="33" t="s">
        <v>153</v>
      </c>
      <c r="O325" s="26"/>
      <c r="P325" s="35"/>
      <c r="Q325" s="35"/>
      <c r="R325" s="20"/>
      <c r="S325" s="35"/>
      <c r="T325" s="35"/>
      <c r="U325" s="35"/>
      <c r="V325" s="35"/>
      <c r="W325" s="35"/>
      <c r="X325" s="35"/>
      <c r="Y325" s="35"/>
      <c r="Z325" s="35"/>
      <c r="AA325" s="35"/>
      <c r="AB325" s="35"/>
      <c r="AC325" s="35"/>
      <c r="AD325" s="35"/>
      <c r="AE325" s="35"/>
      <c r="AF325" s="35"/>
      <c r="AG325" s="35"/>
      <c r="AH325" s="35"/>
      <c r="AI325" s="35"/>
      <c r="AJ325" s="35"/>
      <c r="AK325" s="35"/>
      <c r="AL325" s="35"/>
      <c r="AM325" s="35"/>
      <c r="AN325" s="35"/>
      <c r="AO325" s="35"/>
      <c r="AP325" s="35"/>
      <c r="AQ325" s="35"/>
      <c r="AR325" s="35"/>
      <c r="AS325" s="35"/>
      <c r="AT325" s="35"/>
      <c r="AU325" s="35"/>
      <c r="AV325" s="35"/>
      <c r="AW325" s="35"/>
      <c r="AX325" s="35"/>
      <c r="AY325" s="35"/>
      <c r="AZ325" s="35"/>
      <c r="BA325" s="35"/>
      <c r="BB325" s="35"/>
      <c r="BC325" s="35"/>
      <c r="BD325" s="35"/>
      <c r="BE325" s="35"/>
      <c r="BF325" s="35"/>
      <c r="BG325" s="35"/>
      <c r="BH325" s="35"/>
      <c r="BI325" s="35"/>
      <c r="BJ325" s="35"/>
      <c r="BK325" s="35"/>
      <c r="BL325" s="35"/>
      <c r="BM325" s="35"/>
      <c r="BN325" s="35"/>
      <c r="BO325" s="35"/>
      <c r="BP325" s="35"/>
      <c r="BQ325" s="35"/>
      <c r="BR325" s="35"/>
      <c r="BS325" s="35"/>
      <c r="BT325" s="35"/>
      <c r="BU325" s="35"/>
      <c r="BV325" s="35"/>
      <c r="BW325" s="35"/>
      <c r="BX325" s="35"/>
      <c r="BY325" s="35"/>
      <c r="BZ325" s="35"/>
      <c r="CA325" s="35"/>
      <c r="CB325" s="35"/>
      <c r="CC325" s="35"/>
      <c r="CD325" s="35"/>
      <c r="CE325" s="35"/>
      <c r="CF325" s="35"/>
      <c r="CG325" s="35"/>
      <c r="CH325" s="35"/>
      <c r="CI325" s="35"/>
      <c r="CJ325" s="35"/>
      <c r="CK325" s="35"/>
      <c r="CL325" s="35"/>
      <c r="CM325" s="35"/>
      <c r="CN325" s="35"/>
      <c r="CO325" s="35"/>
      <c r="CP325" s="35"/>
      <c r="CQ325" s="35"/>
      <c r="CR325" s="35"/>
      <c r="CS325" s="35"/>
      <c r="CT325" s="35"/>
      <c r="CU325" s="35"/>
      <c r="CV325" s="35"/>
      <c r="CW325" s="35"/>
      <c r="CX325" s="35"/>
      <c r="CY325" s="35"/>
      <c r="CZ325" s="35"/>
      <c r="DA325" s="35"/>
      <c r="DB325" s="35"/>
      <c r="DC325" s="35"/>
      <c r="DD325" s="35"/>
      <c r="DE325" s="35"/>
      <c r="DF325" s="35"/>
      <c r="DG325" s="35"/>
      <c r="DH325" s="35"/>
      <c r="DI325" s="35"/>
      <c r="DJ325" s="35"/>
      <c r="DK325" s="35"/>
      <c r="DL325" s="35"/>
      <c r="DM325" s="35"/>
      <c r="DN325" s="35"/>
      <c r="DO325" s="35"/>
      <c r="DP325" s="35"/>
      <c r="DQ325" s="35"/>
      <c r="DR325" s="35"/>
      <c r="DS325" s="35"/>
      <c r="DT325" s="35"/>
      <c r="DU325" s="35"/>
      <c r="DV325" s="35"/>
      <c r="DW325" s="35"/>
      <c r="DX325" s="35"/>
      <c r="DY325" s="35"/>
      <c r="DZ325" s="35"/>
      <c r="EA325" s="35"/>
      <c r="EB325" s="35"/>
      <c r="EC325" s="35"/>
      <c r="ED325" s="35"/>
      <c r="EE325" s="35"/>
      <c r="EF325" s="35"/>
      <c r="EG325" s="35"/>
      <c r="EH325" s="35"/>
      <c r="EI325" s="35"/>
      <c r="EJ325" s="35"/>
      <c r="EK325" s="35"/>
      <c r="EL325" s="35"/>
      <c r="EM325" s="35"/>
      <c r="EN325" s="35"/>
      <c r="EO325" s="35"/>
      <c r="EP325" s="35"/>
      <c r="EQ325" s="35"/>
      <c r="ER325" s="35"/>
      <c r="ES325" s="35"/>
      <c r="ET325" s="35"/>
      <c r="EU325" s="35"/>
      <c r="EV325" s="35"/>
      <c r="EW325" s="35"/>
      <c r="EX325" s="35"/>
      <c r="EY325" s="35"/>
      <c r="EZ325" s="35"/>
      <c r="FA325" s="35"/>
      <c r="FB325" s="35"/>
      <c r="FC325" s="35"/>
      <c r="FD325" s="35"/>
      <c r="FE325" s="35"/>
      <c r="FF325" s="35"/>
      <c r="FG325" s="35"/>
      <c r="FH325" s="35"/>
      <c r="FI325" s="35"/>
      <c r="FJ325" s="35"/>
      <c r="FK325" s="35"/>
      <c r="FL325" s="35"/>
      <c r="FM325" s="35"/>
      <c r="FN325" s="35"/>
      <c r="FO325" s="35"/>
      <c r="FP325" s="35"/>
      <c r="FQ325" s="35"/>
      <c r="FR325" s="35"/>
      <c r="FS325" s="35"/>
      <c r="FT325" s="35"/>
      <c r="FU325" s="35"/>
      <c r="FV325" s="35"/>
      <c r="FW325" s="35"/>
      <c r="FX325" s="35"/>
      <c r="FY325" s="35"/>
      <c r="FZ325" s="35"/>
      <c r="GA325" s="35"/>
      <c r="GB325" s="35"/>
      <c r="GC325" s="35"/>
      <c r="GD325" s="35"/>
      <c r="GE325" s="35"/>
      <c r="GF325" s="35"/>
      <c r="GG325" s="35"/>
      <c r="GH325" s="35"/>
      <c r="GI325" s="35"/>
      <c r="GJ325" s="35"/>
      <c r="GK325" s="35"/>
      <c r="GL325" s="35"/>
      <c r="GM325" s="35"/>
      <c r="GN325" s="35"/>
      <c r="GO325" s="35"/>
      <c r="GP325" s="35"/>
      <c r="GQ325" s="35"/>
      <c r="GR325" s="35"/>
      <c r="GS325" s="35"/>
      <c r="GT325" s="35"/>
      <c r="GU325" s="35"/>
      <c r="GV325" s="35"/>
      <c r="GW325" s="35"/>
      <c r="GX325" s="35"/>
      <c r="GY325" s="35"/>
      <c r="GZ325" s="35"/>
      <c r="HA325" s="35"/>
      <c r="HB325" s="35"/>
      <c r="HC325" s="35"/>
      <c r="HD325" s="35"/>
      <c r="HE325" s="35"/>
      <c r="HF325" s="35"/>
      <c r="HG325" s="35"/>
      <c r="HH325" s="35"/>
      <c r="HI325" s="35"/>
      <c r="HJ325" s="35"/>
      <c r="HK325" s="35"/>
      <c r="HL325" s="35"/>
      <c r="HM325" s="35"/>
      <c r="HN325" s="35"/>
      <c r="HO325" s="35"/>
      <c r="HP325" s="35"/>
      <c r="HQ325" s="35"/>
      <c r="HR325" s="35"/>
      <c r="HS325" s="35"/>
      <c r="HT325" s="35"/>
      <c r="HU325" s="35"/>
      <c r="HV325" s="35"/>
      <c r="HW325" s="35"/>
      <c r="HX325" s="35"/>
      <c r="HY325" s="35"/>
      <c r="HZ325" s="35"/>
      <c r="IA325" s="35"/>
      <c r="IB325" s="35"/>
      <c r="IC325" s="35"/>
      <c r="ID325" s="35"/>
      <c r="IE325" s="35"/>
      <c r="IF325" s="35"/>
      <c r="IG325" s="35"/>
      <c r="IH325" s="35"/>
      <c r="II325" s="35"/>
      <c r="IJ325" s="35"/>
      <c r="IK325" s="35"/>
      <c r="IL325" s="35"/>
      <c r="IM325" s="35"/>
      <c r="IN325" s="35"/>
      <c r="IO325" s="35"/>
      <c r="IP325" s="35"/>
      <c r="IQ325" s="35"/>
      <c r="IR325" s="35"/>
      <c r="IS325" s="35"/>
      <c r="IT325" s="35"/>
      <c r="IU325" s="35"/>
      <c r="IV325" s="35"/>
      <c r="IW325" s="35"/>
      <c r="IX325" s="35"/>
      <c r="IY325" s="35"/>
      <c r="IZ325" s="35"/>
      <c r="JA325" s="35"/>
      <c r="JB325" s="35"/>
      <c r="JC325" s="35"/>
      <c r="JD325" s="35"/>
      <c r="JE325" s="35"/>
      <c r="JF325" s="35"/>
      <c r="JG325" s="35"/>
      <c r="JH325" s="35"/>
      <c r="JI325" s="35"/>
      <c r="JJ325" s="35"/>
      <c r="JK325" s="35"/>
      <c r="JL325" s="35"/>
      <c r="JM325" s="35"/>
      <c r="JN325" s="35"/>
      <c r="JO325" s="35"/>
      <c r="JP325" s="35"/>
      <c r="JQ325" s="35"/>
      <c r="JR325" s="35"/>
      <c r="JS325" s="35"/>
      <c r="JT325" s="35"/>
      <c r="JU325" s="35"/>
      <c r="JV325" s="35"/>
      <c r="JW325" s="35"/>
      <c r="JX325" s="35"/>
      <c r="JY325" s="35"/>
      <c r="JZ325" s="35"/>
      <c r="KA325" s="35"/>
      <c r="KB325" s="35"/>
      <c r="KC325" s="35"/>
      <c r="KD325" s="35"/>
      <c r="KE325" s="35"/>
      <c r="KF325" s="35"/>
      <c r="KG325" s="35"/>
      <c r="KH325" s="35"/>
      <c r="KI325" s="35"/>
      <c r="KJ325" s="35"/>
      <c r="KK325" s="35"/>
      <c r="KL325" s="35"/>
      <c r="KM325" s="35"/>
      <c r="KN325" s="35"/>
      <c r="KO325" s="35"/>
      <c r="KP325" s="35"/>
      <c r="KQ325" s="35"/>
      <c r="KR325" s="35"/>
      <c r="KS325" s="35"/>
      <c r="KT325" s="35"/>
      <c r="KU325" s="35"/>
      <c r="KV325" s="35"/>
      <c r="KW325" s="35"/>
      <c r="KX325" s="35"/>
      <c r="KY325" s="35"/>
      <c r="KZ325" s="35"/>
      <c r="LA325" s="35"/>
      <c r="LB325" s="35"/>
      <c r="LC325" s="35"/>
      <c r="LD325" s="35"/>
      <c r="LE325" s="35"/>
      <c r="LF325" s="35"/>
      <c r="LG325" s="35"/>
      <c r="LH325" s="35"/>
      <c r="LI325" s="35"/>
      <c r="LJ325" s="35"/>
      <c r="LK325" s="35"/>
      <c r="LL325" s="35"/>
      <c r="LM325" s="35"/>
      <c r="LN325" s="35"/>
      <c r="LO325" s="35"/>
      <c r="LP325" s="35"/>
      <c r="LQ325" s="35"/>
      <c r="LR325" s="35"/>
      <c r="LS325" s="35"/>
      <c r="LT325" s="35"/>
      <c r="LU325" s="35"/>
      <c r="LV325" s="35"/>
      <c r="LW325" s="35"/>
      <c r="LX325" s="35"/>
      <c r="LY325" s="35"/>
      <c r="LZ325" s="35"/>
      <c r="MA325" s="35"/>
      <c r="MB325" s="35"/>
      <c r="MC325" s="35"/>
      <c r="MD325" s="35"/>
      <c r="ME325" s="35"/>
      <c r="MF325" s="35"/>
      <c r="MG325" s="35"/>
    </row>
    <row r="326" spans="1:345" s="67" customFormat="1" ht="36" hidden="1" customHeight="1" x14ac:dyDescent="0.25">
      <c r="B326" s="28" t="s">
        <v>551</v>
      </c>
      <c r="C326" s="24" t="s">
        <v>40</v>
      </c>
      <c r="D326" s="54" t="s">
        <v>554</v>
      </c>
      <c r="E326" s="18">
        <v>44044</v>
      </c>
      <c r="F326" s="27">
        <f t="shared" ca="1" si="4"/>
        <v>429</v>
      </c>
      <c r="G326" s="34"/>
      <c r="H326" s="25"/>
      <c r="I326" s="25" t="s">
        <v>278</v>
      </c>
      <c r="J326" s="34"/>
      <c r="K326" s="22"/>
      <c r="L326" s="23">
        <v>44049</v>
      </c>
      <c r="M326" s="23"/>
      <c r="N326" s="33" t="s">
        <v>153</v>
      </c>
      <c r="O326" s="26"/>
      <c r="P326" s="35"/>
      <c r="Q326" s="35"/>
      <c r="R326" s="20"/>
      <c r="S326" s="35"/>
      <c r="T326" s="35"/>
      <c r="U326" s="35"/>
      <c r="V326" s="35"/>
      <c r="W326" s="35"/>
      <c r="X326" s="35"/>
      <c r="Y326" s="35"/>
      <c r="Z326" s="35"/>
      <c r="AA326" s="35"/>
      <c r="AB326" s="35"/>
      <c r="AC326" s="35"/>
      <c r="AD326" s="35"/>
      <c r="AE326" s="35"/>
      <c r="AF326" s="35"/>
      <c r="AG326" s="35"/>
      <c r="AH326" s="35"/>
      <c r="AI326" s="35"/>
      <c r="AJ326" s="35"/>
      <c r="AK326" s="35"/>
      <c r="AL326" s="35"/>
      <c r="AM326" s="35"/>
      <c r="AN326" s="35"/>
      <c r="AO326" s="35"/>
      <c r="AP326" s="35"/>
      <c r="AQ326" s="35"/>
      <c r="AR326" s="35"/>
      <c r="AS326" s="35"/>
      <c r="AT326" s="35"/>
      <c r="AU326" s="35"/>
      <c r="AV326" s="35"/>
      <c r="AW326" s="35"/>
      <c r="AX326" s="35"/>
      <c r="AY326" s="35"/>
      <c r="AZ326" s="35"/>
      <c r="BA326" s="35"/>
      <c r="BB326" s="35"/>
      <c r="BC326" s="35"/>
      <c r="BD326" s="35"/>
      <c r="BE326" s="35"/>
      <c r="BF326" s="35"/>
      <c r="BG326" s="35"/>
      <c r="BH326" s="35"/>
      <c r="BI326" s="35"/>
      <c r="BJ326" s="35"/>
      <c r="BK326" s="35"/>
      <c r="BL326" s="35"/>
      <c r="BM326" s="35"/>
      <c r="BN326" s="35"/>
      <c r="BO326" s="35"/>
      <c r="BP326" s="35"/>
      <c r="BQ326" s="35"/>
      <c r="BR326" s="35"/>
      <c r="BS326" s="35"/>
      <c r="BT326" s="35"/>
      <c r="BU326" s="35"/>
      <c r="BV326" s="35"/>
      <c r="BW326" s="35"/>
      <c r="BX326" s="35"/>
      <c r="BY326" s="35"/>
      <c r="BZ326" s="35"/>
      <c r="CA326" s="35"/>
      <c r="CB326" s="35"/>
      <c r="CC326" s="35"/>
      <c r="CD326" s="35"/>
      <c r="CE326" s="35"/>
      <c r="CF326" s="35"/>
      <c r="CG326" s="35"/>
      <c r="CH326" s="35"/>
      <c r="CI326" s="35"/>
      <c r="CJ326" s="35"/>
      <c r="CK326" s="35"/>
      <c r="CL326" s="35"/>
      <c r="CM326" s="35"/>
      <c r="CN326" s="35"/>
      <c r="CO326" s="35"/>
      <c r="CP326" s="35"/>
      <c r="CQ326" s="35"/>
      <c r="CR326" s="35"/>
      <c r="CS326" s="35"/>
      <c r="CT326" s="35"/>
      <c r="CU326" s="35"/>
      <c r="CV326" s="35"/>
      <c r="CW326" s="35"/>
      <c r="CX326" s="35"/>
      <c r="CY326" s="35"/>
      <c r="CZ326" s="35"/>
      <c r="DA326" s="35"/>
      <c r="DB326" s="35"/>
      <c r="DC326" s="35"/>
      <c r="DD326" s="35"/>
      <c r="DE326" s="35"/>
      <c r="DF326" s="35"/>
      <c r="DG326" s="35"/>
      <c r="DH326" s="35"/>
      <c r="DI326" s="35"/>
      <c r="DJ326" s="35"/>
      <c r="DK326" s="35"/>
      <c r="DL326" s="35"/>
      <c r="DM326" s="35"/>
      <c r="DN326" s="35"/>
      <c r="DO326" s="35"/>
      <c r="DP326" s="35"/>
      <c r="DQ326" s="35"/>
      <c r="DR326" s="35"/>
      <c r="DS326" s="35"/>
      <c r="DT326" s="35"/>
      <c r="DU326" s="35"/>
      <c r="DV326" s="35"/>
      <c r="DW326" s="35"/>
      <c r="DX326" s="35"/>
      <c r="DY326" s="35"/>
      <c r="DZ326" s="35"/>
      <c r="EA326" s="35"/>
      <c r="EB326" s="35"/>
      <c r="EC326" s="35"/>
      <c r="ED326" s="35"/>
      <c r="EE326" s="35"/>
      <c r="EF326" s="35"/>
      <c r="EG326" s="35"/>
      <c r="EH326" s="35"/>
      <c r="EI326" s="35"/>
      <c r="EJ326" s="35"/>
      <c r="EK326" s="35"/>
      <c r="EL326" s="35"/>
      <c r="EM326" s="35"/>
      <c r="EN326" s="35"/>
      <c r="EO326" s="35"/>
      <c r="EP326" s="35"/>
      <c r="EQ326" s="35"/>
      <c r="ER326" s="35"/>
      <c r="ES326" s="35"/>
      <c r="ET326" s="35"/>
      <c r="EU326" s="35"/>
      <c r="EV326" s="35"/>
      <c r="EW326" s="35"/>
      <c r="EX326" s="35"/>
      <c r="EY326" s="35"/>
      <c r="EZ326" s="35"/>
      <c r="FA326" s="35"/>
      <c r="FB326" s="35"/>
      <c r="FC326" s="35"/>
      <c r="FD326" s="35"/>
      <c r="FE326" s="35"/>
      <c r="FF326" s="35"/>
      <c r="FG326" s="35"/>
      <c r="FH326" s="35"/>
      <c r="FI326" s="35"/>
      <c r="FJ326" s="35"/>
      <c r="FK326" s="35"/>
      <c r="FL326" s="35"/>
      <c r="FM326" s="35"/>
      <c r="FN326" s="35"/>
      <c r="FO326" s="35"/>
      <c r="FP326" s="35"/>
      <c r="FQ326" s="35"/>
      <c r="FR326" s="35"/>
      <c r="FS326" s="35"/>
      <c r="FT326" s="35"/>
      <c r="FU326" s="35"/>
      <c r="FV326" s="35"/>
      <c r="FW326" s="35"/>
      <c r="FX326" s="35"/>
      <c r="FY326" s="35"/>
      <c r="FZ326" s="35"/>
      <c r="GA326" s="35"/>
      <c r="GB326" s="35"/>
      <c r="GC326" s="35"/>
      <c r="GD326" s="35"/>
      <c r="GE326" s="35"/>
      <c r="GF326" s="35"/>
      <c r="GG326" s="35"/>
      <c r="GH326" s="35"/>
      <c r="GI326" s="35"/>
      <c r="GJ326" s="35"/>
      <c r="GK326" s="35"/>
      <c r="GL326" s="35"/>
      <c r="GM326" s="35"/>
      <c r="GN326" s="35"/>
      <c r="GO326" s="35"/>
      <c r="GP326" s="35"/>
      <c r="GQ326" s="35"/>
      <c r="GR326" s="35"/>
      <c r="GS326" s="35"/>
      <c r="GT326" s="35"/>
      <c r="GU326" s="35"/>
      <c r="GV326" s="35"/>
      <c r="GW326" s="35"/>
      <c r="GX326" s="35"/>
      <c r="GY326" s="35"/>
      <c r="GZ326" s="35"/>
      <c r="HA326" s="35"/>
      <c r="HB326" s="35"/>
      <c r="HC326" s="35"/>
      <c r="HD326" s="35"/>
      <c r="HE326" s="35"/>
      <c r="HF326" s="35"/>
      <c r="HG326" s="35"/>
      <c r="HH326" s="35"/>
      <c r="HI326" s="35"/>
      <c r="HJ326" s="35"/>
      <c r="HK326" s="35"/>
      <c r="HL326" s="35"/>
      <c r="HM326" s="35"/>
      <c r="HN326" s="35"/>
      <c r="HO326" s="35"/>
      <c r="HP326" s="35"/>
      <c r="HQ326" s="35"/>
      <c r="HR326" s="35"/>
      <c r="HS326" s="35"/>
      <c r="HT326" s="35"/>
      <c r="HU326" s="35"/>
      <c r="HV326" s="35"/>
      <c r="HW326" s="35"/>
      <c r="HX326" s="35"/>
      <c r="HY326" s="35"/>
      <c r="HZ326" s="35"/>
      <c r="IA326" s="35"/>
      <c r="IB326" s="35"/>
      <c r="IC326" s="35"/>
      <c r="ID326" s="35"/>
      <c r="IE326" s="35"/>
      <c r="IF326" s="35"/>
      <c r="IG326" s="35"/>
      <c r="IH326" s="35"/>
      <c r="II326" s="35"/>
      <c r="IJ326" s="35"/>
      <c r="IK326" s="35"/>
      <c r="IL326" s="35"/>
      <c r="IM326" s="35"/>
      <c r="IN326" s="35"/>
      <c r="IO326" s="35"/>
      <c r="IP326" s="35"/>
      <c r="IQ326" s="35"/>
      <c r="IR326" s="35"/>
      <c r="IS326" s="35"/>
      <c r="IT326" s="35"/>
      <c r="IU326" s="35"/>
      <c r="IV326" s="35"/>
      <c r="IW326" s="35"/>
      <c r="IX326" s="35"/>
      <c r="IY326" s="35"/>
      <c r="IZ326" s="35"/>
      <c r="JA326" s="35"/>
      <c r="JB326" s="35"/>
      <c r="JC326" s="35"/>
      <c r="JD326" s="35"/>
      <c r="JE326" s="35"/>
      <c r="JF326" s="35"/>
      <c r="JG326" s="35"/>
      <c r="JH326" s="35"/>
      <c r="JI326" s="35"/>
      <c r="JJ326" s="35"/>
      <c r="JK326" s="35"/>
      <c r="JL326" s="35"/>
      <c r="JM326" s="35"/>
      <c r="JN326" s="35"/>
      <c r="JO326" s="35"/>
      <c r="JP326" s="35"/>
      <c r="JQ326" s="35"/>
      <c r="JR326" s="35"/>
      <c r="JS326" s="35"/>
      <c r="JT326" s="35"/>
      <c r="JU326" s="35"/>
      <c r="JV326" s="35"/>
      <c r="JW326" s="35"/>
      <c r="JX326" s="35"/>
      <c r="JY326" s="35"/>
      <c r="JZ326" s="35"/>
      <c r="KA326" s="35"/>
      <c r="KB326" s="35"/>
      <c r="KC326" s="35"/>
      <c r="KD326" s="35"/>
      <c r="KE326" s="35"/>
      <c r="KF326" s="35"/>
      <c r="KG326" s="35"/>
      <c r="KH326" s="35"/>
      <c r="KI326" s="35"/>
      <c r="KJ326" s="35"/>
      <c r="KK326" s="35"/>
      <c r="KL326" s="35"/>
      <c r="KM326" s="35"/>
      <c r="KN326" s="35"/>
      <c r="KO326" s="35"/>
      <c r="KP326" s="35"/>
      <c r="KQ326" s="35"/>
      <c r="KR326" s="35"/>
      <c r="KS326" s="35"/>
      <c r="KT326" s="35"/>
      <c r="KU326" s="35"/>
      <c r="KV326" s="35"/>
      <c r="KW326" s="35"/>
      <c r="KX326" s="35"/>
      <c r="KY326" s="35"/>
      <c r="KZ326" s="35"/>
      <c r="LA326" s="35"/>
      <c r="LB326" s="35"/>
      <c r="LC326" s="35"/>
      <c r="LD326" s="35"/>
      <c r="LE326" s="35"/>
      <c r="LF326" s="35"/>
      <c r="LG326" s="35"/>
      <c r="LH326" s="35"/>
      <c r="LI326" s="35"/>
      <c r="LJ326" s="35"/>
      <c r="LK326" s="35"/>
      <c r="LL326" s="35"/>
      <c r="LM326" s="35"/>
      <c r="LN326" s="35"/>
      <c r="LO326" s="35"/>
      <c r="LP326" s="35"/>
      <c r="LQ326" s="35"/>
      <c r="LR326" s="35"/>
      <c r="LS326" s="35"/>
      <c r="LT326" s="35"/>
      <c r="LU326" s="35"/>
      <c r="LV326" s="35"/>
      <c r="LW326" s="35"/>
      <c r="LX326" s="35"/>
      <c r="LY326" s="35"/>
      <c r="LZ326" s="35"/>
      <c r="MA326" s="35"/>
      <c r="MB326" s="35"/>
      <c r="MC326" s="35"/>
      <c r="MD326" s="35"/>
      <c r="ME326" s="35"/>
      <c r="MF326" s="35"/>
      <c r="MG326" s="35"/>
    </row>
    <row r="327" spans="1:345" s="67" customFormat="1" ht="36" hidden="1" customHeight="1" x14ac:dyDescent="0.25">
      <c r="B327" s="28" t="s">
        <v>353</v>
      </c>
      <c r="C327" s="24" t="s">
        <v>37</v>
      </c>
      <c r="D327" s="19" t="s">
        <v>461</v>
      </c>
      <c r="E327" s="18">
        <v>44049</v>
      </c>
      <c r="F327" s="27">
        <f t="shared" ca="1" si="4"/>
        <v>424</v>
      </c>
      <c r="G327" s="68"/>
      <c r="H327" s="25"/>
      <c r="I327" s="62" t="s">
        <v>206</v>
      </c>
      <c r="J327" s="68"/>
      <c r="K327" s="22"/>
      <c r="L327" s="23">
        <v>44061</v>
      </c>
      <c r="M327" s="23"/>
      <c r="N327" s="33" t="s">
        <v>153</v>
      </c>
      <c r="O327" s="26"/>
      <c r="P327" s="35"/>
      <c r="Q327" s="35"/>
      <c r="R327" s="20"/>
      <c r="S327" s="35"/>
      <c r="T327" s="35"/>
      <c r="U327" s="35"/>
      <c r="V327" s="35"/>
      <c r="W327" s="35"/>
      <c r="X327" s="35"/>
      <c r="Y327" s="35"/>
      <c r="Z327" s="35"/>
      <c r="AA327" s="35"/>
      <c r="AB327" s="35"/>
      <c r="AC327" s="35"/>
      <c r="AD327" s="35"/>
      <c r="AE327" s="35"/>
      <c r="AF327" s="35"/>
      <c r="AG327" s="35"/>
      <c r="AH327" s="35"/>
      <c r="AI327" s="35"/>
      <c r="AJ327" s="35"/>
      <c r="AK327" s="35"/>
      <c r="AL327" s="35"/>
      <c r="AM327" s="35"/>
      <c r="AN327" s="35"/>
      <c r="AO327" s="35"/>
      <c r="AP327" s="35"/>
      <c r="AQ327" s="35"/>
      <c r="AR327" s="35"/>
      <c r="AS327" s="35"/>
      <c r="AT327" s="35"/>
      <c r="AU327" s="35"/>
      <c r="AV327" s="35"/>
      <c r="AW327" s="35"/>
      <c r="AX327" s="35"/>
      <c r="AY327" s="35"/>
      <c r="AZ327" s="35"/>
      <c r="BA327" s="35"/>
      <c r="BB327" s="35"/>
      <c r="BC327" s="35"/>
      <c r="BD327" s="35"/>
      <c r="BE327" s="35"/>
      <c r="BF327" s="35"/>
      <c r="BG327" s="35"/>
      <c r="BH327" s="35"/>
      <c r="BI327" s="35"/>
      <c r="BJ327" s="35"/>
      <c r="BK327" s="35"/>
      <c r="BL327" s="35"/>
      <c r="BM327" s="35"/>
      <c r="BN327" s="35"/>
      <c r="BO327" s="35"/>
      <c r="BP327" s="35"/>
      <c r="BQ327" s="35"/>
      <c r="BR327" s="35"/>
      <c r="BS327" s="35"/>
      <c r="BT327" s="35"/>
      <c r="BU327" s="35"/>
      <c r="BV327" s="35"/>
      <c r="BW327" s="35"/>
      <c r="BX327" s="35"/>
      <c r="BY327" s="35"/>
      <c r="BZ327" s="35"/>
      <c r="CA327" s="35"/>
      <c r="CB327" s="35"/>
      <c r="CC327" s="35"/>
      <c r="CD327" s="35"/>
      <c r="CE327" s="35"/>
      <c r="CF327" s="35"/>
      <c r="CG327" s="35"/>
      <c r="CH327" s="35"/>
      <c r="CI327" s="35"/>
      <c r="CJ327" s="35"/>
      <c r="CK327" s="35"/>
      <c r="CL327" s="35"/>
      <c r="CM327" s="35"/>
      <c r="CN327" s="35"/>
      <c r="CO327" s="35"/>
      <c r="CP327" s="35"/>
      <c r="CQ327" s="35"/>
      <c r="CR327" s="35"/>
      <c r="CS327" s="35"/>
      <c r="CT327" s="35"/>
      <c r="CU327" s="35"/>
      <c r="CV327" s="35"/>
      <c r="CW327" s="35"/>
      <c r="CX327" s="35"/>
      <c r="CY327" s="35"/>
      <c r="CZ327" s="35"/>
      <c r="DA327" s="35"/>
      <c r="DB327" s="35"/>
      <c r="DC327" s="35"/>
      <c r="DD327" s="35"/>
      <c r="DE327" s="35"/>
      <c r="DF327" s="35"/>
      <c r="DG327" s="35"/>
      <c r="DH327" s="35"/>
      <c r="DI327" s="35"/>
      <c r="DJ327" s="35"/>
      <c r="DK327" s="35"/>
      <c r="DL327" s="35"/>
      <c r="DM327" s="35"/>
      <c r="DN327" s="35"/>
      <c r="DO327" s="35"/>
      <c r="DP327" s="35"/>
      <c r="DQ327" s="35"/>
      <c r="DR327" s="35"/>
      <c r="DS327" s="35"/>
      <c r="DT327" s="35"/>
      <c r="DU327" s="35"/>
      <c r="DV327" s="35"/>
      <c r="DW327" s="35"/>
      <c r="DX327" s="35"/>
      <c r="DY327" s="35"/>
      <c r="DZ327" s="35"/>
      <c r="EA327" s="35"/>
      <c r="EB327" s="35"/>
      <c r="EC327" s="35"/>
      <c r="ED327" s="35"/>
      <c r="EE327" s="35"/>
      <c r="EF327" s="35"/>
      <c r="EG327" s="35"/>
      <c r="EH327" s="35"/>
      <c r="EI327" s="35"/>
      <c r="EJ327" s="35"/>
      <c r="EK327" s="35"/>
      <c r="EL327" s="35"/>
      <c r="EM327" s="35"/>
      <c r="EN327" s="35"/>
      <c r="EO327" s="35"/>
      <c r="EP327" s="35"/>
      <c r="EQ327" s="35"/>
      <c r="ER327" s="35"/>
      <c r="ES327" s="35"/>
      <c r="ET327" s="35"/>
      <c r="EU327" s="35"/>
      <c r="EV327" s="35"/>
      <c r="EW327" s="35"/>
      <c r="EX327" s="35"/>
      <c r="EY327" s="35"/>
      <c r="EZ327" s="35"/>
      <c r="FA327" s="35"/>
      <c r="FB327" s="35"/>
      <c r="FC327" s="35"/>
      <c r="FD327" s="35"/>
      <c r="FE327" s="35"/>
      <c r="FF327" s="35"/>
      <c r="FG327" s="35"/>
      <c r="FH327" s="35"/>
      <c r="FI327" s="35"/>
      <c r="FJ327" s="35"/>
      <c r="FK327" s="35"/>
      <c r="FL327" s="35"/>
      <c r="FM327" s="35"/>
      <c r="FN327" s="35"/>
      <c r="FO327" s="35"/>
      <c r="FP327" s="35"/>
      <c r="FQ327" s="35"/>
      <c r="FR327" s="35"/>
      <c r="FS327" s="35"/>
      <c r="FT327" s="35"/>
      <c r="FU327" s="35"/>
      <c r="FV327" s="35"/>
      <c r="FW327" s="35"/>
      <c r="FX327" s="35"/>
      <c r="FY327" s="35"/>
      <c r="FZ327" s="35"/>
      <c r="GA327" s="35"/>
      <c r="GB327" s="35"/>
      <c r="GC327" s="35"/>
      <c r="GD327" s="35"/>
      <c r="GE327" s="35"/>
      <c r="GF327" s="35"/>
      <c r="GG327" s="35"/>
      <c r="GH327" s="35"/>
      <c r="GI327" s="35"/>
      <c r="GJ327" s="35"/>
      <c r="GK327" s="35"/>
      <c r="GL327" s="35"/>
      <c r="GM327" s="35"/>
      <c r="GN327" s="35"/>
      <c r="GO327" s="35"/>
      <c r="GP327" s="35"/>
      <c r="GQ327" s="35"/>
      <c r="GR327" s="35"/>
      <c r="GS327" s="35"/>
      <c r="GT327" s="35"/>
      <c r="GU327" s="35"/>
      <c r="GV327" s="35"/>
      <c r="GW327" s="35"/>
      <c r="GX327" s="35"/>
      <c r="GY327" s="35"/>
      <c r="GZ327" s="35"/>
      <c r="HA327" s="35"/>
      <c r="HB327" s="35"/>
      <c r="HC327" s="35"/>
      <c r="HD327" s="35"/>
      <c r="HE327" s="35"/>
      <c r="HF327" s="35"/>
      <c r="HG327" s="35"/>
      <c r="HH327" s="35"/>
      <c r="HI327" s="35"/>
      <c r="HJ327" s="35"/>
      <c r="HK327" s="35"/>
      <c r="HL327" s="35"/>
      <c r="HM327" s="35"/>
      <c r="HN327" s="35"/>
      <c r="HO327" s="35"/>
      <c r="HP327" s="35"/>
      <c r="HQ327" s="35"/>
      <c r="HR327" s="35"/>
      <c r="HS327" s="35"/>
      <c r="HT327" s="35"/>
      <c r="HU327" s="35"/>
      <c r="HV327" s="35"/>
      <c r="HW327" s="35"/>
      <c r="HX327" s="35"/>
      <c r="HY327" s="35"/>
      <c r="HZ327" s="35"/>
      <c r="IA327" s="35"/>
      <c r="IB327" s="35"/>
      <c r="IC327" s="35"/>
      <c r="ID327" s="35"/>
      <c r="IE327" s="35"/>
      <c r="IF327" s="35"/>
      <c r="IG327" s="35"/>
      <c r="IH327" s="35"/>
      <c r="II327" s="35"/>
      <c r="IJ327" s="35"/>
      <c r="IK327" s="35"/>
      <c r="IL327" s="35"/>
      <c r="IM327" s="35"/>
      <c r="IN327" s="35"/>
      <c r="IO327" s="35"/>
      <c r="IP327" s="35"/>
      <c r="IQ327" s="35"/>
      <c r="IR327" s="35"/>
      <c r="IS327" s="35"/>
      <c r="IT327" s="35"/>
      <c r="IU327" s="35"/>
      <c r="IV327" s="35"/>
      <c r="IW327" s="35"/>
      <c r="IX327" s="35"/>
      <c r="IY327" s="35"/>
      <c r="IZ327" s="35"/>
      <c r="JA327" s="35"/>
      <c r="JB327" s="35"/>
      <c r="JC327" s="35"/>
      <c r="JD327" s="35"/>
      <c r="JE327" s="35"/>
      <c r="JF327" s="35"/>
      <c r="JG327" s="35"/>
      <c r="JH327" s="35"/>
      <c r="JI327" s="35"/>
      <c r="JJ327" s="35"/>
      <c r="JK327" s="35"/>
      <c r="JL327" s="35"/>
      <c r="JM327" s="35"/>
      <c r="JN327" s="35"/>
      <c r="JO327" s="35"/>
      <c r="JP327" s="35"/>
      <c r="JQ327" s="35"/>
      <c r="JR327" s="35"/>
      <c r="JS327" s="35"/>
      <c r="JT327" s="35"/>
      <c r="JU327" s="35"/>
      <c r="JV327" s="35"/>
      <c r="JW327" s="35"/>
      <c r="JX327" s="35"/>
      <c r="JY327" s="35"/>
      <c r="JZ327" s="35"/>
      <c r="KA327" s="35"/>
      <c r="KB327" s="35"/>
      <c r="KC327" s="35"/>
      <c r="KD327" s="35"/>
      <c r="KE327" s="35"/>
      <c r="KF327" s="35"/>
      <c r="KG327" s="35"/>
      <c r="KH327" s="35"/>
      <c r="KI327" s="35"/>
      <c r="KJ327" s="35"/>
      <c r="KK327" s="35"/>
      <c r="KL327" s="35"/>
      <c r="KM327" s="35"/>
      <c r="KN327" s="35"/>
      <c r="KO327" s="35"/>
      <c r="KP327" s="35"/>
      <c r="KQ327" s="35"/>
      <c r="KR327" s="35"/>
      <c r="KS327" s="35"/>
      <c r="KT327" s="35"/>
      <c r="KU327" s="35"/>
      <c r="KV327" s="35"/>
      <c r="KW327" s="35"/>
      <c r="KX327" s="35"/>
      <c r="KY327" s="35"/>
      <c r="KZ327" s="35"/>
      <c r="LA327" s="35"/>
      <c r="LB327" s="35"/>
      <c r="LC327" s="35"/>
      <c r="LD327" s="35"/>
      <c r="LE327" s="35"/>
      <c r="LF327" s="35"/>
      <c r="LG327" s="35"/>
      <c r="LH327" s="35"/>
      <c r="LI327" s="35"/>
      <c r="LJ327" s="35"/>
      <c r="LK327" s="35"/>
      <c r="LL327" s="35"/>
      <c r="LM327" s="35"/>
      <c r="LN327" s="35"/>
      <c r="LO327" s="35"/>
      <c r="LP327" s="35"/>
      <c r="LQ327" s="35"/>
      <c r="LR327" s="35"/>
      <c r="LS327" s="35"/>
      <c r="LT327" s="35"/>
      <c r="LU327" s="35"/>
      <c r="LV327" s="35"/>
      <c r="LW327" s="35"/>
      <c r="LX327" s="35"/>
      <c r="LY327" s="35"/>
      <c r="LZ327" s="35"/>
      <c r="MA327" s="35"/>
      <c r="MB327" s="35"/>
      <c r="MC327" s="35"/>
      <c r="MD327" s="35"/>
      <c r="ME327" s="35"/>
      <c r="MF327" s="35"/>
      <c r="MG327" s="35"/>
    </row>
    <row r="328" spans="1:345" s="67" customFormat="1" ht="36" hidden="1" customHeight="1" x14ac:dyDescent="0.25">
      <c r="B328" s="28" t="s">
        <v>250</v>
      </c>
      <c r="C328" s="24" t="s">
        <v>31</v>
      </c>
      <c r="D328" s="19" t="s">
        <v>536</v>
      </c>
      <c r="E328" s="18">
        <v>44050</v>
      </c>
      <c r="F328" s="27">
        <f t="shared" ca="1" si="4"/>
        <v>423</v>
      </c>
      <c r="G328" s="68"/>
      <c r="H328" s="25"/>
      <c r="I328" s="62" t="s">
        <v>206</v>
      </c>
      <c r="J328" s="68"/>
      <c r="K328" s="22"/>
      <c r="L328" s="23">
        <v>44068</v>
      </c>
      <c r="M328" s="23"/>
      <c r="N328" s="33" t="s">
        <v>4468</v>
      </c>
      <c r="O328" s="26" t="s">
        <v>4467</v>
      </c>
      <c r="P328" s="35"/>
      <c r="Q328" s="35"/>
      <c r="R328" s="20"/>
      <c r="S328" s="35"/>
      <c r="T328" s="35"/>
      <c r="U328" s="35"/>
      <c r="V328" s="35"/>
      <c r="W328" s="35"/>
      <c r="X328" s="35"/>
      <c r="Y328" s="35"/>
      <c r="Z328" s="35"/>
      <c r="AA328" s="35"/>
      <c r="AB328" s="35"/>
      <c r="AC328" s="35"/>
      <c r="AD328" s="35"/>
      <c r="AE328" s="35"/>
      <c r="AF328" s="35"/>
      <c r="AG328" s="35"/>
      <c r="AH328" s="35"/>
      <c r="AI328" s="35"/>
      <c r="AJ328" s="35"/>
      <c r="AK328" s="35"/>
      <c r="AL328" s="35"/>
      <c r="AM328" s="35"/>
      <c r="AN328" s="35"/>
      <c r="AO328" s="35"/>
      <c r="AP328" s="35"/>
      <c r="AQ328" s="35"/>
      <c r="AR328" s="35"/>
      <c r="AS328" s="35"/>
      <c r="AT328" s="35"/>
      <c r="AU328" s="35"/>
      <c r="AV328" s="35"/>
      <c r="AW328" s="35"/>
      <c r="AX328" s="35"/>
      <c r="AY328" s="35"/>
      <c r="AZ328" s="35"/>
      <c r="BA328" s="35"/>
      <c r="BB328" s="35"/>
      <c r="BC328" s="35"/>
      <c r="BD328" s="35"/>
      <c r="BE328" s="35"/>
      <c r="BF328" s="35"/>
      <c r="BG328" s="35"/>
      <c r="BH328" s="35"/>
      <c r="BI328" s="35"/>
      <c r="BJ328" s="35"/>
      <c r="BK328" s="35"/>
      <c r="BL328" s="35"/>
      <c r="BM328" s="35"/>
      <c r="BN328" s="35"/>
      <c r="BO328" s="35"/>
      <c r="BP328" s="35"/>
      <c r="BQ328" s="35"/>
      <c r="BR328" s="35"/>
      <c r="BS328" s="35"/>
      <c r="BT328" s="35"/>
      <c r="BU328" s="35"/>
      <c r="BV328" s="35"/>
      <c r="BW328" s="35"/>
      <c r="BX328" s="35"/>
      <c r="BY328" s="35"/>
      <c r="BZ328" s="35"/>
      <c r="CA328" s="35"/>
      <c r="CB328" s="35"/>
      <c r="CC328" s="35"/>
      <c r="CD328" s="35"/>
      <c r="CE328" s="35"/>
      <c r="CF328" s="35"/>
      <c r="CG328" s="35"/>
      <c r="CH328" s="35"/>
      <c r="CI328" s="35"/>
      <c r="CJ328" s="35"/>
      <c r="CK328" s="35"/>
      <c r="CL328" s="35"/>
      <c r="CM328" s="35"/>
      <c r="CN328" s="35"/>
      <c r="CO328" s="35"/>
      <c r="CP328" s="35"/>
      <c r="CQ328" s="35"/>
      <c r="CR328" s="35"/>
      <c r="CS328" s="35"/>
      <c r="CT328" s="35"/>
      <c r="CU328" s="35"/>
      <c r="CV328" s="35"/>
      <c r="CW328" s="35"/>
      <c r="CX328" s="35"/>
      <c r="CY328" s="35"/>
      <c r="CZ328" s="35"/>
      <c r="DA328" s="35"/>
      <c r="DB328" s="35"/>
      <c r="DC328" s="35"/>
      <c r="DD328" s="35"/>
      <c r="DE328" s="35"/>
      <c r="DF328" s="35"/>
      <c r="DG328" s="35"/>
      <c r="DH328" s="35"/>
      <c r="DI328" s="35"/>
      <c r="DJ328" s="35"/>
      <c r="DK328" s="35"/>
      <c r="DL328" s="35"/>
      <c r="DM328" s="35"/>
      <c r="DN328" s="35"/>
      <c r="DO328" s="35"/>
      <c r="DP328" s="35"/>
      <c r="DQ328" s="35"/>
      <c r="DR328" s="35"/>
      <c r="DS328" s="35"/>
      <c r="DT328" s="35"/>
      <c r="DU328" s="35"/>
      <c r="DV328" s="35"/>
      <c r="DW328" s="35"/>
      <c r="DX328" s="35"/>
      <c r="DY328" s="35"/>
      <c r="DZ328" s="35"/>
      <c r="EA328" s="35"/>
      <c r="EB328" s="35"/>
      <c r="EC328" s="35"/>
      <c r="ED328" s="35"/>
      <c r="EE328" s="35"/>
      <c r="EF328" s="35"/>
      <c r="EG328" s="35"/>
      <c r="EH328" s="35"/>
      <c r="EI328" s="35"/>
      <c r="EJ328" s="35"/>
      <c r="EK328" s="35"/>
      <c r="EL328" s="35"/>
      <c r="EM328" s="35"/>
      <c r="EN328" s="35"/>
      <c r="EO328" s="35"/>
      <c r="EP328" s="35"/>
      <c r="EQ328" s="35"/>
      <c r="ER328" s="35"/>
      <c r="ES328" s="35"/>
      <c r="ET328" s="35"/>
      <c r="EU328" s="35"/>
      <c r="EV328" s="35"/>
      <c r="EW328" s="35"/>
      <c r="EX328" s="35"/>
      <c r="EY328" s="35"/>
      <c r="EZ328" s="35"/>
      <c r="FA328" s="35"/>
      <c r="FB328" s="35"/>
      <c r="FC328" s="35"/>
      <c r="FD328" s="35"/>
      <c r="FE328" s="35"/>
      <c r="FF328" s="35"/>
      <c r="FG328" s="35"/>
      <c r="FH328" s="35"/>
      <c r="FI328" s="35"/>
      <c r="FJ328" s="35"/>
      <c r="FK328" s="35"/>
      <c r="FL328" s="35"/>
      <c r="FM328" s="35"/>
      <c r="FN328" s="35"/>
      <c r="FO328" s="35"/>
      <c r="FP328" s="35"/>
      <c r="FQ328" s="35"/>
      <c r="FR328" s="35"/>
      <c r="FS328" s="35"/>
      <c r="FT328" s="35"/>
      <c r="FU328" s="35"/>
      <c r="FV328" s="35"/>
      <c r="FW328" s="35"/>
      <c r="FX328" s="35"/>
      <c r="FY328" s="35"/>
      <c r="FZ328" s="35"/>
      <c r="GA328" s="35"/>
      <c r="GB328" s="35"/>
      <c r="GC328" s="35"/>
      <c r="GD328" s="35"/>
      <c r="GE328" s="35"/>
      <c r="GF328" s="35"/>
      <c r="GG328" s="35"/>
      <c r="GH328" s="35"/>
      <c r="GI328" s="35"/>
      <c r="GJ328" s="35"/>
      <c r="GK328" s="35"/>
      <c r="GL328" s="35"/>
      <c r="GM328" s="35"/>
      <c r="GN328" s="35"/>
      <c r="GO328" s="35"/>
      <c r="GP328" s="35"/>
      <c r="GQ328" s="35"/>
      <c r="GR328" s="35"/>
      <c r="GS328" s="35"/>
      <c r="GT328" s="35"/>
      <c r="GU328" s="35"/>
      <c r="GV328" s="35"/>
      <c r="GW328" s="35"/>
      <c r="GX328" s="35"/>
      <c r="GY328" s="35"/>
      <c r="GZ328" s="35"/>
      <c r="HA328" s="35"/>
      <c r="HB328" s="35"/>
      <c r="HC328" s="35"/>
      <c r="HD328" s="35"/>
      <c r="HE328" s="35"/>
      <c r="HF328" s="35"/>
      <c r="HG328" s="35"/>
      <c r="HH328" s="35"/>
      <c r="HI328" s="35"/>
      <c r="HJ328" s="35"/>
      <c r="HK328" s="35"/>
      <c r="HL328" s="35"/>
      <c r="HM328" s="35"/>
      <c r="HN328" s="35"/>
      <c r="HO328" s="35"/>
      <c r="HP328" s="35"/>
      <c r="HQ328" s="35"/>
      <c r="HR328" s="35"/>
      <c r="HS328" s="35"/>
      <c r="HT328" s="35"/>
      <c r="HU328" s="35"/>
      <c r="HV328" s="35"/>
      <c r="HW328" s="35"/>
      <c r="HX328" s="35"/>
      <c r="HY328" s="35"/>
      <c r="HZ328" s="35"/>
      <c r="IA328" s="35"/>
      <c r="IB328" s="35"/>
      <c r="IC328" s="35"/>
      <c r="ID328" s="35"/>
      <c r="IE328" s="35"/>
      <c r="IF328" s="35"/>
      <c r="IG328" s="35"/>
      <c r="IH328" s="35"/>
      <c r="II328" s="35"/>
      <c r="IJ328" s="35"/>
      <c r="IK328" s="35"/>
      <c r="IL328" s="35"/>
      <c r="IM328" s="35"/>
      <c r="IN328" s="35"/>
      <c r="IO328" s="35"/>
      <c r="IP328" s="35"/>
      <c r="IQ328" s="35"/>
      <c r="IR328" s="35"/>
      <c r="IS328" s="35"/>
      <c r="IT328" s="35"/>
      <c r="IU328" s="35"/>
      <c r="IV328" s="35"/>
      <c r="IW328" s="35"/>
      <c r="IX328" s="35"/>
      <c r="IY328" s="35"/>
      <c r="IZ328" s="35"/>
      <c r="JA328" s="35"/>
      <c r="JB328" s="35"/>
      <c r="JC328" s="35"/>
      <c r="JD328" s="35"/>
      <c r="JE328" s="35"/>
      <c r="JF328" s="35"/>
      <c r="JG328" s="35"/>
      <c r="JH328" s="35"/>
      <c r="JI328" s="35"/>
      <c r="JJ328" s="35"/>
      <c r="JK328" s="35"/>
      <c r="JL328" s="35"/>
      <c r="JM328" s="35"/>
      <c r="JN328" s="35"/>
      <c r="JO328" s="35"/>
      <c r="JP328" s="35"/>
      <c r="JQ328" s="35"/>
      <c r="JR328" s="35"/>
      <c r="JS328" s="35"/>
      <c r="JT328" s="35"/>
      <c r="JU328" s="35"/>
      <c r="JV328" s="35"/>
      <c r="JW328" s="35"/>
      <c r="JX328" s="35"/>
      <c r="JY328" s="35"/>
      <c r="JZ328" s="35"/>
      <c r="KA328" s="35"/>
      <c r="KB328" s="35"/>
      <c r="KC328" s="35"/>
      <c r="KD328" s="35"/>
      <c r="KE328" s="35"/>
      <c r="KF328" s="35"/>
      <c r="KG328" s="35"/>
      <c r="KH328" s="35"/>
      <c r="KI328" s="35"/>
      <c r="KJ328" s="35"/>
      <c r="KK328" s="35"/>
      <c r="KL328" s="35"/>
      <c r="KM328" s="35"/>
      <c r="KN328" s="35"/>
      <c r="KO328" s="35"/>
      <c r="KP328" s="35"/>
      <c r="KQ328" s="35"/>
      <c r="KR328" s="35"/>
      <c r="KS328" s="35"/>
      <c r="KT328" s="35"/>
      <c r="KU328" s="35"/>
      <c r="KV328" s="35"/>
      <c r="KW328" s="35"/>
      <c r="KX328" s="35"/>
      <c r="KY328" s="35"/>
      <c r="KZ328" s="35"/>
      <c r="LA328" s="35"/>
      <c r="LB328" s="35"/>
      <c r="LC328" s="35"/>
      <c r="LD328" s="35"/>
      <c r="LE328" s="35"/>
      <c r="LF328" s="35"/>
      <c r="LG328" s="35"/>
      <c r="LH328" s="35"/>
      <c r="LI328" s="35"/>
      <c r="LJ328" s="35"/>
      <c r="LK328" s="35"/>
      <c r="LL328" s="35"/>
      <c r="LM328" s="35"/>
      <c r="LN328" s="35"/>
      <c r="LO328" s="35"/>
      <c r="LP328" s="35"/>
      <c r="LQ328" s="35"/>
      <c r="LR328" s="35"/>
      <c r="LS328" s="35"/>
      <c r="LT328" s="35"/>
      <c r="LU328" s="35"/>
      <c r="LV328" s="35"/>
      <c r="LW328" s="35"/>
      <c r="LX328" s="35"/>
      <c r="LY328" s="35"/>
      <c r="LZ328" s="35"/>
      <c r="MA328" s="35"/>
      <c r="MB328" s="35"/>
      <c r="MC328" s="35"/>
      <c r="MD328" s="35"/>
      <c r="ME328" s="35"/>
      <c r="MF328" s="35"/>
      <c r="MG328" s="35"/>
    </row>
    <row r="329" spans="1:345" s="67" customFormat="1" ht="36" hidden="1" customHeight="1" x14ac:dyDescent="0.25">
      <c r="B329" s="28" t="s">
        <v>456</v>
      </c>
      <c r="C329" s="24" t="s">
        <v>37</v>
      </c>
      <c r="D329" s="19" t="s">
        <v>569</v>
      </c>
      <c r="E329" s="18">
        <v>44053</v>
      </c>
      <c r="F329" s="27">
        <f t="shared" ca="1" si="4"/>
        <v>420</v>
      </c>
      <c r="G329" s="68"/>
      <c r="H329" s="25"/>
      <c r="I329" s="62" t="s">
        <v>206</v>
      </c>
      <c r="J329" s="68"/>
      <c r="K329" s="22"/>
      <c r="L329" s="23">
        <v>44069</v>
      </c>
      <c r="M329" s="23"/>
      <c r="N329" s="33" t="s">
        <v>153</v>
      </c>
      <c r="O329" s="26"/>
      <c r="P329" s="35"/>
      <c r="Q329" s="35"/>
      <c r="R329" s="20"/>
      <c r="S329" s="35"/>
      <c r="T329" s="35"/>
      <c r="U329" s="35"/>
      <c r="V329" s="35"/>
      <c r="W329" s="35"/>
      <c r="X329" s="35"/>
      <c r="Y329" s="35"/>
      <c r="Z329" s="35"/>
      <c r="AA329" s="35"/>
      <c r="AB329" s="35"/>
      <c r="AC329" s="35"/>
      <c r="AD329" s="35"/>
      <c r="AE329" s="35"/>
      <c r="AF329" s="35"/>
      <c r="AG329" s="35"/>
      <c r="AH329" s="35"/>
      <c r="AI329" s="35"/>
      <c r="AJ329" s="35"/>
      <c r="AK329" s="35"/>
      <c r="AL329" s="35"/>
      <c r="AM329" s="35"/>
      <c r="AN329" s="35"/>
      <c r="AO329" s="35"/>
      <c r="AP329" s="35"/>
      <c r="AQ329" s="35"/>
      <c r="AR329" s="35"/>
      <c r="AS329" s="35"/>
      <c r="AT329" s="35"/>
      <c r="AU329" s="35"/>
      <c r="AV329" s="35"/>
      <c r="AW329" s="35"/>
      <c r="AX329" s="35"/>
      <c r="AY329" s="35"/>
      <c r="AZ329" s="35"/>
      <c r="BA329" s="35"/>
      <c r="BB329" s="35"/>
      <c r="BC329" s="35"/>
      <c r="BD329" s="35"/>
      <c r="BE329" s="35"/>
      <c r="BF329" s="35"/>
      <c r="BG329" s="35"/>
      <c r="BH329" s="35"/>
      <c r="BI329" s="35"/>
      <c r="BJ329" s="35"/>
      <c r="BK329" s="35"/>
      <c r="BL329" s="35"/>
      <c r="BM329" s="35"/>
      <c r="BN329" s="35"/>
      <c r="BO329" s="35"/>
      <c r="BP329" s="35"/>
      <c r="BQ329" s="35"/>
      <c r="BR329" s="35"/>
      <c r="BS329" s="35"/>
      <c r="BT329" s="35"/>
      <c r="BU329" s="35"/>
      <c r="BV329" s="35"/>
      <c r="BW329" s="35"/>
      <c r="BX329" s="35"/>
      <c r="BY329" s="35"/>
      <c r="BZ329" s="35"/>
      <c r="CA329" s="35"/>
      <c r="CB329" s="35"/>
      <c r="CC329" s="35"/>
      <c r="CD329" s="35"/>
      <c r="CE329" s="35"/>
      <c r="CF329" s="35"/>
      <c r="CG329" s="35"/>
      <c r="CH329" s="35"/>
      <c r="CI329" s="35"/>
      <c r="CJ329" s="35"/>
      <c r="CK329" s="35"/>
      <c r="CL329" s="35"/>
      <c r="CM329" s="35"/>
      <c r="CN329" s="35"/>
      <c r="CO329" s="35"/>
      <c r="CP329" s="35"/>
      <c r="CQ329" s="35"/>
      <c r="CR329" s="35"/>
      <c r="CS329" s="35"/>
      <c r="CT329" s="35"/>
      <c r="CU329" s="35"/>
      <c r="CV329" s="35"/>
      <c r="CW329" s="35"/>
      <c r="CX329" s="35"/>
      <c r="CY329" s="35"/>
      <c r="CZ329" s="35"/>
      <c r="DA329" s="35"/>
      <c r="DB329" s="35"/>
      <c r="DC329" s="35"/>
      <c r="DD329" s="35"/>
      <c r="DE329" s="35"/>
      <c r="DF329" s="35"/>
      <c r="DG329" s="35"/>
      <c r="DH329" s="35"/>
      <c r="DI329" s="35"/>
      <c r="DJ329" s="35"/>
      <c r="DK329" s="35"/>
      <c r="DL329" s="35"/>
      <c r="DM329" s="35"/>
      <c r="DN329" s="35"/>
      <c r="DO329" s="35"/>
      <c r="DP329" s="35"/>
      <c r="DQ329" s="35"/>
      <c r="DR329" s="35"/>
      <c r="DS329" s="35"/>
      <c r="DT329" s="35"/>
      <c r="DU329" s="35"/>
      <c r="DV329" s="35"/>
      <c r="DW329" s="35"/>
      <c r="DX329" s="35"/>
      <c r="DY329" s="35"/>
      <c r="DZ329" s="35"/>
      <c r="EA329" s="35"/>
      <c r="EB329" s="35"/>
      <c r="EC329" s="35"/>
      <c r="ED329" s="35"/>
      <c r="EE329" s="35"/>
      <c r="EF329" s="35"/>
      <c r="EG329" s="35"/>
      <c r="EH329" s="35"/>
      <c r="EI329" s="35"/>
      <c r="EJ329" s="35"/>
      <c r="EK329" s="35"/>
      <c r="EL329" s="35"/>
      <c r="EM329" s="35"/>
      <c r="EN329" s="35"/>
      <c r="EO329" s="35"/>
      <c r="EP329" s="35"/>
      <c r="EQ329" s="35"/>
      <c r="ER329" s="35"/>
      <c r="ES329" s="35"/>
      <c r="ET329" s="35"/>
      <c r="EU329" s="35"/>
      <c r="EV329" s="35"/>
      <c r="EW329" s="35"/>
      <c r="EX329" s="35"/>
      <c r="EY329" s="35"/>
      <c r="EZ329" s="35"/>
      <c r="FA329" s="35"/>
      <c r="FB329" s="35"/>
      <c r="FC329" s="35"/>
      <c r="FD329" s="35"/>
      <c r="FE329" s="35"/>
      <c r="FF329" s="35"/>
      <c r="FG329" s="35"/>
      <c r="FH329" s="35"/>
      <c r="FI329" s="35"/>
      <c r="FJ329" s="35"/>
      <c r="FK329" s="35"/>
      <c r="FL329" s="35"/>
      <c r="FM329" s="35"/>
      <c r="FN329" s="35"/>
      <c r="FO329" s="35"/>
      <c r="FP329" s="35"/>
      <c r="FQ329" s="35"/>
      <c r="FR329" s="35"/>
      <c r="FS329" s="35"/>
      <c r="FT329" s="35"/>
      <c r="FU329" s="35"/>
      <c r="FV329" s="35"/>
      <c r="FW329" s="35"/>
      <c r="FX329" s="35"/>
      <c r="FY329" s="35"/>
      <c r="FZ329" s="35"/>
      <c r="GA329" s="35"/>
      <c r="GB329" s="35"/>
      <c r="GC329" s="35"/>
      <c r="GD329" s="35"/>
      <c r="GE329" s="35"/>
      <c r="GF329" s="35"/>
      <c r="GG329" s="35"/>
      <c r="GH329" s="35"/>
      <c r="GI329" s="35"/>
      <c r="GJ329" s="35"/>
      <c r="GK329" s="35"/>
      <c r="GL329" s="35"/>
      <c r="GM329" s="35"/>
      <c r="GN329" s="35"/>
      <c r="GO329" s="35"/>
      <c r="GP329" s="35"/>
      <c r="GQ329" s="35"/>
      <c r="GR329" s="35"/>
      <c r="GS329" s="35"/>
      <c r="GT329" s="35"/>
      <c r="GU329" s="35"/>
      <c r="GV329" s="35"/>
      <c r="GW329" s="35"/>
      <c r="GX329" s="35"/>
      <c r="GY329" s="35"/>
      <c r="GZ329" s="35"/>
      <c r="HA329" s="35"/>
      <c r="HB329" s="35"/>
      <c r="HC329" s="35"/>
      <c r="HD329" s="35"/>
      <c r="HE329" s="35"/>
      <c r="HF329" s="35"/>
      <c r="HG329" s="35"/>
      <c r="HH329" s="35"/>
      <c r="HI329" s="35"/>
      <c r="HJ329" s="35"/>
      <c r="HK329" s="35"/>
      <c r="HL329" s="35"/>
      <c r="HM329" s="35"/>
      <c r="HN329" s="35"/>
      <c r="HO329" s="35"/>
      <c r="HP329" s="35"/>
      <c r="HQ329" s="35"/>
      <c r="HR329" s="35"/>
      <c r="HS329" s="35"/>
      <c r="HT329" s="35"/>
      <c r="HU329" s="35"/>
      <c r="HV329" s="35"/>
      <c r="HW329" s="35"/>
      <c r="HX329" s="35"/>
      <c r="HY329" s="35"/>
      <c r="HZ329" s="35"/>
      <c r="IA329" s="35"/>
      <c r="IB329" s="35"/>
      <c r="IC329" s="35"/>
      <c r="ID329" s="35"/>
      <c r="IE329" s="35"/>
      <c r="IF329" s="35"/>
      <c r="IG329" s="35"/>
      <c r="IH329" s="35"/>
      <c r="II329" s="35"/>
      <c r="IJ329" s="35"/>
      <c r="IK329" s="35"/>
      <c r="IL329" s="35"/>
      <c r="IM329" s="35"/>
      <c r="IN329" s="35"/>
      <c r="IO329" s="35"/>
      <c r="IP329" s="35"/>
      <c r="IQ329" s="35"/>
      <c r="IR329" s="35"/>
      <c r="IS329" s="35"/>
      <c r="IT329" s="35"/>
      <c r="IU329" s="35"/>
      <c r="IV329" s="35"/>
      <c r="IW329" s="35"/>
      <c r="IX329" s="35"/>
      <c r="IY329" s="35"/>
      <c r="IZ329" s="35"/>
      <c r="JA329" s="35"/>
      <c r="JB329" s="35"/>
      <c r="JC329" s="35"/>
      <c r="JD329" s="35"/>
      <c r="JE329" s="35"/>
      <c r="JF329" s="35"/>
      <c r="JG329" s="35"/>
      <c r="JH329" s="35"/>
      <c r="JI329" s="35"/>
      <c r="JJ329" s="35"/>
      <c r="JK329" s="35"/>
      <c r="JL329" s="35"/>
      <c r="JM329" s="35"/>
      <c r="JN329" s="35"/>
      <c r="JO329" s="35"/>
      <c r="JP329" s="35"/>
      <c r="JQ329" s="35"/>
      <c r="JR329" s="35"/>
      <c r="JS329" s="35"/>
      <c r="JT329" s="35"/>
      <c r="JU329" s="35"/>
      <c r="JV329" s="35"/>
      <c r="JW329" s="35"/>
      <c r="JX329" s="35"/>
      <c r="JY329" s="35"/>
      <c r="JZ329" s="35"/>
      <c r="KA329" s="35"/>
      <c r="KB329" s="35"/>
      <c r="KC329" s="35"/>
      <c r="KD329" s="35"/>
      <c r="KE329" s="35"/>
      <c r="KF329" s="35"/>
      <c r="KG329" s="35"/>
      <c r="KH329" s="35"/>
      <c r="KI329" s="35"/>
      <c r="KJ329" s="35"/>
      <c r="KK329" s="35"/>
      <c r="KL329" s="35"/>
      <c r="KM329" s="35"/>
      <c r="KN329" s="35"/>
      <c r="KO329" s="35"/>
      <c r="KP329" s="35"/>
      <c r="KQ329" s="35"/>
      <c r="KR329" s="35"/>
      <c r="KS329" s="35"/>
      <c r="KT329" s="35"/>
      <c r="KU329" s="35"/>
      <c r="KV329" s="35"/>
      <c r="KW329" s="35"/>
      <c r="KX329" s="35"/>
      <c r="KY329" s="35"/>
      <c r="KZ329" s="35"/>
      <c r="LA329" s="35"/>
      <c r="LB329" s="35"/>
      <c r="LC329" s="35"/>
      <c r="LD329" s="35"/>
      <c r="LE329" s="35"/>
      <c r="LF329" s="35"/>
      <c r="LG329" s="35"/>
      <c r="LH329" s="35"/>
      <c r="LI329" s="35"/>
      <c r="LJ329" s="35"/>
      <c r="LK329" s="35"/>
      <c r="LL329" s="35"/>
      <c r="LM329" s="35"/>
      <c r="LN329" s="35"/>
      <c r="LO329" s="35"/>
      <c r="LP329" s="35"/>
      <c r="LQ329" s="35"/>
      <c r="LR329" s="35"/>
      <c r="LS329" s="35"/>
      <c r="LT329" s="35"/>
      <c r="LU329" s="35"/>
      <c r="LV329" s="35"/>
      <c r="LW329" s="35"/>
      <c r="LX329" s="35"/>
      <c r="LY329" s="35"/>
      <c r="LZ329" s="35"/>
      <c r="MA329" s="35"/>
      <c r="MB329" s="35"/>
      <c r="MC329" s="35"/>
      <c r="MD329" s="35"/>
      <c r="ME329" s="35"/>
      <c r="MF329" s="35"/>
      <c r="MG329" s="35"/>
    </row>
    <row r="330" spans="1:345" s="67" customFormat="1" ht="36" hidden="1" customHeight="1" x14ac:dyDescent="0.25">
      <c r="B330" s="28" t="s">
        <v>241</v>
      </c>
      <c r="C330" s="24" t="s">
        <v>37</v>
      </c>
      <c r="D330" s="19" t="s">
        <v>566</v>
      </c>
      <c r="E330" s="18">
        <v>44060</v>
      </c>
      <c r="F330" s="27">
        <f t="shared" ca="1" si="4"/>
        <v>413</v>
      </c>
      <c r="G330" s="68"/>
      <c r="H330" s="25"/>
      <c r="I330" s="62" t="s">
        <v>206</v>
      </c>
      <c r="J330" s="68"/>
      <c r="K330" s="22"/>
      <c r="L330" s="23">
        <v>44061</v>
      </c>
      <c r="M330" s="33"/>
      <c r="N330" s="33" t="s">
        <v>153</v>
      </c>
      <c r="O330" s="26"/>
      <c r="P330" s="35"/>
      <c r="Q330" s="35"/>
      <c r="R330" s="20"/>
      <c r="S330" s="35"/>
      <c r="T330" s="35"/>
      <c r="U330" s="35"/>
      <c r="V330" s="35"/>
      <c r="W330" s="35"/>
      <c r="X330" s="35"/>
      <c r="Y330" s="35"/>
      <c r="Z330" s="35"/>
      <c r="AA330" s="35"/>
      <c r="AB330" s="35"/>
      <c r="AC330" s="35"/>
      <c r="AD330" s="35"/>
      <c r="AE330" s="35"/>
      <c r="AF330" s="35"/>
      <c r="AG330" s="35"/>
      <c r="AH330" s="35"/>
      <c r="AI330" s="35"/>
      <c r="AJ330" s="35"/>
      <c r="AK330" s="35"/>
      <c r="AL330" s="35"/>
      <c r="AM330" s="35"/>
      <c r="AN330" s="35"/>
      <c r="AO330" s="35"/>
      <c r="AP330" s="35"/>
      <c r="AQ330" s="35"/>
      <c r="AR330" s="35"/>
      <c r="AS330" s="35"/>
      <c r="AT330" s="35"/>
      <c r="AU330" s="35"/>
      <c r="AV330" s="35"/>
      <c r="AW330" s="35"/>
      <c r="AX330" s="35"/>
      <c r="AY330" s="35"/>
      <c r="AZ330" s="35"/>
      <c r="BA330" s="35"/>
      <c r="BB330" s="35"/>
      <c r="BC330" s="35"/>
      <c r="BD330" s="35"/>
      <c r="BE330" s="35"/>
      <c r="BF330" s="35"/>
      <c r="BG330" s="35"/>
      <c r="BH330" s="35"/>
      <c r="BI330" s="35"/>
      <c r="BJ330" s="35"/>
      <c r="BK330" s="35"/>
      <c r="BL330" s="35"/>
      <c r="BM330" s="35"/>
      <c r="BN330" s="35"/>
      <c r="BO330" s="35"/>
      <c r="BP330" s="35"/>
      <c r="BQ330" s="35"/>
      <c r="BR330" s="35"/>
      <c r="BS330" s="35"/>
      <c r="BT330" s="35"/>
      <c r="BU330" s="35"/>
      <c r="BV330" s="35"/>
      <c r="BW330" s="35"/>
      <c r="BX330" s="35"/>
      <c r="BY330" s="35"/>
      <c r="BZ330" s="35"/>
      <c r="CA330" s="35"/>
      <c r="CB330" s="35"/>
      <c r="CC330" s="35"/>
      <c r="CD330" s="35"/>
      <c r="CE330" s="35"/>
      <c r="CF330" s="35"/>
      <c r="CG330" s="35"/>
      <c r="CH330" s="35"/>
      <c r="CI330" s="35"/>
      <c r="CJ330" s="35"/>
      <c r="CK330" s="35"/>
      <c r="CL330" s="35"/>
      <c r="CM330" s="35"/>
      <c r="CN330" s="35"/>
      <c r="CO330" s="35"/>
      <c r="CP330" s="35"/>
      <c r="CQ330" s="35"/>
      <c r="CR330" s="35"/>
      <c r="CS330" s="35"/>
      <c r="CT330" s="35"/>
      <c r="CU330" s="35"/>
      <c r="CV330" s="35"/>
      <c r="CW330" s="35"/>
      <c r="CX330" s="35"/>
      <c r="CY330" s="35"/>
      <c r="CZ330" s="35"/>
      <c r="DA330" s="35"/>
      <c r="DB330" s="35"/>
      <c r="DC330" s="35"/>
      <c r="DD330" s="35"/>
      <c r="DE330" s="35"/>
      <c r="DF330" s="35"/>
      <c r="DG330" s="35"/>
      <c r="DH330" s="35"/>
      <c r="DI330" s="35"/>
      <c r="DJ330" s="35"/>
      <c r="DK330" s="35"/>
      <c r="DL330" s="35"/>
      <c r="DM330" s="35"/>
      <c r="DN330" s="35"/>
      <c r="DO330" s="35"/>
      <c r="DP330" s="35"/>
      <c r="DQ330" s="35"/>
      <c r="DR330" s="35"/>
      <c r="DS330" s="35"/>
      <c r="DT330" s="35"/>
      <c r="DU330" s="35"/>
      <c r="DV330" s="35"/>
      <c r="DW330" s="35"/>
      <c r="DX330" s="35"/>
      <c r="DY330" s="35"/>
      <c r="DZ330" s="35"/>
      <c r="EA330" s="35"/>
      <c r="EB330" s="35"/>
      <c r="EC330" s="35"/>
      <c r="ED330" s="35"/>
      <c r="EE330" s="35"/>
      <c r="EF330" s="35"/>
      <c r="EG330" s="35"/>
      <c r="EH330" s="35"/>
      <c r="EI330" s="35"/>
      <c r="EJ330" s="35"/>
      <c r="EK330" s="35"/>
      <c r="EL330" s="35"/>
      <c r="EM330" s="35"/>
      <c r="EN330" s="35"/>
      <c r="EO330" s="35"/>
      <c r="EP330" s="35"/>
      <c r="EQ330" s="35"/>
      <c r="ER330" s="35"/>
      <c r="ES330" s="35"/>
      <c r="ET330" s="35"/>
      <c r="EU330" s="35"/>
      <c r="EV330" s="35"/>
      <c r="EW330" s="35"/>
      <c r="EX330" s="35"/>
      <c r="EY330" s="35"/>
      <c r="EZ330" s="35"/>
      <c r="FA330" s="35"/>
      <c r="FB330" s="35"/>
      <c r="FC330" s="35"/>
      <c r="FD330" s="35"/>
      <c r="FE330" s="35"/>
      <c r="FF330" s="35"/>
      <c r="FG330" s="35"/>
      <c r="FH330" s="35"/>
      <c r="FI330" s="35"/>
      <c r="FJ330" s="35"/>
      <c r="FK330" s="35"/>
      <c r="FL330" s="35"/>
      <c r="FM330" s="35"/>
      <c r="FN330" s="35"/>
      <c r="FO330" s="35"/>
      <c r="FP330" s="35"/>
      <c r="FQ330" s="35"/>
      <c r="FR330" s="35"/>
      <c r="FS330" s="35"/>
      <c r="FT330" s="35"/>
      <c r="FU330" s="35"/>
      <c r="FV330" s="35"/>
      <c r="FW330" s="35"/>
      <c r="FX330" s="35"/>
      <c r="FY330" s="35"/>
      <c r="FZ330" s="35"/>
      <c r="GA330" s="35"/>
      <c r="GB330" s="35"/>
      <c r="GC330" s="35"/>
      <c r="GD330" s="35"/>
      <c r="GE330" s="35"/>
      <c r="GF330" s="35"/>
      <c r="GG330" s="35"/>
      <c r="GH330" s="35"/>
      <c r="GI330" s="35"/>
      <c r="GJ330" s="35"/>
      <c r="GK330" s="35"/>
      <c r="GL330" s="35"/>
      <c r="GM330" s="35"/>
      <c r="GN330" s="35"/>
      <c r="GO330" s="35"/>
      <c r="GP330" s="35"/>
      <c r="GQ330" s="35"/>
      <c r="GR330" s="35"/>
      <c r="GS330" s="35"/>
      <c r="GT330" s="35"/>
      <c r="GU330" s="35"/>
      <c r="GV330" s="35"/>
      <c r="GW330" s="35"/>
      <c r="GX330" s="35"/>
      <c r="GY330" s="35"/>
      <c r="GZ330" s="35"/>
      <c r="HA330" s="35"/>
      <c r="HB330" s="35"/>
      <c r="HC330" s="35"/>
      <c r="HD330" s="35"/>
      <c r="HE330" s="35"/>
      <c r="HF330" s="35"/>
      <c r="HG330" s="35"/>
      <c r="HH330" s="35"/>
      <c r="HI330" s="35"/>
      <c r="HJ330" s="35"/>
      <c r="HK330" s="35"/>
      <c r="HL330" s="35"/>
      <c r="HM330" s="35"/>
      <c r="HN330" s="35"/>
      <c r="HO330" s="35"/>
      <c r="HP330" s="35"/>
      <c r="HQ330" s="35"/>
      <c r="HR330" s="35"/>
      <c r="HS330" s="35"/>
      <c r="HT330" s="35"/>
      <c r="HU330" s="35"/>
      <c r="HV330" s="35"/>
      <c r="HW330" s="35"/>
      <c r="HX330" s="35"/>
      <c r="HY330" s="35"/>
      <c r="HZ330" s="35"/>
      <c r="IA330" s="35"/>
      <c r="IB330" s="35"/>
      <c r="IC330" s="35"/>
      <c r="ID330" s="35"/>
      <c r="IE330" s="35"/>
      <c r="IF330" s="35"/>
      <c r="IG330" s="35"/>
      <c r="IH330" s="35"/>
      <c r="II330" s="35"/>
      <c r="IJ330" s="35"/>
      <c r="IK330" s="35"/>
      <c r="IL330" s="35"/>
      <c r="IM330" s="35"/>
      <c r="IN330" s="35"/>
      <c r="IO330" s="35"/>
      <c r="IP330" s="35"/>
      <c r="IQ330" s="35"/>
      <c r="IR330" s="35"/>
      <c r="IS330" s="35"/>
      <c r="IT330" s="35"/>
      <c r="IU330" s="35"/>
      <c r="IV330" s="35"/>
      <c r="IW330" s="35"/>
      <c r="IX330" s="35"/>
      <c r="IY330" s="35"/>
      <c r="IZ330" s="35"/>
      <c r="JA330" s="35"/>
      <c r="JB330" s="35"/>
      <c r="JC330" s="35"/>
      <c r="JD330" s="35"/>
      <c r="JE330" s="35"/>
      <c r="JF330" s="35"/>
      <c r="JG330" s="35"/>
      <c r="JH330" s="35"/>
      <c r="JI330" s="35"/>
      <c r="JJ330" s="35"/>
      <c r="JK330" s="35"/>
      <c r="JL330" s="35"/>
      <c r="JM330" s="35"/>
      <c r="JN330" s="35"/>
      <c r="JO330" s="35"/>
      <c r="JP330" s="35"/>
      <c r="JQ330" s="35"/>
      <c r="JR330" s="35"/>
      <c r="JS330" s="35"/>
      <c r="JT330" s="35"/>
      <c r="JU330" s="35"/>
      <c r="JV330" s="35"/>
      <c r="JW330" s="35"/>
      <c r="JX330" s="35"/>
      <c r="JY330" s="35"/>
      <c r="JZ330" s="35"/>
      <c r="KA330" s="35"/>
      <c r="KB330" s="35"/>
      <c r="KC330" s="35"/>
      <c r="KD330" s="35"/>
      <c r="KE330" s="35"/>
      <c r="KF330" s="35"/>
      <c r="KG330" s="35"/>
      <c r="KH330" s="35"/>
      <c r="KI330" s="35"/>
      <c r="KJ330" s="35"/>
      <c r="KK330" s="35"/>
      <c r="KL330" s="35"/>
      <c r="KM330" s="35"/>
      <c r="KN330" s="35"/>
      <c r="KO330" s="35"/>
      <c r="KP330" s="35"/>
      <c r="KQ330" s="35"/>
      <c r="KR330" s="35"/>
      <c r="KS330" s="35"/>
      <c r="KT330" s="35"/>
      <c r="KU330" s="35"/>
      <c r="KV330" s="35"/>
      <c r="KW330" s="35"/>
      <c r="KX330" s="35"/>
      <c r="KY330" s="35"/>
      <c r="KZ330" s="35"/>
      <c r="LA330" s="35"/>
      <c r="LB330" s="35"/>
      <c r="LC330" s="35"/>
      <c r="LD330" s="35"/>
      <c r="LE330" s="35"/>
      <c r="LF330" s="35"/>
      <c r="LG330" s="35"/>
      <c r="LH330" s="35"/>
      <c r="LI330" s="35"/>
      <c r="LJ330" s="35"/>
      <c r="LK330" s="35"/>
      <c r="LL330" s="35"/>
      <c r="LM330" s="35"/>
      <c r="LN330" s="35"/>
      <c r="LO330" s="35"/>
      <c r="LP330" s="35"/>
      <c r="LQ330" s="35"/>
      <c r="LR330" s="35"/>
      <c r="LS330" s="35"/>
      <c r="LT330" s="35"/>
      <c r="LU330" s="35"/>
      <c r="LV330" s="35"/>
      <c r="LW330" s="35"/>
      <c r="LX330" s="35"/>
      <c r="LY330" s="35"/>
      <c r="LZ330" s="35"/>
      <c r="MA330" s="35"/>
      <c r="MB330" s="35"/>
      <c r="MC330" s="35"/>
      <c r="MD330" s="35"/>
      <c r="ME330" s="35"/>
      <c r="MF330" s="35"/>
      <c r="MG330" s="35"/>
    </row>
    <row r="331" spans="1:345" s="67" customFormat="1" ht="36" hidden="1" customHeight="1" x14ac:dyDescent="0.25">
      <c r="B331" s="23" t="s">
        <v>243</v>
      </c>
      <c r="C331" s="24" t="s">
        <v>23</v>
      </c>
      <c r="D331" s="26" t="s">
        <v>567</v>
      </c>
      <c r="E331" s="18">
        <v>44061</v>
      </c>
      <c r="F331" s="27">
        <f t="shared" ca="1" si="4"/>
        <v>412</v>
      </c>
      <c r="G331" s="68"/>
      <c r="H331" s="25"/>
      <c r="I331" s="62" t="s">
        <v>206</v>
      </c>
      <c r="J331" s="68"/>
      <c r="K331" s="22"/>
      <c r="L331" s="23">
        <v>44061</v>
      </c>
      <c r="M331" s="33"/>
      <c r="N331" s="33" t="s">
        <v>153</v>
      </c>
      <c r="O331" s="26" t="s">
        <v>4465</v>
      </c>
      <c r="P331" s="35"/>
      <c r="Q331" s="35"/>
      <c r="R331" s="20"/>
      <c r="S331" s="35"/>
      <c r="T331" s="35"/>
      <c r="U331" s="35"/>
      <c r="V331" s="35"/>
      <c r="W331" s="35"/>
      <c r="X331" s="35"/>
      <c r="Y331" s="35"/>
      <c r="Z331" s="35"/>
      <c r="AA331" s="35"/>
      <c r="AB331" s="35"/>
      <c r="AC331" s="35"/>
      <c r="AD331" s="35"/>
      <c r="AE331" s="35"/>
      <c r="AF331" s="35"/>
      <c r="AG331" s="35"/>
      <c r="AH331" s="35"/>
      <c r="AI331" s="35"/>
      <c r="AJ331" s="35"/>
      <c r="AK331" s="35"/>
      <c r="AL331" s="35"/>
      <c r="AM331" s="35"/>
      <c r="AN331" s="35"/>
      <c r="AO331" s="35"/>
      <c r="AP331" s="35"/>
      <c r="AQ331" s="35"/>
      <c r="AR331" s="35"/>
      <c r="AS331" s="35"/>
      <c r="AT331" s="35"/>
      <c r="AU331" s="35"/>
      <c r="AV331" s="35"/>
      <c r="AW331" s="35"/>
      <c r="AX331" s="35"/>
      <c r="AY331" s="35"/>
      <c r="AZ331" s="35"/>
      <c r="BA331" s="35"/>
      <c r="BB331" s="35"/>
      <c r="BC331" s="35"/>
      <c r="BD331" s="35"/>
      <c r="BE331" s="35"/>
      <c r="BF331" s="35"/>
      <c r="BG331" s="35"/>
      <c r="BH331" s="35"/>
      <c r="BI331" s="35"/>
      <c r="BJ331" s="35"/>
      <c r="BK331" s="35"/>
      <c r="BL331" s="35"/>
      <c r="BM331" s="35"/>
      <c r="BN331" s="35"/>
      <c r="BO331" s="35"/>
      <c r="BP331" s="35"/>
      <c r="BQ331" s="35"/>
      <c r="BR331" s="35"/>
      <c r="BS331" s="35"/>
      <c r="BT331" s="35"/>
      <c r="BU331" s="35"/>
      <c r="BV331" s="35"/>
      <c r="BW331" s="35"/>
      <c r="BX331" s="35"/>
      <c r="BY331" s="35"/>
      <c r="BZ331" s="35"/>
      <c r="CA331" s="35"/>
      <c r="CB331" s="35"/>
      <c r="CC331" s="35"/>
      <c r="CD331" s="35"/>
      <c r="CE331" s="35"/>
      <c r="CF331" s="35"/>
      <c r="CG331" s="35"/>
      <c r="CH331" s="35"/>
      <c r="CI331" s="35"/>
      <c r="CJ331" s="35"/>
      <c r="CK331" s="35"/>
      <c r="CL331" s="35"/>
      <c r="CM331" s="35"/>
      <c r="CN331" s="35"/>
      <c r="CO331" s="35"/>
      <c r="CP331" s="35"/>
      <c r="CQ331" s="35"/>
      <c r="CR331" s="35"/>
      <c r="CS331" s="35"/>
      <c r="CT331" s="35"/>
      <c r="CU331" s="35"/>
      <c r="CV331" s="35"/>
      <c r="CW331" s="35"/>
      <c r="CX331" s="35"/>
      <c r="CY331" s="35"/>
      <c r="CZ331" s="35"/>
      <c r="DA331" s="35"/>
      <c r="DB331" s="35"/>
      <c r="DC331" s="35"/>
      <c r="DD331" s="35"/>
      <c r="DE331" s="35"/>
      <c r="DF331" s="35"/>
      <c r="DG331" s="35"/>
      <c r="DH331" s="35"/>
      <c r="DI331" s="35"/>
      <c r="DJ331" s="35"/>
      <c r="DK331" s="35"/>
      <c r="DL331" s="35"/>
      <c r="DM331" s="35"/>
      <c r="DN331" s="35"/>
      <c r="DO331" s="35"/>
      <c r="DP331" s="35"/>
      <c r="DQ331" s="35"/>
      <c r="DR331" s="35"/>
      <c r="DS331" s="35"/>
      <c r="DT331" s="35"/>
      <c r="DU331" s="35"/>
      <c r="DV331" s="35"/>
      <c r="DW331" s="35"/>
      <c r="DX331" s="35"/>
      <c r="DY331" s="35"/>
      <c r="DZ331" s="35"/>
      <c r="EA331" s="35"/>
      <c r="EB331" s="35"/>
      <c r="EC331" s="35"/>
      <c r="ED331" s="35"/>
      <c r="EE331" s="35"/>
      <c r="EF331" s="35"/>
      <c r="EG331" s="35"/>
      <c r="EH331" s="35"/>
      <c r="EI331" s="35"/>
      <c r="EJ331" s="35"/>
      <c r="EK331" s="35"/>
      <c r="EL331" s="35"/>
      <c r="EM331" s="35"/>
      <c r="EN331" s="35"/>
      <c r="EO331" s="35"/>
      <c r="EP331" s="35"/>
      <c r="EQ331" s="35"/>
      <c r="ER331" s="35"/>
      <c r="ES331" s="35"/>
      <c r="ET331" s="35"/>
      <c r="EU331" s="35"/>
      <c r="EV331" s="35"/>
      <c r="EW331" s="35"/>
      <c r="EX331" s="35"/>
      <c r="EY331" s="35"/>
      <c r="EZ331" s="35"/>
      <c r="FA331" s="35"/>
      <c r="FB331" s="35"/>
      <c r="FC331" s="35"/>
      <c r="FD331" s="35"/>
      <c r="FE331" s="35"/>
      <c r="FF331" s="35"/>
      <c r="FG331" s="35"/>
      <c r="FH331" s="35"/>
      <c r="FI331" s="35"/>
      <c r="FJ331" s="35"/>
      <c r="FK331" s="35"/>
      <c r="FL331" s="35"/>
      <c r="FM331" s="35"/>
      <c r="FN331" s="35"/>
      <c r="FO331" s="35"/>
      <c r="FP331" s="35"/>
      <c r="FQ331" s="35"/>
      <c r="FR331" s="35"/>
      <c r="FS331" s="35"/>
      <c r="FT331" s="35"/>
      <c r="FU331" s="35"/>
      <c r="FV331" s="35"/>
      <c r="FW331" s="35"/>
      <c r="FX331" s="35"/>
      <c r="FY331" s="35"/>
      <c r="FZ331" s="35"/>
      <c r="GA331" s="35"/>
      <c r="GB331" s="35"/>
      <c r="GC331" s="35"/>
      <c r="GD331" s="35"/>
      <c r="GE331" s="35"/>
      <c r="GF331" s="35"/>
      <c r="GG331" s="35"/>
      <c r="GH331" s="35"/>
      <c r="GI331" s="35"/>
      <c r="GJ331" s="35"/>
      <c r="GK331" s="35"/>
      <c r="GL331" s="35"/>
      <c r="GM331" s="35"/>
      <c r="GN331" s="35"/>
      <c r="GO331" s="35"/>
      <c r="GP331" s="35"/>
      <c r="GQ331" s="35"/>
      <c r="GR331" s="35"/>
      <c r="GS331" s="35"/>
      <c r="GT331" s="35"/>
      <c r="GU331" s="35"/>
      <c r="GV331" s="35"/>
      <c r="GW331" s="35"/>
      <c r="GX331" s="35"/>
      <c r="GY331" s="35"/>
      <c r="GZ331" s="35"/>
      <c r="HA331" s="35"/>
      <c r="HB331" s="35"/>
      <c r="HC331" s="35"/>
      <c r="HD331" s="35"/>
      <c r="HE331" s="35"/>
      <c r="HF331" s="35"/>
      <c r="HG331" s="35"/>
      <c r="HH331" s="35"/>
      <c r="HI331" s="35"/>
      <c r="HJ331" s="35"/>
      <c r="HK331" s="35"/>
      <c r="HL331" s="35"/>
      <c r="HM331" s="35"/>
      <c r="HN331" s="35"/>
      <c r="HO331" s="35"/>
      <c r="HP331" s="35"/>
      <c r="HQ331" s="35"/>
      <c r="HR331" s="35"/>
      <c r="HS331" s="35"/>
      <c r="HT331" s="35"/>
      <c r="HU331" s="35"/>
      <c r="HV331" s="35"/>
      <c r="HW331" s="35"/>
      <c r="HX331" s="35"/>
      <c r="HY331" s="35"/>
      <c r="HZ331" s="35"/>
      <c r="IA331" s="35"/>
      <c r="IB331" s="35"/>
      <c r="IC331" s="35"/>
      <c r="ID331" s="35"/>
      <c r="IE331" s="35"/>
      <c r="IF331" s="35"/>
      <c r="IG331" s="35"/>
      <c r="IH331" s="35"/>
      <c r="II331" s="35"/>
      <c r="IJ331" s="35"/>
      <c r="IK331" s="35"/>
      <c r="IL331" s="35"/>
      <c r="IM331" s="35"/>
      <c r="IN331" s="35"/>
      <c r="IO331" s="35"/>
      <c r="IP331" s="35"/>
      <c r="IQ331" s="35"/>
      <c r="IR331" s="35"/>
      <c r="IS331" s="35"/>
      <c r="IT331" s="35"/>
      <c r="IU331" s="35"/>
      <c r="IV331" s="35"/>
      <c r="IW331" s="35"/>
      <c r="IX331" s="35"/>
      <c r="IY331" s="35"/>
      <c r="IZ331" s="35"/>
      <c r="JA331" s="35"/>
      <c r="JB331" s="35"/>
      <c r="JC331" s="35"/>
      <c r="JD331" s="35"/>
      <c r="JE331" s="35"/>
      <c r="JF331" s="35"/>
      <c r="JG331" s="35"/>
      <c r="JH331" s="35"/>
      <c r="JI331" s="35"/>
      <c r="JJ331" s="35"/>
      <c r="JK331" s="35"/>
      <c r="JL331" s="35"/>
      <c r="JM331" s="35"/>
      <c r="JN331" s="35"/>
      <c r="JO331" s="35"/>
      <c r="JP331" s="35"/>
      <c r="JQ331" s="35"/>
      <c r="JR331" s="35"/>
      <c r="JS331" s="35"/>
      <c r="JT331" s="35"/>
      <c r="JU331" s="35"/>
      <c r="JV331" s="35"/>
      <c r="JW331" s="35"/>
      <c r="JX331" s="35"/>
      <c r="JY331" s="35"/>
      <c r="JZ331" s="35"/>
      <c r="KA331" s="35"/>
      <c r="KB331" s="35"/>
      <c r="KC331" s="35"/>
      <c r="KD331" s="35"/>
      <c r="KE331" s="35"/>
      <c r="KF331" s="35"/>
      <c r="KG331" s="35"/>
      <c r="KH331" s="35"/>
      <c r="KI331" s="35"/>
      <c r="KJ331" s="35"/>
      <c r="KK331" s="35"/>
      <c r="KL331" s="35"/>
      <c r="KM331" s="35"/>
      <c r="KN331" s="35"/>
      <c r="KO331" s="35"/>
      <c r="KP331" s="35"/>
      <c r="KQ331" s="35"/>
      <c r="KR331" s="35"/>
      <c r="KS331" s="35"/>
      <c r="KT331" s="35"/>
      <c r="KU331" s="35"/>
      <c r="KV331" s="35"/>
      <c r="KW331" s="35"/>
      <c r="KX331" s="35"/>
      <c r="KY331" s="35"/>
      <c r="KZ331" s="35"/>
      <c r="LA331" s="35"/>
      <c r="LB331" s="35"/>
      <c r="LC331" s="35"/>
      <c r="LD331" s="35"/>
      <c r="LE331" s="35"/>
      <c r="LF331" s="35"/>
      <c r="LG331" s="35"/>
      <c r="LH331" s="35"/>
      <c r="LI331" s="35"/>
      <c r="LJ331" s="35"/>
      <c r="LK331" s="35"/>
      <c r="LL331" s="35"/>
      <c r="LM331" s="35"/>
      <c r="LN331" s="35"/>
      <c r="LO331" s="35"/>
      <c r="LP331" s="35"/>
      <c r="LQ331" s="35"/>
      <c r="LR331" s="35"/>
      <c r="LS331" s="35"/>
      <c r="LT331" s="35"/>
      <c r="LU331" s="35"/>
      <c r="LV331" s="35"/>
      <c r="LW331" s="35"/>
      <c r="LX331" s="35"/>
      <c r="LY331" s="35"/>
      <c r="LZ331" s="35"/>
      <c r="MA331" s="35"/>
      <c r="MB331" s="35"/>
      <c r="MC331" s="35"/>
      <c r="MD331" s="35"/>
      <c r="ME331" s="35"/>
      <c r="MF331" s="35"/>
      <c r="MG331" s="35"/>
    </row>
    <row r="332" spans="1:345" s="67" customFormat="1" ht="36" hidden="1" customHeight="1" x14ac:dyDescent="0.25">
      <c r="B332" s="23" t="s">
        <v>232</v>
      </c>
      <c r="C332" s="24" t="s">
        <v>11</v>
      </c>
      <c r="D332" s="26" t="s">
        <v>573</v>
      </c>
      <c r="E332" s="18">
        <v>44061</v>
      </c>
      <c r="F332" s="27">
        <f t="shared" ca="1" si="4"/>
        <v>412</v>
      </c>
      <c r="G332" s="68"/>
      <c r="H332" s="25"/>
      <c r="I332" s="62" t="s">
        <v>206</v>
      </c>
      <c r="J332" s="68"/>
      <c r="K332" s="22"/>
      <c r="L332" s="23">
        <v>44061</v>
      </c>
      <c r="M332" s="33"/>
      <c r="N332" s="33" t="s">
        <v>153</v>
      </c>
      <c r="O332" s="26" t="s">
        <v>4464</v>
      </c>
      <c r="P332" s="35"/>
      <c r="Q332" s="35"/>
      <c r="R332" s="20"/>
      <c r="S332" s="35"/>
      <c r="T332" s="35"/>
      <c r="U332" s="35"/>
      <c r="V332" s="35"/>
      <c r="W332" s="35"/>
      <c r="X332" s="35"/>
      <c r="Y332" s="35"/>
      <c r="Z332" s="35"/>
      <c r="AA332" s="35"/>
      <c r="AB332" s="35"/>
      <c r="AC332" s="35"/>
      <c r="AD332" s="35"/>
      <c r="AE332" s="35"/>
      <c r="AF332" s="35"/>
      <c r="AG332" s="35"/>
      <c r="AH332" s="35"/>
      <c r="AI332" s="35"/>
      <c r="AJ332" s="35"/>
      <c r="AK332" s="35"/>
      <c r="AL332" s="35"/>
      <c r="AM332" s="35"/>
      <c r="AN332" s="35"/>
      <c r="AO332" s="35"/>
      <c r="AP332" s="35"/>
      <c r="AQ332" s="35"/>
      <c r="AR332" s="35"/>
      <c r="AS332" s="35"/>
      <c r="AT332" s="35"/>
      <c r="AU332" s="35"/>
      <c r="AV332" s="35"/>
      <c r="AW332" s="35"/>
      <c r="AX332" s="35"/>
      <c r="AY332" s="35"/>
      <c r="AZ332" s="35"/>
      <c r="BA332" s="35"/>
      <c r="BB332" s="35"/>
      <c r="BC332" s="35"/>
      <c r="BD332" s="35"/>
      <c r="BE332" s="35"/>
      <c r="BF332" s="35"/>
      <c r="BG332" s="35"/>
      <c r="BH332" s="35"/>
      <c r="BI332" s="35"/>
      <c r="BJ332" s="35"/>
      <c r="BK332" s="35"/>
      <c r="BL332" s="35"/>
      <c r="BM332" s="35"/>
      <c r="BN332" s="35"/>
      <c r="BO332" s="35"/>
      <c r="BP332" s="35"/>
      <c r="BQ332" s="35"/>
      <c r="BR332" s="35"/>
      <c r="BS332" s="35"/>
      <c r="BT332" s="35"/>
      <c r="BU332" s="35"/>
      <c r="BV332" s="35"/>
      <c r="BW332" s="35"/>
      <c r="BX332" s="35"/>
      <c r="BY332" s="35"/>
      <c r="BZ332" s="35"/>
      <c r="CA332" s="35"/>
      <c r="CB332" s="35"/>
      <c r="CC332" s="35"/>
      <c r="CD332" s="35"/>
      <c r="CE332" s="35"/>
      <c r="CF332" s="35"/>
      <c r="CG332" s="35"/>
      <c r="CH332" s="35"/>
      <c r="CI332" s="35"/>
      <c r="CJ332" s="35"/>
      <c r="CK332" s="35"/>
      <c r="CL332" s="35"/>
      <c r="CM332" s="35"/>
      <c r="CN332" s="35"/>
      <c r="CO332" s="35"/>
      <c r="CP332" s="35"/>
      <c r="CQ332" s="35"/>
      <c r="CR332" s="35"/>
      <c r="CS332" s="35"/>
      <c r="CT332" s="35"/>
      <c r="CU332" s="35"/>
      <c r="CV332" s="35"/>
      <c r="CW332" s="35"/>
      <c r="CX332" s="35"/>
      <c r="CY332" s="35"/>
      <c r="CZ332" s="35"/>
      <c r="DA332" s="35"/>
      <c r="DB332" s="35"/>
      <c r="DC332" s="35"/>
      <c r="DD332" s="35"/>
      <c r="DE332" s="35"/>
      <c r="DF332" s="35"/>
      <c r="DG332" s="35"/>
      <c r="DH332" s="35"/>
      <c r="DI332" s="35"/>
      <c r="DJ332" s="35"/>
      <c r="DK332" s="35"/>
      <c r="DL332" s="35"/>
      <c r="DM332" s="35"/>
      <c r="DN332" s="35"/>
      <c r="DO332" s="35"/>
      <c r="DP332" s="35"/>
      <c r="DQ332" s="35"/>
      <c r="DR332" s="35"/>
      <c r="DS332" s="35"/>
      <c r="DT332" s="35"/>
      <c r="DU332" s="35"/>
      <c r="DV332" s="35"/>
      <c r="DW332" s="35"/>
      <c r="DX332" s="35"/>
      <c r="DY332" s="35"/>
      <c r="DZ332" s="35"/>
      <c r="EA332" s="35"/>
      <c r="EB332" s="35"/>
      <c r="EC332" s="35"/>
      <c r="ED332" s="35"/>
      <c r="EE332" s="35"/>
      <c r="EF332" s="35"/>
      <c r="EG332" s="35"/>
      <c r="EH332" s="35"/>
      <c r="EI332" s="35"/>
      <c r="EJ332" s="35"/>
      <c r="EK332" s="35"/>
      <c r="EL332" s="35"/>
      <c r="EM332" s="35"/>
      <c r="EN332" s="35"/>
      <c r="EO332" s="35"/>
      <c r="EP332" s="35"/>
      <c r="EQ332" s="35"/>
      <c r="ER332" s="35"/>
      <c r="ES332" s="35"/>
      <c r="ET332" s="35"/>
      <c r="EU332" s="35"/>
      <c r="EV332" s="35"/>
      <c r="EW332" s="35"/>
      <c r="EX332" s="35"/>
      <c r="EY332" s="35"/>
      <c r="EZ332" s="35"/>
      <c r="FA332" s="35"/>
      <c r="FB332" s="35"/>
      <c r="FC332" s="35"/>
      <c r="FD332" s="35"/>
      <c r="FE332" s="35"/>
      <c r="FF332" s="35"/>
      <c r="FG332" s="35"/>
      <c r="FH332" s="35"/>
      <c r="FI332" s="35"/>
      <c r="FJ332" s="35"/>
      <c r="FK332" s="35"/>
      <c r="FL332" s="35"/>
      <c r="FM332" s="35"/>
      <c r="FN332" s="35"/>
      <c r="FO332" s="35"/>
      <c r="FP332" s="35"/>
      <c r="FQ332" s="35"/>
      <c r="FR332" s="35"/>
      <c r="FS332" s="35"/>
      <c r="FT332" s="35"/>
      <c r="FU332" s="35"/>
      <c r="FV332" s="35"/>
      <c r="FW332" s="35"/>
      <c r="FX332" s="35"/>
      <c r="FY332" s="35"/>
      <c r="FZ332" s="35"/>
      <c r="GA332" s="35"/>
      <c r="GB332" s="35"/>
      <c r="GC332" s="35"/>
      <c r="GD332" s="35"/>
      <c r="GE332" s="35"/>
      <c r="GF332" s="35"/>
      <c r="GG332" s="35"/>
      <c r="GH332" s="35"/>
      <c r="GI332" s="35"/>
      <c r="GJ332" s="35"/>
      <c r="GK332" s="35"/>
      <c r="GL332" s="35"/>
      <c r="GM332" s="35"/>
      <c r="GN332" s="35"/>
      <c r="GO332" s="35"/>
      <c r="GP332" s="35"/>
      <c r="GQ332" s="35"/>
      <c r="GR332" s="35"/>
      <c r="GS332" s="35"/>
      <c r="GT332" s="35"/>
      <c r="GU332" s="35"/>
      <c r="GV332" s="35"/>
      <c r="GW332" s="35"/>
      <c r="GX332" s="35"/>
      <c r="GY332" s="35"/>
      <c r="GZ332" s="35"/>
      <c r="HA332" s="35"/>
      <c r="HB332" s="35"/>
      <c r="HC332" s="35"/>
      <c r="HD332" s="35"/>
      <c r="HE332" s="35"/>
      <c r="HF332" s="35"/>
      <c r="HG332" s="35"/>
      <c r="HH332" s="35"/>
      <c r="HI332" s="35"/>
      <c r="HJ332" s="35"/>
      <c r="HK332" s="35"/>
      <c r="HL332" s="35"/>
      <c r="HM332" s="35"/>
      <c r="HN332" s="35"/>
      <c r="HO332" s="35"/>
      <c r="HP332" s="35"/>
      <c r="HQ332" s="35"/>
      <c r="HR332" s="35"/>
      <c r="HS332" s="35"/>
      <c r="HT332" s="35"/>
      <c r="HU332" s="35"/>
      <c r="HV332" s="35"/>
      <c r="HW332" s="35"/>
      <c r="HX332" s="35"/>
      <c r="HY332" s="35"/>
      <c r="HZ332" s="35"/>
      <c r="IA332" s="35"/>
      <c r="IB332" s="35"/>
      <c r="IC332" s="35"/>
      <c r="ID332" s="35"/>
      <c r="IE332" s="35"/>
      <c r="IF332" s="35"/>
      <c r="IG332" s="35"/>
      <c r="IH332" s="35"/>
      <c r="II332" s="35"/>
      <c r="IJ332" s="35"/>
      <c r="IK332" s="35"/>
      <c r="IL332" s="35"/>
      <c r="IM332" s="35"/>
      <c r="IN332" s="35"/>
      <c r="IO332" s="35"/>
      <c r="IP332" s="35"/>
      <c r="IQ332" s="35"/>
      <c r="IR332" s="35"/>
      <c r="IS332" s="35"/>
      <c r="IT332" s="35"/>
      <c r="IU332" s="35"/>
      <c r="IV332" s="35"/>
      <c r="IW332" s="35"/>
      <c r="IX332" s="35"/>
      <c r="IY332" s="35"/>
      <c r="IZ332" s="35"/>
      <c r="JA332" s="35"/>
      <c r="JB332" s="35"/>
      <c r="JC332" s="35"/>
      <c r="JD332" s="35"/>
      <c r="JE332" s="35"/>
      <c r="JF332" s="35"/>
      <c r="JG332" s="35"/>
      <c r="JH332" s="35"/>
      <c r="JI332" s="35"/>
      <c r="JJ332" s="35"/>
      <c r="JK332" s="35"/>
      <c r="JL332" s="35"/>
      <c r="JM332" s="35"/>
      <c r="JN332" s="35"/>
      <c r="JO332" s="35"/>
      <c r="JP332" s="35"/>
      <c r="JQ332" s="35"/>
      <c r="JR332" s="35"/>
      <c r="JS332" s="35"/>
      <c r="JT332" s="35"/>
      <c r="JU332" s="35"/>
      <c r="JV332" s="35"/>
      <c r="JW332" s="35"/>
      <c r="JX332" s="35"/>
      <c r="JY332" s="35"/>
      <c r="JZ332" s="35"/>
      <c r="KA332" s="35"/>
      <c r="KB332" s="35"/>
      <c r="KC332" s="35"/>
      <c r="KD332" s="35"/>
      <c r="KE332" s="35"/>
      <c r="KF332" s="35"/>
      <c r="KG332" s="35"/>
      <c r="KH332" s="35"/>
      <c r="KI332" s="35"/>
      <c r="KJ332" s="35"/>
      <c r="KK332" s="35"/>
      <c r="KL332" s="35"/>
      <c r="KM332" s="35"/>
      <c r="KN332" s="35"/>
      <c r="KO332" s="35"/>
      <c r="KP332" s="35"/>
      <c r="KQ332" s="35"/>
      <c r="KR332" s="35"/>
      <c r="KS332" s="35"/>
      <c r="KT332" s="35"/>
      <c r="KU332" s="35"/>
      <c r="KV332" s="35"/>
      <c r="KW332" s="35"/>
      <c r="KX332" s="35"/>
      <c r="KY332" s="35"/>
      <c r="KZ332" s="35"/>
      <c r="LA332" s="35"/>
      <c r="LB332" s="35"/>
      <c r="LC332" s="35"/>
      <c r="LD332" s="35"/>
      <c r="LE332" s="35"/>
      <c r="LF332" s="35"/>
      <c r="LG332" s="35"/>
      <c r="LH332" s="35"/>
      <c r="LI332" s="35"/>
      <c r="LJ332" s="35"/>
      <c r="LK332" s="35"/>
      <c r="LL332" s="35"/>
      <c r="LM332" s="35"/>
      <c r="LN332" s="35"/>
      <c r="LO332" s="35"/>
      <c r="LP332" s="35"/>
      <c r="LQ332" s="35"/>
      <c r="LR332" s="35"/>
      <c r="LS332" s="35"/>
      <c r="LT332" s="35"/>
      <c r="LU332" s="35"/>
      <c r="LV332" s="35"/>
      <c r="LW332" s="35"/>
      <c r="LX332" s="35"/>
      <c r="LY332" s="35"/>
      <c r="LZ332" s="35"/>
      <c r="MA332" s="35"/>
      <c r="MB332" s="35"/>
      <c r="MC332" s="35"/>
      <c r="MD332" s="35"/>
      <c r="ME332" s="35"/>
      <c r="MF332" s="35"/>
      <c r="MG332" s="35"/>
    </row>
    <row r="333" spans="1:345" s="67" customFormat="1" ht="36" hidden="1" customHeight="1" x14ac:dyDescent="0.25">
      <c r="A333" s="113"/>
      <c r="B333" s="23" t="s">
        <v>4456</v>
      </c>
      <c r="C333" s="24" t="s">
        <v>35</v>
      </c>
      <c r="D333" s="26" t="s">
        <v>4457</v>
      </c>
      <c r="E333" s="18">
        <v>44061.274085648147</v>
      </c>
      <c r="F333" s="27">
        <f t="shared" ca="1" si="4"/>
        <v>411.72591435185313</v>
      </c>
      <c r="G333" s="68"/>
      <c r="H333" s="25"/>
      <c r="I333" s="62" t="s">
        <v>206</v>
      </c>
      <c r="J333" s="68"/>
      <c r="K333" s="22"/>
      <c r="L333" s="23">
        <v>44061</v>
      </c>
      <c r="M333" s="23"/>
      <c r="N333" s="33" t="s">
        <v>223</v>
      </c>
      <c r="O333" s="26" t="s">
        <v>1635</v>
      </c>
      <c r="P333" s="35"/>
      <c r="Q333" s="35"/>
      <c r="R333" s="20"/>
      <c r="S333" s="35"/>
      <c r="T333" s="35"/>
      <c r="U333" s="35"/>
      <c r="V333" s="35"/>
      <c r="W333" s="35"/>
      <c r="X333" s="35"/>
      <c r="Y333" s="35"/>
      <c r="Z333" s="35"/>
      <c r="AA333" s="35"/>
      <c r="AB333" s="35"/>
      <c r="AC333" s="35"/>
      <c r="AD333" s="35"/>
      <c r="AE333" s="35"/>
      <c r="AF333" s="35"/>
      <c r="AG333" s="35"/>
      <c r="AH333" s="35"/>
      <c r="AI333" s="35"/>
      <c r="AJ333" s="35"/>
      <c r="AK333" s="35"/>
      <c r="AL333" s="35"/>
      <c r="AM333" s="35"/>
      <c r="AN333" s="35"/>
      <c r="AO333" s="35"/>
      <c r="AP333" s="35"/>
      <c r="AQ333" s="35"/>
      <c r="AR333" s="35"/>
      <c r="AS333" s="35"/>
      <c r="AT333" s="35"/>
      <c r="AU333" s="35"/>
      <c r="AV333" s="35"/>
      <c r="AW333" s="35"/>
      <c r="AX333" s="35"/>
      <c r="AY333" s="35"/>
      <c r="AZ333" s="35"/>
      <c r="BA333" s="35"/>
      <c r="BB333" s="35"/>
      <c r="BC333" s="35"/>
      <c r="BD333" s="35"/>
      <c r="BE333" s="35"/>
      <c r="BF333" s="35"/>
      <c r="BG333" s="35"/>
      <c r="BH333" s="35"/>
      <c r="BI333" s="35"/>
      <c r="BJ333" s="35"/>
      <c r="BK333" s="35"/>
      <c r="BL333" s="35"/>
      <c r="BM333" s="35"/>
      <c r="BN333" s="35"/>
      <c r="BO333" s="35"/>
      <c r="BP333" s="35"/>
      <c r="BQ333" s="35"/>
      <c r="BR333" s="35"/>
      <c r="BS333" s="35"/>
      <c r="BT333" s="35"/>
      <c r="BU333" s="35"/>
      <c r="BV333" s="35"/>
      <c r="BW333" s="35"/>
      <c r="BX333" s="35"/>
      <c r="BY333" s="35"/>
      <c r="BZ333" s="35"/>
      <c r="CA333" s="35"/>
      <c r="CB333" s="35"/>
      <c r="CC333" s="35"/>
      <c r="CD333" s="35"/>
      <c r="CE333" s="35"/>
      <c r="CF333" s="35"/>
      <c r="CG333" s="35"/>
      <c r="CH333" s="35"/>
      <c r="CI333" s="35"/>
      <c r="CJ333" s="35"/>
      <c r="CK333" s="35"/>
      <c r="CL333" s="35"/>
      <c r="CM333" s="35"/>
      <c r="CN333" s="35"/>
      <c r="CO333" s="35"/>
      <c r="CP333" s="35"/>
      <c r="CQ333" s="35"/>
      <c r="CR333" s="35"/>
      <c r="CS333" s="35"/>
      <c r="CT333" s="35"/>
      <c r="CU333" s="35"/>
      <c r="CV333" s="35"/>
      <c r="CW333" s="35"/>
      <c r="CX333" s="35"/>
      <c r="CY333" s="35"/>
      <c r="CZ333" s="35"/>
      <c r="DA333" s="35"/>
      <c r="DB333" s="35"/>
      <c r="DC333" s="35"/>
      <c r="DD333" s="35"/>
      <c r="DE333" s="35"/>
      <c r="DF333" s="35"/>
      <c r="DG333" s="35"/>
      <c r="DH333" s="35"/>
      <c r="DI333" s="35"/>
      <c r="DJ333" s="35"/>
      <c r="DK333" s="35"/>
      <c r="DL333" s="35"/>
      <c r="DM333" s="35"/>
      <c r="DN333" s="35"/>
      <c r="DO333" s="35"/>
      <c r="DP333" s="35"/>
      <c r="DQ333" s="35"/>
      <c r="DR333" s="35"/>
      <c r="DS333" s="35"/>
      <c r="DT333" s="35"/>
      <c r="DU333" s="35"/>
      <c r="DV333" s="35"/>
      <c r="DW333" s="35"/>
      <c r="DX333" s="35"/>
      <c r="DY333" s="35"/>
      <c r="DZ333" s="35"/>
      <c r="EA333" s="35"/>
      <c r="EB333" s="35"/>
      <c r="EC333" s="35"/>
      <c r="ED333" s="35"/>
      <c r="EE333" s="35"/>
      <c r="EF333" s="35"/>
      <c r="EG333" s="35"/>
      <c r="EH333" s="35"/>
      <c r="EI333" s="35"/>
      <c r="EJ333" s="35"/>
      <c r="EK333" s="35"/>
      <c r="EL333" s="35"/>
      <c r="EM333" s="35"/>
      <c r="EN333" s="35"/>
      <c r="EO333" s="35"/>
      <c r="EP333" s="35"/>
      <c r="EQ333" s="35"/>
      <c r="ER333" s="35"/>
      <c r="ES333" s="35"/>
      <c r="ET333" s="35"/>
      <c r="EU333" s="35"/>
      <c r="EV333" s="35"/>
      <c r="EW333" s="35"/>
      <c r="EX333" s="35"/>
      <c r="EY333" s="35"/>
      <c r="EZ333" s="35"/>
      <c r="FA333" s="35"/>
      <c r="FB333" s="35"/>
      <c r="FC333" s="35"/>
      <c r="FD333" s="35"/>
      <c r="FE333" s="35"/>
      <c r="FF333" s="35"/>
      <c r="FG333" s="35"/>
      <c r="FH333" s="35"/>
      <c r="FI333" s="35"/>
      <c r="FJ333" s="35"/>
      <c r="FK333" s="35"/>
      <c r="FL333" s="35"/>
      <c r="FM333" s="35"/>
      <c r="FN333" s="35"/>
      <c r="FO333" s="35"/>
      <c r="FP333" s="35"/>
      <c r="FQ333" s="35"/>
      <c r="FR333" s="35"/>
      <c r="FS333" s="35"/>
      <c r="FT333" s="35"/>
      <c r="FU333" s="35"/>
      <c r="FV333" s="35"/>
      <c r="FW333" s="35"/>
      <c r="FX333" s="35"/>
      <c r="FY333" s="35"/>
      <c r="FZ333" s="35"/>
      <c r="GA333" s="35"/>
      <c r="GB333" s="35"/>
      <c r="GC333" s="35"/>
      <c r="GD333" s="35"/>
      <c r="GE333" s="35"/>
      <c r="GF333" s="35"/>
      <c r="GG333" s="35"/>
      <c r="GH333" s="35"/>
      <c r="GI333" s="35"/>
      <c r="GJ333" s="35"/>
      <c r="GK333" s="35"/>
      <c r="GL333" s="35"/>
      <c r="GM333" s="35"/>
      <c r="GN333" s="35"/>
      <c r="GO333" s="35"/>
      <c r="GP333" s="35"/>
      <c r="GQ333" s="35"/>
      <c r="GR333" s="35"/>
      <c r="GS333" s="35"/>
      <c r="GT333" s="35"/>
      <c r="GU333" s="35"/>
      <c r="GV333" s="35"/>
      <c r="GW333" s="35"/>
      <c r="GX333" s="35"/>
      <c r="GY333" s="35"/>
      <c r="GZ333" s="35"/>
      <c r="HA333" s="35"/>
      <c r="HB333" s="35"/>
      <c r="HC333" s="35"/>
      <c r="HD333" s="35"/>
      <c r="HE333" s="35"/>
      <c r="HF333" s="35"/>
      <c r="HG333" s="35"/>
      <c r="HH333" s="35"/>
      <c r="HI333" s="35"/>
      <c r="HJ333" s="35"/>
      <c r="HK333" s="35"/>
      <c r="HL333" s="35"/>
      <c r="HM333" s="35"/>
      <c r="HN333" s="35"/>
      <c r="HO333" s="35"/>
      <c r="HP333" s="35"/>
      <c r="HQ333" s="35"/>
      <c r="HR333" s="35"/>
      <c r="HS333" s="35"/>
      <c r="HT333" s="35"/>
      <c r="HU333" s="35"/>
      <c r="HV333" s="35"/>
      <c r="HW333" s="35"/>
      <c r="HX333" s="35"/>
      <c r="HY333" s="35"/>
      <c r="HZ333" s="35"/>
      <c r="IA333" s="35"/>
      <c r="IB333" s="35"/>
      <c r="IC333" s="35"/>
      <c r="ID333" s="35"/>
      <c r="IE333" s="35"/>
      <c r="IF333" s="35"/>
      <c r="IG333" s="35"/>
      <c r="IH333" s="35"/>
      <c r="II333" s="35"/>
      <c r="IJ333" s="35"/>
      <c r="IK333" s="35"/>
      <c r="IL333" s="35"/>
      <c r="IM333" s="35"/>
      <c r="IN333" s="35"/>
      <c r="IO333" s="35"/>
      <c r="IP333" s="35"/>
      <c r="IQ333" s="35"/>
      <c r="IR333" s="35"/>
      <c r="IS333" s="35"/>
      <c r="IT333" s="35"/>
      <c r="IU333" s="35"/>
      <c r="IV333" s="35"/>
      <c r="IW333" s="35"/>
      <c r="IX333" s="35"/>
      <c r="IY333" s="35"/>
      <c r="IZ333" s="35"/>
      <c r="JA333" s="35"/>
      <c r="JB333" s="35"/>
      <c r="JC333" s="35"/>
      <c r="JD333" s="35"/>
      <c r="JE333" s="35"/>
      <c r="JF333" s="35"/>
      <c r="JG333" s="35"/>
      <c r="JH333" s="35"/>
      <c r="JI333" s="35"/>
      <c r="JJ333" s="35"/>
      <c r="JK333" s="35"/>
      <c r="JL333" s="35"/>
      <c r="JM333" s="35"/>
      <c r="JN333" s="35"/>
      <c r="JO333" s="35"/>
      <c r="JP333" s="35"/>
      <c r="JQ333" s="35"/>
      <c r="JR333" s="35"/>
      <c r="JS333" s="35"/>
      <c r="JT333" s="35"/>
      <c r="JU333" s="35"/>
      <c r="JV333" s="35"/>
      <c r="JW333" s="35"/>
      <c r="JX333" s="35"/>
      <c r="JY333" s="35"/>
      <c r="JZ333" s="35"/>
      <c r="KA333" s="35"/>
      <c r="KB333" s="35"/>
      <c r="KC333" s="35"/>
      <c r="KD333" s="35"/>
      <c r="KE333" s="35"/>
      <c r="KF333" s="35"/>
      <c r="KG333" s="35"/>
      <c r="KH333" s="35"/>
      <c r="KI333" s="35"/>
      <c r="KJ333" s="35"/>
      <c r="KK333" s="35"/>
      <c r="KL333" s="35"/>
      <c r="KM333" s="35"/>
      <c r="KN333" s="35"/>
      <c r="KO333" s="35"/>
      <c r="KP333" s="35"/>
      <c r="KQ333" s="35"/>
      <c r="KR333" s="35"/>
      <c r="KS333" s="35"/>
      <c r="KT333" s="35"/>
      <c r="KU333" s="35"/>
      <c r="KV333" s="35"/>
      <c r="KW333" s="35"/>
      <c r="KX333" s="35"/>
      <c r="KY333" s="35"/>
      <c r="KZ333" s="35"/>
      <c r="LA333" s="35"/>
      <c r="LB333" s="35"/>
      <c r="LC333" s="35"/>
      <c r="LD333" s="35"/>
      <c r="LE333" s="35"/>
      <c r="LF333" s="35"/>
      <c r="LG333" s="35"/>
      <c r="LH333" s="35"/>
      <c r="LI333" s="35"/>
      <c r="LJ333" s="35"/>
      <c r="LK333" s="35"/>
      <c r="LL333" s="35"/>
      <c r="LM333" s="35"/>
      <c r="LN333" s="35"/>
      <c r="LO333" s="35"/>
      <c r="LP333" s="35"/>
      <c r="LQ333" s="35"/>
      <c r="LR333" s="35"/>
      <c r="LS333" s="35"/>
      <c r="LT333" s="35"/>
      <c r="LU333" s="35"/>
      <c r="LV333" s="35"/>
      <c r="LW333" s="35"/>
      <c r="LX333" s="35"/>
      <c r="LY333" s="35"/>
      <c r="LZ333" s="35"/>
      <c r="MA333" s="35"/>
      <c r="MB333" s="35"/>
      <c r="MC333" s="35"/>
      <c r="MD333" s="35"/>
      <c r="ME333" s="35"/>
      <c r="MF333" s="35"/>
      <c r="MG333" s="35"/>
    </row>
    <row r="334" spans="1:345" s="67" customFormat="1" ht="36" hidden="1" customHeight="1" x14ac:dyDescent="0.25">
      <c r="A334" s="110"/>
      <c r="B334" s="23" t="s">
        <v>353</v>
      </c>
      <c r="C334" s="24" t="s">
        <v>4458</v>
      </c>
      <c r="D334" s="26" t="s">
        <v>4459</v>
      </c>
      <c r="E334" s="18">
        <v>44061.497743055559</v>
      </c>
      <c r="F334" s="27">
        <f t="shared" ca="1" si="4"/>
        <v>411.50225694444089</v>
      </c>
      <c r="G334" s="68"/>
      <c r="H334" s="25"/>
      <c r="I334" s="112" t="s">
        <v>278</v>
      </c>
      <c r="J334" s="68"/>
      <c r="K334" s="22"/>
      <c r="L334" s="23">
        <v>44061</v>
      </c>
      <c r="M334" s="23"/>
      <c r="N334" s="33" t="s">
        <v>153</v>
      </c>
      <c r="O334" s="26" t="s">
        <v>4466</v>
      </c>
      <c r="P334" s="35"/>
      <c r="Q334" s="35"/>
      <c r="R334" s="20"/>
      <c r="S334" s="35"/>
      <c r="T334" s="35"/>
      <c r="U334" s="35"/>
      <c r="V334" s="35"/>
      <c r="W334" s="35"/>
      <c r="X334" s="35"/>
      <c r="Y334" s="35"/>
      <c r="Z334" s="35"/>
      <c r="AA334" s="35"/>
      <c r="AB334" s="35"/>
      <c r="AC334" s="35"/>
      <c r="AD334" s="35"/>
      <c r="AE334" s="35"/>
      <c r="AF334" s="35"/>
      <c r="AG334" s="35"/>
      <c r="AH334" s="35"/>
      <c r="AI334" s="35"/>
      <c r="AJ334" s="35"/>
      <c r="AK334" s="35"/>
      <c r="AL334" s="35"/>
      <c r="AM334" s="35"/>
      <c r="AN334" s="35"/>
      <c r="AO334" s="35"/>
      <c r="AP334" s="35"/>
      <c r="AQ334" s="35"/>
      <c r="AR334" s="35"/>
      <c r="AS334" s="35"/>
      <c r="AT334" s="35"/>
      <c r="AU334" s="35"/>
      <c r="AV334" s="35"/>
      <c r="AW334" s="35"/>
      <c r="AX334" s="35"/>
      <c r="AY334" s="35"/>
      <c r="AZ334" s="35"/>
      <c r="BA334" s="35"/>
      <c r="BB334" s="35"/>
      <c r="BC334" s="35"/>
      <c r="BD334" s="35"/>
      <c r="BE334" s="35"/>
      <c r="BF334" s="35"/>
      <c r="BG334" s="35"/>
      <c r="BH334" s="35"/>
      <c r="BI334" s="35"/>
      <c r="BJ334" s="35"/>
      <c r="BK334" s="35"/>
      <c r="BL334" s="35"/>
      <c r="BM334" s="35"/>
      <c r="BN334" s="35"/>
      <c r="BO334" s="35"/>
      <c r="BP334" s="35"/>
      <c r="BQ334" s="35"/>
      <c r="BR334" s="35"/>
      <c r="BS334" s="35"/>
      <c r="BT334" s="35"/>
      <c r="BU334" s="35"/>
      <c r="BV334" s="35"/>
      <c r="BW334" s="35"/>
      <c r="BX334" s="35"/>
      <c r="BY334" s="35"/>
      <c r="BZ334" s="35"/>
      <c r="CA334" s="35"/>
      <c r="CB334" s="35"/>
      <c r="CC334" s="35"/>
      <c r="CD334" s="35"/>
      <c r="CE334" s="35"/>
      <c r="CF334" s="35"/>
      <c r="CG334" s="35"/>
      <c r="CH334" s="35"/>
      <c r="CI334" s="35"/>
      <c r="CJ334" s="35"/>
      <c r="CK334" s="35"/>
      <c r="CL334" s="35"/>
      <c r="CM334" s="35"/>
      <c r="CN334" s="35"/>
      <c r="CO334" s="35"/>
      <c r="CP334" s="35"/>
      <c r="CQ334" s="35"/>
      <c r="CR334" s="35"/>
      <c r="CS334" s="35"/>
      <c r="CT334" s="35"/>
      <c r="CU334" s="35"/>
      <c r="CV334" s="35"/>
      <c r="CW334" s="35"/>
      <c r="CX334" s="35"/>
      <c r="CY334" s="35"/>
      <c r="CZ334" s="35"/>
      <c r="DA334" s="35"/>
      <c r="DB334" s="35"/>
      <c r="DC334" s="35"/>
      <c r="DD334" s="35"/>
      <c r="DE334" s="35"/>
      <c r="DF334" s="35"/>
      <c r="DG334" s="35"/>
      <c r="DH334" s="35"/>
      <c r="DI334" s="35"/>
      <c r="DJ334" s="35"/>
      <c r="DK334" s="35"/>
      <c r="DL334" s="35"/>
      <c r="DM334" s="35"/>
      <c r="DN334" s="35"/>
      <c r="DO334" s="35"/>
      <c r="DP334" s="35"/>
      <c r="DQ334" s="35"/>
      <c r="DR334" s="35"/>
      <c r="DS334" s="35"/>
      <c r="DT334" s="35"/>
      <c r="DU334" s="35"/>
      <c r="DV334" s="35"/>
      <c r="DW334" s="35"/>
      <c r="DX334" s="35"/>
      <c r="DY334" s="35"/>
      <c r="DZ334" s="35"/>
      <c r="EA334" s="35"/>
      <c r="EB334" s="35"/>
      <c r="EC334" s="35"/>
      <c r="ED334" s="35"/>
      <c r="EE334" s="35"/>
      <c r="EF334" s="35"/>
      <c r="EG334" s="35"/>
      <c r="EH334" s="35"/>
      <c r="EI334" s="35"/>
      <c r="EJ334" s="35"/>
      <c r="EK334" s="35"/>
      <c r="EL334" s="35"/>
      <c r="EM334" s="35"/>
      <c r="EN334" s="35"/>
      <c r="EO334" s="35"/>
      <c r="EP334" s="35"/>
      <c r="EQ334" s="35"/>
      <c r="ER334" s="35"/>
      <c r="ES334" s="35"/>
      <c r="ET334" s="35"/>
      <c r="EU334" s="35"/>
      <c r="EV334" s="35"/>
      <c r="EW334" s="35"/>
      <c r="EX334" s="35"/>
      <c r="EY334" s="35"/>
      <c r="EZ334" s="35"/>
      <c r="FA334" s="35"/>
      <c r="FB334" s="35"/>
      <c r="FC334" s="35"/>
      <c r="FD334" s="35"/>
      <c r="FE334" s="35"/>
      <c r="FF334" s="35"/>
      <c r="FG334" s="35"/>
      <c r="FH334" s="35"/>
      <c r="FI334" s="35"/>
      <c r="FJ334" s="35"/>
      <c r="FK334" s="35"/>
      <c r="FL334" s="35"/>
      <c r="FM334" s="35"/>
      <c r="FN334" s="35"/>
      <c r="FO334" s="35"/>
      <c r="FP334" s="35"/>
      <c r="FQ334" s="35"/>
      <c r="FR334" s="35"/>
      <c r="FS334" s="35"/>
      <c r="FT334" s="35"/>
      <c r="FU334" s="35"/>
      <c r="FV334" s="35"/>
      <c r="FW334" s="35"/>
      <c r="FX334" s="35"/>
      <c r="FY334" s="35"/>
      <c r="FZ334" s="35"/>
      <c r="GA334" s="35"/>
      <c r="GB334" s="35"/>
      <c r="GC334" s="35"/>
      <c r="GD334" s="35"/>
      <c r="GE334" s="35"/>
      <c r="GF334" s="35"/>
      <c r="GG334" s="35"/>
      <c r="GH334" s="35"/>
      <c r="GI334" s="35"/>
      <c r="GJ334" s="35"/>
      <c r="GK334" s="35"/>
      <c r="GL334" s="35"/>
      <c r="GM334" s="35"/>
      <c r="GN334" s="35"/>
      <c r="GO334" s="35"/>
      <c r="GP334" s="35"/>
      <c r="GQ334" s="35"/>
      <c r="GR334" s="35"/>
      <c r="GS334" s="35"/>
      <c r="GT334" s="35"/>
      <c r="GU334" s="35"/>
      <c r="GV334" s="35"/>
      <c r="GW334" s="35"/>
      <c r="GX334" s="35"/>
      <c r="GY334" s="35"/>
      <c r="GZ334" s="35"/>
      <c r="HA334" s="35"/>
      <c r="HB334" s="35"/>
      <c r="HC334" s="35"/>
      <c r="HD334" s="35"/>
      <c r="HE334" s="35"/>
      <c r="HF334" s="35"/>
      <c r="HG334" s="35"/>
      <c r="HH334" s="35"/>
      <c r="HI334" s="35"/>
      <c r="HJ334" s="35"/>
      <c r="HK334" s="35"/>
      <c r="HL334" s="35"/>
      <c r="HM334" s="35"/>
      <c r="HN334" s="35"/>
      <c r="HO334" s="35"/>
      <c r="HP334" s="35"/>
      <c r="HQ334" s="35"/>
      <c r="HR334" s="35"/>
      <c r="HS334" s="35"/>
      <c r="HT334" s="35"/>
      <c r="HU334" s="35"/>
      <c r="HV334" s="35"/>
      <c r="HW334" s="35"/>
      <c r="HX334" s="35"/>
      <c r="HY334" s="35"/>
      <c r="HZ334" s="35"/>
      <c r="IA334" s="35"/>
      <c r="IB334" s="35"/>
      <c r="IC334" s="35"/>
      <c r="ID334" s="35"/>
      <c r="IE334" s="35"/>
      <c r="IF334" s="35"/>
      <c r="IG334" s="35"/>
      <c r="IH334" s="35"/>
      <c r="II334" s="35"/>
      <c r="IJ334" s="35"/>
      <c r="IK334" s="35"/>
      <c r="IL334" s="35"/>
      <c r="IM334" s="35"/>
      <c r="IN334" s="35"/>
      <c r="IO334" s="35"/>
      <c r="IP334" s="35"/>
      <c r="IQ334" s="35"/>
      <c r="IR334" s="35"/>
      <c r="IS334" s="35"/>
      <c r="IT334" s="35"/>
      <c r="IU334" s="35"/>
      <c r="IV334" s="35"/>
      <c r="IW334" s="35"/>
      <c r="IX334" s="35"/>
      <c r="IY334" s="35"/>
      <c r="IZ334" s="35"/>
      <c r="JA334" s="35"/>
      <c r="JB334" s="35"/>
      <c r="JC334" s="35"/>
      <c r="JD334" s="35"/>
      <c r="JE334" s="35"/>
      <c r="JF334" s="35"/>
      <c r="JG334" s="35"/>
      <c r="JH334" s="35"/>
      <c r="JI334" s="35"/>
      <c r="JJ334" s="35"/>
      <c r="JK334" s="35"/>
      <c r="JL334" s="35"/>
      <c r="JM334" s="35"/>
      <c r="JN334" s="35"/>
      <c r="JO334" s="35"/>
      <c r="JP334" s="35"/>
      <c r="JQ334" s="35"/>
      <c r="JR334" s="35"/>
      <c r="JS334" s="35"/>
      <c r="JT334" s="35"/>
      <c r="JU334" s="35"/>
      <c r="JV334" s="35"/>
      <c r="JW334" s="35"/>
      <c r="JX334" s="35"/>
      <c r="JY334" s="35"/>
      <c r="JZ334" s="35"/>
      <c r="KA334" s="35"/>
      <c r="KB334" s="35"/>
      <c r="KC334" s="35"/>
      <c r="KD334" s="35"/>
      <c r="KE334" s="35"/>
      <c r="KF334" s="35"/>
      <c r="KG334" s="35"/>
      <c r="KH334" s="35"/>
      <c r="KI334" s="35"/>
      <c r="KJ334" s="35"/>
      <c r="KK334" s="35"/>
      <c r="KL334" s="35"/>
      <c r="KM334" s="35"/>
      <c r="KN334" s="35"/>
      <c r="KO334" s="35"/>
      <c r="KP334" s="35"/>
      <c r="KQ334" s="35"/>
      <c r="KR334" s="35"/>
      <c r="KS334" s="35"/>
      <c r="KT334" s="35"/>
      <c r="KU334" s="35"/>
      <c r="KV334" s="35"/>
      <c r="KW334" s="35"/>
      <c r="KX334" s="35"/>
      <c r="KY334" s="35"/>
      <c r="KZ334" s="35"/>
      <c r="LA334" s="35"/>
      <c r="LB334" s="35"/>
      <c r="LC334" s="35"/>
      <c r="LD334" s="35"/>
      <c r="LE334" s="35"/>
      <c r="LF334" s="35"/>
      <c r="LG334" s="35"/>
      <c r="LH334" s="35"/>
      <c r="LI334" s="35"/>
      <c r="LJ334" s="35"/>
      <c r="LK334" s="35"/>
      <c r="LL334" s="35"/>
      <c r="LM334" s="35"/>
      <c r="LN334" s="35"/>
      <c r="LO334" s="35"/>
      <c r="LP334" s="35"/>
      <c r="LQ334" s="35"/>
      <c r="LR334" s="35"/>
      <c r="LS334" s="35"/>
      <c r="LT334" s="35"/>
      <c r="LU334" s="35"/>
      <c r="LV334" s="35"/>
      <c r="LW334" s="35"/>
      <c r="LX334" s="35"/>
      <c r="LY334" s="35"/>
      <c r="LZ334" s="35"/>
      <c r="MA334" s="35"/>
      <c r="MB334" s="35"/>
      <c r="MC334" s="35"/>
      <c r="MD334" s="35"/>
      <c r="ME334" s="35"/>
      <c r="MF334" s="35"/>
      <c r="MG334" s="35"/>
    </row>
    <row r="335" spans="1:345" s="67" customFormat="1" ht="36" hidden="1" customHeight="1" x14ac:dyDescent="0.25">
      <c r="A335" s="110"/>
      <c r="B335" s="23" t="s">
        <v>243</v>
      </c>
      <c r="C335" s="24" t="s">
        <v>23</v>
      </c>
      <c r="D335" s="26" t="s">
        <v>4460</v>
      </c>
      <c r="E335" s="18">
        <v>44061.560011574074</v>
      </c>
      <c r="F335" s="27">
        <f t="shared" ca="1" si="4"/>
        <v>411.43998842592555</v>
      </c>
      <c r="G335" s="68"/>
      <c r="H335" s="25"/>
      <c r="I335" s="62" t="s">
        <v>206</v>
      </c>
      <c r="J335" s="68"/>
      <c r="K335" s="22"/>
      <c r="L335" s="23">
        <v>44061</v>
      </c>
      <c r="M335" s="23"/>
      <c r="N335" s="33" t="s">
        <v>153</v>
      </c>
      <c r="O335" s="26" t="s">
        <v>4465</v>
      </c>
      <c r="P335" s="35"/>
      <c r="Q335" s="35"/>
      <c r="R335" s="20"/>
      <c r="S335" s="35"/>
      <c r="T335" s="35"/>
      <c r="U335" s="35"/>
      <c r="V335" s="35"/>
      <c r="W335" s="35"/>
      <c r="X335" s="35"/>
      <c r="Y335" s="35"/>
      <c r="Z335" s="35"/>
      <c r="AA335" s="35"/>
      <c r="AB335" s="35"/>
      <c r="AC335" s="35"/>
      <c r="AD335" s="35"/>
      <c r="AE335" s="35"/>
      <c r="AF335" s="35"/>
      <c r="AG335" s="35"/>
      <c r="AH335" s="35"/>
      <c r="AI335" s="35"/>
      <c r="AJ335" s="35"/>
      <c r="AK335" s="35"/>
      <c r="AL335" s="35"/>
      <c r="AM335" s="35"/>
      <c r="AN335" s="35"/>
      <c r="AO335" s="35"/>
      <c r="AP335" s="35"/>
      <c r="AQ335" s="35"/>
      <c r="AR335" s="35"/>
      <c r="AS335" s="35"/>
      <c r="AT335" s="35"/>
      <c r="AU335" s="35"/>
      <c r="AV335" s="35"/>
      <c r="AW335" s="35"/>
      <c r="AX335" s="35"/>
      <c r="AY335" s="35"/>
      <c r="AZ335" s="35"/>
      <c r="BA335" s="35"/>
      <c r="BB335" s="35"/>
      <c r="BC335" s="35"/>
      <c r="BD335" s="35"/>
      <c r="BE335" s="35"/>
      <c r="BF335" s="35"/>
      <c r="BG335" s="35"/>
      <c r="BH335" s="35"/>
      <c r="BI335" s="35"/>
      <c r="BJ335" s="35"/>
      <c r="BK335" s="35"/>
      <c r="BL335" s="35"/>
      <c r="BM335" s="35"/>
      <c r="BN335" s="35"/>
      <c r="BO335" s="35"/>
      <c r="BP335" s="35"/>
      <c r="BQ335" s="35"/>
      <c r="BR335" s="35"/>
      <c r="BS335" s="35"/>
      <c r="BT335" s="35"/>
      <c r="BU335" s="35"/>
      <c r="BV335" s="35"/>
      <c r="BW335" s="35"/>
      <c r="BX335" s="35"/>
      <c r="BY335" s="35"/>
      <c r="BZ335" s="35"/>
      <c r="CA335" s="35"/>
      <c r="CB335" s="35"/>
      <c r="CC335" s="35"/>
      <c r="CD335" s="35"/>
      <c r="CE335" s="35"/>
      <c r="CF335" s="35"/>
      <c r="CG335" s="35"/>
      <c r="CH335" s="35"/>
      <c r="CI335" s="35"/>
      <c r="CJ335" s="35"/>
      <c r="CK335" s="35"/>
      <c r="CL335" s="35"/>
      <c r="CM335" s="35"/>
      <c r="CN335" s="35"/>
      <c r="CO335" s="35"/>
      <c r="CP335" s="35"/>
      <c r="CQ335" s="35"/>
      <c r="CR335" s="35"/>
      <c r="CS335" s="35"/>
      <c r="CT335" s="35"/>
      <c r="CU335" s="35"/>
      <c r="CV335" s="35"/>
      <c r="CW335" s="35"/>
      <c r="CX335" s="35"/>
      <c r="CY335" s="35"/>
      <c r="CZ335" s="35"/>
      <c r="DA335" s="35"/>
      <c r="DB335" s="35"/>
      <c r="DC335" s="35"/>
      <c r="DD335" s="35"/>
      <c r="DE335" s="35"/>
      <c r="DF335" s="35"/>
      <c r="DG335" s="35"/>
      <c r="DH335" s="35"/>
      <c r="DI335" s="35"/>
      <c r="DJ335" s="35"/>
      <c r="DK335" s="35"/>
      <c r="DL335" s="35"/>
      <c r="DM335" s="35"/>
      <c r="DN335" s="35"/>
      <c r="DO335" s="35"/>
      <c r="DP335" s="35"/>
      <c r="DQ335" s="35"/>
      <c r="DR335" s="35"/>
      <c r="DS335" s="35"/>
      <c r="DT335" s="35"/>
      <c r="DU335" s="35"/>
      <c r="DV335" s="35"/>
      <c r="DW335" s="35"/>
      <c r="DX335" s="35"/>
      <c r="DY335" s="35"/>
      <c r="DZ335" s="35"/>
      <c r="EA335" s="35"/>
      <c r="EB335" s="35"/>
      <c r="EC335" s="35"/>
      <c r="ED335" s="35"/>
      <c r="EE335" s="35"/>
      <c r="EF335" s="35"/>
      <c r="EG335" s="35"/>
      <c r="EH335" s="35"/>
      <c r="EI335" s="35"/>
      <c r="EJ335" s="35"/>
      <c r="EK335" s="35"/>
      <c r="EL335" s="35"/>
      <c r="EM335" s="35"/>
      <c r="EN335" s="35"/>
      <c r="EO335" s="35"/>
      <c r="EP335" s="35"/>
      <c r="EQ335" s="35"/>
      <c r="ER335" s="35"/>
      <c r="ES335" s="35"/>
      <c r="ET335" s="35"/>
      <c r="EU335" s="35"/>
      <c r="EV335" s="35"/>
      <c r="EW335" s="35"/>
      <c r="EX335" s="35"/>
      <c r="EY335" s="35"/>
      <c r="EZ335" s="35"/>
      <c r="FA335" s="35"/>
      <c r="FB335" s="35"/>
      <c r="FC335" s="35"/>
      <c r="FD335" s="35"/>
      <c r="FE335" s="35"/>
      <c r="FF335" s="35"/>
      <c r="FG335" s="35"/>
      <c r="FH335" s="35"/>
      <c r="FI335" s="35"/>
      <c r="FJ335" s="35"/>
      <c r="FK335" s="35"/>
      <c r="FL335" s="35"/>
      <c r="FM335" s="35"/>
      <c r="FN335" s="35"/>
      <c r="FO335" s="35"/>
      <c r="FP335" s="35"/>
      <c r="FQ335" s="35"/>
      <c r="FR335" s="35"/>
      <c r="FS335" s="35"/>
      <c r="FT335" s="35"/>
      <c r="FU335" s="35"/>
      <c r="FV335" s="35"/>
      <c r="FW335" s="35"/>
      <c r="FX335" s="35"/>
      <c r="FY335" s="35"/>
      <c r="FZ335" s="35"/>
      <c r="GA335" s="35"/>
      <c r="GB335" s="35"/>
      <c r="GC335" s="35"/>
      <c r="GD335" s="35"/>
      <c r="GE335" s="35"/>
      <c r="GF335" s="35"/>
      <c r="GG335" s="35"/>
      <c r="GH335" s="35"/>
      <c r="GI335" s="35"/>
      <c r="GJ335" s="35"/>
      <c r="GK335" s="35"/>
      <c r="GL335" s="35"/>
      <c r="GM335" s="35"/>
      <c r="GN335" s="35"/>
      <c r="GO335" s="35"/>
      <c r="GP335" s="35"/>
      <c r="GQ335" s="35"/>
      <c r="GR335" s="35"/>
      <c r="GS335" s="35"/>
      <c r="GT335" s="35"/>
      <c r="GU335" s="35"/>
      <c r="GV335" s="35"/>
      <c r="GW335" s="35"/>
      <c r="GX335" s="35"/>
      <c r="GY335" s="35"/>
      <c r="GZ335" s="35"/>
      <c r="HA335" s="35"/>
      <c r="HB335" s="35"/>
      <c r="HC335" s="35"/>
      <c r="HD335" s="35"/>
      <c r="HE335" s="35"/>
      <c r="HF335" s="35"/>
      <c r="HG335" s="35"/>
      <c r="HH335" s="35"/>
      <c r="HI335" s="35"/>
      <c r="HJ335" s="35"/>
      <c r="HK335" s="35"/>
      <c r="HL335" s="35"/>
      <c r="HM335" s="35"/>
      <c r="HN335" s="35"/>
      <c r="HO335" s="35"/>
      <c r="HP335" s="35"/>
      <c r="HQ335" s="35"/>
      <c r="HR335" s="35"/>
      <c r="HS335" s="35"/>
      <c r="HT335" s="35"/>
      <c r="HU335" s="35"/>
      <c r="HV335" s="35"/>
      <c r="HW335" s="35"/>
      <c r="HX335" s="35"/>
      <c r="HY335" s="35"/>
      <c r="HZ335" s="35"/>
      <c r="IA335" s="35"/>
      <c r="IB335" s="35"/>
      <c r="IC335" s="35"/>
      <c r="ID335" s="35"/>
      <c r="IE335" s="35"/>
      <c r="IF335" s="35"/>
      <c r="IG335" s="35"/>
      <c r="IH335" s="35"/>
      <c r="II335" s="35"/>
      <c r="IJ335" s="35"/>
      <c r="IK335" s="35"/>
      <c r="IL335" s="35"/>
      <c r="IM335" s="35"/>
      <c r="IN335" s="35"/>
      <c r="IO335" s="35"/>
      <c r="IP335" s="35"/>
      <c r="IQ335" s="35"/>
      <c r="IR335" s="35"/>
      <c r="IS335" s="35"/>
      <c r="IT335" s="35"/>
      <c r="IU335" s="35"/>
      <c r="IV335" s="35"/>
      <c r="IW335" s="35"/>
      <c r="IX335" s="35"/>
      <c r="IY335" s="35"/>
      <c r="IZ335" s="35"/>
      <c r="JA335" s="35"/>
      <c r="JB335" s="35"/>
      <c r="JC335" s="35"/>
      <c r="JD335" s="35"/>
      <c r="JE335" s="35"/>
      <c r="JF335" s="35"/>
      <c r="JG335" s="35"/>
      <c r="JH335" s="35"/>
      <c r="JI335" s="35"/>
      <c r="JJ335" s="35"/>
      <c r="JK335" s="35"/>
      <c r="JL335" s="35"/>
      <c r="JM335" s="35"/>
      <c r="JN335" s="35"/>
      <c r="JO335" s="35"/>
      <c r="JP335" s="35"/>
      <c r="JQ335" s="35"/>
      <c r="JR335" s="35"/>
      <c r="JS335" s="35"/>
      <c r="JT335" s="35"/>
      <c r="JU335" s="35"/>
      <c r="JV335" s="35"/>
      <c r="JW335" s="35"/>
      <c r="JX335" s="35"/>
      <c r="JY335" s="35"/>
      <c r="JZ335" s="35"/>
      <c r="KA335" s="35"/>
      <c r="KB335" s="35"/>
      <c r="KC335" s="35"/>
      <c r="KD335" s="35"/>
      <c r="KE335" s="35"/>
      <c r="KF335" s="35"/>
      <c r="KG335" s="35"/>
      <c r="KH335" s="35"/>
      <c r="KI335" s="35"/>
      <c r="KJ335" s="35"/>
      <c r="KK335" s="35"/>
      <c r="KL335" s="35"/>
      <c r="KM335" s="35"/>
      <c r="KN335" s="35"/>
      <c r="KO335" s="35"/>
      <c r="KP335" s="35"/>
      <c r="KQ335" s="35"/>
      <c r="KR335" s="35"/>
      <c r="KS335" s="35"/>
      <c r="KT335" s="35"/>
      <c r="KU335" s="35"/>
      <c r="KV335" s="35"/>
      <c r="KW335" s="35"/>
      <c r="KX335" s="35"/>
      <c r="KY335" s="35"/>
      <c r="KZ335" s="35"/>
      <c r="LA335" s="35"/>
      <c r="LB335" s="35"/>
      <c r="LC335" s="35"/>
      <c r="LD335" s="35"/>
      <c r="LE335" s="35"/>
      <c r="LF335" s="35"/>
      <c r="LG335" s="35"/>
      <c r="LH335" s="35"/>
      <c r="LI335" s="35"/>
      <c r="LJ335" s="35"/>
      <c r="LK335" s="35"/>
      <c r="LL335" s="35"/>
      <c r="LM335" s="35"/>
      <c r="LN335" s="35"/>
      <c r="LO335" s="35"/>
      <c r="LP335" s="35"/>
      <c r="LQ335" s="35"/>
      <c r="LR335" s="35"/>
      <c r="LS335" s="35"/>
      <c r="LT335" s="35"/>
      <c r="LU335" s="35"/>
      <c r="LV335" s="35"/>
      <c r="LW335" s="35"/>
      <c r="LX335" s="35"/>
      <c r="LY335" s="35"/>
      <c r="LZ335" s="35"/>
      <c r="MA335" s="35"/>
      <c r="MB335" s="35"/>
      <c r="MC335" s="35"/>
      <c r="MD335" s="35"/>
      <c r="ME335" s="35"/>
      <c r="MF335" s="35"/>
      <c r="MG335" s="35"/>
    </row>
    <row r="336" spans="1:345" s="67" customFormat="1" ht="36" hidden="1" customHeight="1" x14ac:dyDescent="0.25">
      <c r="A336" s="113"/>
      <c r="B336" s="23" t="s">
        <v>333</v>
      </c>
      <c r="C336" s="24" t="s">
        <v>35</v>
      </c>
      <c r="D336" s="26" t="s">
        <v>4461</v>
      </c>
      <c r="E336" s="18">
        <v>44062.386863425927</v>
      </c>
      <c r="F336" s="27">
        <f t="shared" ref="F336:F338" ca="1" si="5">IF(E336&lt;&gt;"",TODAY()-E336,"")</f>
        <v>410.613136574073</v>
      </c>
      <c r="G336" s="68"/>
      <c r="H336" s="25"/>
      <c r="I336" s="62" t="s">
        <v>206</v>
      </c>
      <c r="J336" s="68"/>
      <c r="K336" s="22"/>
      <c r="L336" s="23">
        <v>44075</v>
      </c>
      <c r="M336" s="23"/>
      <c r="N336" s="26" t="s">
        <v>4512</v>
      </c>
      <c r="O336" s="26" t="s">
        <v>4499</v>
      </c>
      <c r="P336" s="35"/>
      <c r="Q336" s="35"/>
      <c r="R336" s="20"/>
      <c r="S336" s="35"/>
      <c r="T336" s="35"/>
      <c r="U336" s="35"/>
      <c r="V336" s="35"/>
      <c r="W336" s="35"/>
      <c r="X336" s="35"/>
      <c r="Y336" s="35"/>
      <c r="Z336" s="35"/>
      <c r="AA336" s="35"/>
      <c r="AB336" s="35"/>
      <c r="AC336" s="35"/>
      <c r="AD336" s="35"/>
      <c r="AE336" s="35"/>
      <c r="AF336" s="35"/>
      <c r="AG336" s="35"/>
      <c r="AH336" s="35"/>
      <c r="AI336" s="35"/>
      <c r="AJ336" s="35"/>
      <c r="AK336" s="35"/>
      <c r="AL336" s="35"/>
      <c r="AM336" s="35"/>
      <c r="AN336" s="35"/>
      <c r="AO336" s="35"/>
      <c r="AP336" s="35"/>
      <c r="AQ336" s="35"/>
      <c r="AR336" s="35"/>
      <c r="AS336" s="35"/>
      <c r="AT336" s="35"/>
      <c r="AU336" s="35"/>
      <c r="AV336" s="35"/>
      <c r="AW336" s="35"/>
      <c r="AX336" s="35"/>
      <c r="AY336" s="35"/>
      <c r="AZ336" s="35"/>
      <c r="BA336" s="35"/>
      <c r="BB336" s="35"/>
      <c r="BC336" s="35"/>
      <c r="BD336" s="35"/>
      <c r="BE336" s="35"/>
      <c r="BF336" s="35"/>
      <c r="BG336" s="35"/>
      <c r="BH336" s="35"/>
      <c r="BI336" s="35"/>
      <c r="BJ336" s="35"/>
      <c r="BK336" s="35"/>
      <c r="BL336" s="35"/>
      <c r="BM336" s="35"/>
      <c r="BN336" s="35"/>
      <c r="BO336" s="35"/>
      <c r="BP336" s="35"/>
      <c r="BQ336" s="35"/>
      <c r="BR336" s="35"/>
      <c r="BS336" s="35"/>
      <c r="BT336" s="35"/>
      <c r="BU336" s="35"/>
      <c r="BV336" s="35"/>
      <c r="BW336" s="35"/>
      <c r="BX336" s="35"/>
      <c r="BY336" s="35"/>
      <c r="BZ336" s="35"/>
      <c r="CA336" s="35"/>
      <c r="CB336" s="35"/>
      <c r="CC336" s="35"/>
      <c r="CD336" s="35"/>
      <c r="CE336" s="35"/>
      <c r="CF336" s="35"/>
      <c r="CG336" s="35"/>
      <c r="CH336" s="35"/>
      <c r="CI336" s="35"/>
      <c r="CJ336" s="35"/>
      <c r="CK336" s="35"/>
      <c r="CL336" s="35"/>
      <c r="CM336" s="35"/>
      <c r="CN336" s="35"/>
      <c r="CO336" s="35"/>
      <c r="CP336" s="35"/>
      <c r="CQ336" s="35"/>
      <c r="CR336" s="35"/>
      <c r="CS336" s="35"/>
      <c r="CT336" s="35"/>
      <c r="CU336" s="35"/>
      <c r="CV336" s="35"/>
      <c r="CW336" s="35"/>
      <c r="CX336" s="35"/>
      <c r="CY336" s="35"/>
      <c r="CZ336" s="35"/>
      <c r="DA336" s="35"/>
      <c r="DB336" s="35"/>
      <c r="DC336" s="35"/>
      <c r="DD336" s="35"/>
      <c r="DE336" s="35"/>
      <c r="DF336" s="35"/>
      <c r="DG336" s="35"/>
      <c r="DH336" s="35"/>
      <c r="DI336" s="35"/>
      <c r="DJ336" s="35"/>
      <c r="DK336" s="35"/>
      <c r="DL336" s="35"/>
      <c r="DM336" s="35"/>
      <c r="DN336" s="35"/>
      <c r="DO336" s="35"/>
      <c r="DP336" s="35"/>
      <c r="DQ336" s="35"/>
      <c r="DR336" s="35"/>
      <c r="DS336" s="35"/>
      <c r="DT336" s="35"/>
      <c r="DU336" s="35"/>
      <c r="DV336" s="35"/>
      <c r="DW336" s="35"/>
      <c r="DX336" s="35"/>
      <c r="DY336" s="35"/>
      <c r="DZ336" s="35"/>
      <c r="EA336" s="35"/>
      <c r="EB336" s="35"/>
      <c r="EC336" s="35"/>
      <c r="ED336" s="35"/>
      <c r="EE336" s="35"/>
      <c r="EF336" s="35"/>
      <c r="EG336" s="35"/>
      <c r="EH336" s="35"/>
      <c r="EI336" s="35"/>
      <c r="EJ336" s="35"/>
      <c r="EK336" s="35"/>
      <c r="EL336" s="35"/>
      <c r="EM336" s="35"/>
      <c r="EN336" s="35"/>
      <c r="EO336" s="35"/>
      <c r="EP336" s="35"/>
      <c r="EQ336" s="35"/>
      <c r="ER336" s="35"/>
      <c r="ES336" s="35"/>
      <c r="ET336" s="35"/>
      <c r="EU336" s="35"/>
      <c r="EV336" s="35"/>
      <c r="EW336" s="35"/>
      <c r="EX336" s="35"/>
      <c r="EY336" s="35"/>
      <c r="EZ336" s="35"/>
      <c r="FA336" s="35"/>
      <c r="FB336" s="35"/>
      <c r="FC336" s="35"/>
      <c r="FD336" s="35"/>
      <c r="FE336" s="35"/>
      <c r="FF336" s="35"/>
      <c r="FG336" s="35"/>
      <c r="FH336" s="35"/>
      <c r="FI336" s="35"/>
      <c r="FJ336" s="35"/>
      <c r="FK336" s="35"/>
      <c r="FL336" s="35"/>
      <c r="FM336" s="35"/>
      <c r="FN336" s="35"/>
      <c r="FO336" s="35"/>
      <c r="FP336" s="35"/>
      <c r="FQ336" s="35"/>
      <c r="FR336" s="35"/>
      <c r="FS336" s="35"/>
      <c r="FT336" s="35"/>
      <c r="FU336" s="35"/>
      <c r="FV336" s="35"/>
      <c r="FW336" s="35"/>
      <c r="FX336" s="35"/>
      <c r="FY336" s="35"/>
      <c r="FZ336" s="35"/>
      <c r="GA336" s="35"/>
      <c r="GB336" s="35"/>
      <c r="GC336" s="35"/>
      <c r="GD336" s="35"/>
      <c r="GE336" s="35"/>
      <c r="GF336" s="35"/>
      <c r="GG336" s="35"/>
      <c r="GH336" s="35"/>
      <c r="GI336" s="35"/>
      <c r="GJ336" s="35"/>
      <c r="GK336" s="35"/>
      <c r="GL336" s="35"/>
      <c r="GM336" s="35"/>
      <c r="GN336" s="35"/>
      <c r="GO336" s="35"/>
      <c r="GP336" s="35"/>
      <c r="GQ336" s="35"/>
      <c r="GR336" s="35"/>
      <c r="GS336" s="35"/>
      <c r="GT336" s="35"/>
      <c r="GU336" s="35"/>
      <c r="GV336" s="35"/>
      <c r="GW336" s="35"/>
      <c r="GX336" s="35"/>
      <c r="GY336" s="35"/>
      <c r="GZ336" s="35"/>
      <c r="HA336" s="35"/>
      <c r="HB336" s="35"/>
      <c r="HC336" s="35"/>
      <c r="HD336" s="35"/>
      <c r="HE336" s="35"/>
      <c r="HF336" s="35"/>
      <c r="HG336" s="35"/>
      <c r="HH336" s="35"/>
      <c r="HI336" s="35"/>
      <c r="HJ336" s="35"/>
      <c r="HK336" s="35"/>
      <c r="HL336" s="35"/>
      <c r="HM336" s="35"/>
      <c r="HN336" s="35"/>
      <c r="HO336" s="35"/>
      <c r="HP336" s="35"/>
      <c r="HQ336" s="35"/>
      <c r="HR336" s="35"/>
      <c r="HS336" s="35"/>
      <c r="HT336" s="35"/>
      <c r="HU336" s="35"/>
      <c r="HV336" s="35"/>
      <c r="HW336" s="35"/>
      <c r="HX336" s="35"/>
      <c r="HY336" s="35"/>
      <c r="HZ336" s="35"/>
      <c r="IA336" s="35"/>
      <c r="IB336" s="35"/>
      <c r="IC336" s="35"/>
      <c r="ID336" s="35"/>
      <c r="IE336" s="35"/>
      <c r="IF336" s="35"/>
      <c r="IG336" s="35"/>
      <c r="IH336" s="35"/>
      <c r="II336" s="35"/>
      <c r="IJ336" s="35"/>
      <c r="IK336" s="35"/>
      <c r="IL336" s="35"/>
      <c r="IM336" s="35"/>
      <c r="IN336" s="35"/>
      <c r="IO336" s="35"/>
      <c r="IP336" s="35"/>
      <c r="IQ336" s="35"/>
      <c r="IR336" s="35"/>
      <c r="IS336" s="35"/>
      <c r="IT336" s="35"/>
      <c r="IU336" s="35"/>
      <c r="IV336" s="35"/>
      <c r="IW336" s="35"/>
      <c r="IX336" s="35"/>
      <c r="IY336" s="35"/>
      <c r="IZ336" s="35"/>
      <c r="JA336" s="35"/>
      <c r="JB336" s="35"/>
      <c r="JC336" s="35"/>
      <c r="JD336" s="35"/>
      <c r="JE336" s="35"/>
      <c r="JF336" s="35"/>
      <c r="JG336" s="35"/>
      <c r="JH336" s="35"/>
      <c r="JI336" s="35"/>
      <c r="JJ336" s="35"/>
      <c r="JK336" s="35"/>
      <c r="JL336" s="35"/>
      <c r="JM336" s="35"/>
      <c r="JN336" s="35"/>
      <c r="JO336" s="35"/>
      <c r="JP336" s="35"/>
      <c r="JQ336" s="35"/>
      <c r="JR336" s="35"/>
      <c r="JS336" s="35"/>
      <c r="JT336" s="35"/>
      <c r="JU336" s="35"/>
      <c r="JV336" s="35"/>
      <c r="JW336" s="35"/>
      <c r="JX336" s="35"/>
      <c r="JY336" s="35"/>
      <c r="JZ336" s="35"/>
      <c r="KA336" s="35"/>
      <c r="KB336" s="35"/>
      <c r="KC336" s="35"/>
      <c r="KD336" s="35"/>
      <c r="KE336" s="35"/>
      <c r="KF336" s="35"/>
      <c r="KG336" s="35"/>
      <c r="KH336" s="35"/>
      <c r="KI336" s="35"/>
      <c r="KJ336" s="35"/>
      <c r="KK336" s="35"/>
      <c r="KL336" s="35"/>
      <c r="KM336" s="35"/>
      <c r="KN336" s="35"/>
      <c r="KO336" s="35"/>
      <c r="KP336" s="35"/>
      <c r="KQ336" s="35"/>
      <c r="KR336" s="35"/>
      <c r="KS336" s="35"/>
      <c r="KT336" s="35"/>
      <c r="KU336" s="35"/>
      <c r="KV336" s="35"/>
      <c r="KW336" s="35"/>
      <c r="KX336" s="35"/>
      <c r="KY336" s="35"/>
      <c r="KZ336" s="35"/>
      <c r="LA336" s="35"/>
      <c r="LB336" s="35"/>
      <c r="LC336" s="35"/>
      <c r="LD336" s="35"/>
      <c r="LE336" s="35"/>
      <c r="LF336" s="35"/>
      <c r="LG336" s="35"/>
      <c r="LH336" s="35"/>
      <c r="LI336" s="35"/>
      <c r="LJ336" s="35"/>
      <c r="LK336" s="35"/>
      <c r="LL336" s="35"/>
      <c r="LM336" s="35"/>
      <c r="LN336" s="35"/>
      <c r="LO336" s="35"/>
      <c r="LP336" s="35"/>
      <c r="LQ336" s="35"/>
      <c r="LR336" s="35"/>
      <c r="LS336" s="35"/>
      <c r="LT336" s="35"/>
      <c r="LU336" s="35"/>
      <c r="LV336" s="35"/>
      <c r="LW336" s="35"/>
      <c r="LX336" s="35"/>
      <c r="LY336" s="35"/>
      <c r="LZ336" s="35"/>
      <c r="MA336" s="35"/>
      <c r="MB336" s="35"/>
      <c r="MC336" s="35"/>
      <c r="MD336" s="35"/>
      <c r="ME336" s="35"/>
      <c r="MF336" s="35"/>
      <c r="MG336" s="35"/>
    </row>
    <row r="337" spans="1:345" s="67" customFormat="1" ht="36" hidden="1" customHeight="1" x14ac:dyDescent="0.25">
      <c r="A337" s="113"/>
      <c r="B337" s="23" t="s">
        <v>271</v>
      </c>
      <c r="C337" s="24" t="s">
        <v>4462</v>
      </c>
      <c r="D337" s="26" t="s">
        <v>4463</v>
      </c>
      <c r="E337" s="18">
        <v>44067.736643518518</v>
      </c>
      <c r="F337" s="27">
        <f t="shared" ca="1" si="5"/>
        <v>405.26335648148233</v>
      </c>
      <c r="G337" s="68"/>
      <c r="H337" s="25"/>
      <c r="I337" s="62" t="s">
        <v>206</v>
      </c>
      <c r="J337" s="68"/>
      <c r="K337" s="22"/>
      <c r="L337" s="23">
        <v>44067</v>
      </c>
      <c r="M337" s="23"/>
      <c r="N337" s="33" t="s">
        <v>153</v>
      </c>
      <c r="O337" s="26"/>
      <c r="P337" s="35"/>
      <c r="Q337" s="35"/>
      <c r="R337" s="20"/>
      <c r="S337" s="35"/>
      <c r="T337" s="35"/>
      <c r="U337" s="35"/>
      <c r="V337" s="35"/>
      <c r="W337" s="35"/>
      <c r="X337" s="35"/>
      <c r="Y337" s="35"/>
      <c r="Z337" s="35"/>
      <c r="AA337" s="35"/>
      <c r="AB337" s="35"/>
      <c r="AC337" s="35"/>
      <c r="AD337" s="35"/>
      <c r="AE337" s="35"/>
      <c r="AF337" s="35"/>
      <c r="AG337" s="35"/>
      <c r="AH337" s="35"/>
      <c r="AI337" s="35"/>
      <c r="AJ337" s="35"/>
      <c r="AK337" s="35"/>
      <c r="AL337" s="35"/>
      <c r="AM337" s="35"/>
      <c r="AN337" s="35"/>
      <c r="AO337" s="35"/>
      <c r="AP337" s="35"/>
      <c r="AQ337" s="35"/>
      <c r="AR337" s="35"/>
      <c r="AS337" s="35"/>
      <c r="AT337" s="35"/>
      <c r="AU337" s="35"/>
      <c r="AV337" s="35"/>
      <c r="AW337" s="35"/>
      <c r="AX337" s="35"/>
      <c r="AY337" s="35"/>
      <c r="AZ337" s="35"/>
      <c r="BA337" s="35"/>
      <c r="BB337" s="35"/>
      <c r="BC337" s="35"/>
      <c r="BD337" s="35"/>
      <c r="BE337" s="35"/>
      <c r="BF337" s="35"/>
      <c r="BG337" s="35"/>
      <c r="BH337" s="35"/>
      <c r="BI337" s="35"/>
      <c r="BJ337" s="35"/>
      <c r="BK337" s="35"/>
      <c r="BL337" s="35"/>
      <c r="BM337" s="35"/>
      <c r="BN337" s="35"/>
      <c r="BO337" s="35"/>
      <c r="BP337" s="35"/>
      <c r="BQ337" s="35"/>
      <c r="BR337" s="35"/>
      <c r="BS337" s="35"/>
      <c r="BT337" s="35"/>
      <c r="BU337" s="35"/>
      <c r="BV337" s="35"/>
      <c r="BW337" s="35"/>
      <c r="BX337" s="35"/>
      <c r="BY337" s="35"/>
      <c r="BZ337" s="35"/>
      <c r="CA337" s="35"/>
      <c r="CB337" s="35"/>
      <c r="CC337" s="35"/>
      <c r="CD337" s="35"/>
      <c r="CE337" s="35"/>
      <c r="CF337" s="35"/>
      <c r="CG337" s="35"/>
      <c r="CH337" s="35"/>
      <c r="CI337" s="35"/>
      <c r="CJ337" s="35"/>
      <c r="CK337" s="35"/>
      <c r="CL337" s="35"/>
      <c r="CM337" s="35"/>
      <c r="CN337" s="35"/>
      <c r="CO337" s="35"/>
      <c r="CP337" s="35"/>
      <c r="CQ337" s="35"/>
      <c r="CR337" s="35"/>
      <c r="CS337" s="35"/>
      <c r="CT337" s="35"/>
      <c r="CU337" s="35"/>
      <c r="CV337" s="35"/>
      <c r="CW337" s="35"/>
      <c r="CX337" s="35"/>
      <c r="CY337" s="35"/>
      <c r="CZ337" s="35"/>
      <c r="DA337" s="35"/>
      <c r="DB337" s="35"/>
      <c r="DC337" s="35"/>
      <c r="DD337" s="35"/>
      <c r="DE337" s="35"/>
      <c r="DF337" s="35"/>
      <c r="DG337" s="35"/>
      <c r="DH337" s="35"/>
      <c r="DI337" s="35"/>
      <c r="DJ337" s="35"/>
      <c r="DK337" s="35"/>
      <c r="DL337" s="35"/>
      <c r="DM337" s="35"/>
      <c r="DN337" s="35"/>
      <c r="DO337" s="35"/>
      <c r="DP337" s="35"/>
      <c r="DQ337" s="35"/>
      <c r="DR337" s="35"/>
      <c r="DS337" s="35"/>
      <c r="DT337" s="35"/>
      <c r="DU337" s="35"/>
      <c r="DV337" s="35"/>
      <c r="DW337" s="35"/>
      <c r="DX337" s="35"/>
      <c r="DY337" s="35"/>
      <c r="DZ337" s="35"/>
      <c r="EA337" s="35"/>
      <c r="EB337" s="35"/>
      <c r="EC337" s="35"/>
      <c r="ED337" s="35"/>
      <c r="EE337" s="35"/>
      <c r="EF337" s="35"/>
      <c r="EG337" s="35"/>
      <c r="EH337" s="35"/>
      <c r="EI337" s="35"/>
      <c r="EJ337" s="35"/>
      <c r="EK337" s="35"/>
      <c r="EL337" s="35"/>
      <c r="EM337" s="35"/>
      <c r="EN337" s="35"/>
      <c r="EO337" s="35"/>
      <c r="EP337" s="35"/>
      <c r="EQ337" s="35"/>
      <c r="ER337" s="35"/>
      <c r="ES337" s="35"/>
      <c r="ET337" s="35"/>
      <c r="EU337" s="35"/>
      <c r="EV337" s="35"/>
      <c r="EW337" s="35"/>
      <c r="EX337" s="35"/>
      <c r="EY337" s="35"/>
      <c r="EZ337" s="35"/>
      <c r="FA337" s="35"/>
      <c r="FB337" s="35"/>
      <c r="FC337" s="35"/>
      <c r="FD337" s="35"/>
      <c r="FE337" s="35"/>
      <c r="FF337" s="35"/>
      <c r="FG337" s="35"/>
      <c r="FH337" s="35"/>
      <c r="FI337" s="35"/>
      <c r="FJ337" s="35"/>
      <c r="FK337" s="35"/>
      <c r="FL337" s="35"/>
      <c r="FM337" s="35"/>
      <c r="FN337" s="35"/>
      <c r="FO337" s="35"/>
      <c r="FP337" s="35"/>
      <c r="FQ337" s="35"/>
      <c r="FR337" s="35"/>
      <c r="FS337" s="35"/>
      <c r="FT337" s="35"/>
      <c r="FU337" s="35"/>
      <c r="FV337" s="35"/>
      <c r="FW337" s="35"/>
      <c r="FX337" s="35"/>
      <c r="FY337" s="35"/>
      <c r="FZ337" s="35"/>
      <c r="GA337" s="35"/>
      <c r="GB337" s="35"/>
      <c r="GC337" s="35"/>
      <c r="GD337" s="35"/>
      <c r="GE337" s="35"/>
      <c r="GF337" s="35"/>
      <c r="GG337" s="35"/>
      <c r="GH337" s="35"/>
      <c r="GI337" s="35"/>
      <c r="GJ337" s="35"/>
      <c r="GK337" s="35"/>
      <c r="GL337" s="35"/>
      <c r="GM337" s="35"/>
      <c r="GN337" s="35"/>
      <c r="GO337" s="35"/>
      <c r="GP337" s="35"/>
      <c r="GQ337" s="35"/>
      <c r="GR337" s="35"/>
      <c r="GS337" s="35"/>
      <c r="GT337" s="35"/>
      <c r="GU337" s="35"/>
      <c r="GV337" s="35"/>
      <c r="GW337" s="35"/>
      <c r="GX337" s="35"/>
      <c r="GY337" s="35"/>
      <c r="GZ337" s="35"/>
      <c r="HA337" s="35"/>
      <c r="HB337" s="35"/>
      <c r="HC337" s="35"/>
      <c r="HD337" s="35"/>
      <c r="HE337" s="35"/>
      <c r="HF337" s="35"/>
      <c r="HG337" s="35"/>
      <c r="HH337" s="35"/>
      <c r="HI337" s="35"/>
      <c r="HJ337" s="35"/>
      <c r="HK337" s="35"/>
      <c r="HL337" s="35"/>
      <c r="HM337" s="35"/>
      <c r="HN337" s="35"/>
      <c r="HO337" s="35"/>
      <c r="HP337" s="35"/>
      <c r="HQ337" s="35"/>
      <c r="HR337" s="35"/>
      <c r="HS337" s="35"/>
      <c r="HT337" s="35"/>
      <c r="HU337" s="35"/>
      <c r="HV337" s="35"/>
      <c r="HW337" s="35"/>
      <c r="HX337" s="35"/>
      <c r="HY337" s="35"/>
      <c r="HZ337" s="35"/>
      <c r="IA337" s="35"/>
      <c r="IB337" s="35"/>
      <c r="IC337" s="35"/>
      <c r="ID337" s="35"/>
      <c r="IE337" s="35"/>
      <c r="IF337" s="35"/>
      <c r="IG337" s="35"/>
      <c r="IH337" s="35"/>
      <c r="II337" s="35"/>
      <c r="IJ337" s="35"/>
      <c r="IK337" s="35"/>
      <c r="IL337" s="35"/>
      <c r="IM337" s="35"/>
      <c r="IN337" s="35"/>
      <c r="IO337" s="35"/>
      <c r="IP337" s="35"/>
      <c r="IQ337" s="35"/>
      <c r="IR337" s="35"/>
      <c r="IS337" s="35"/>
      <c r="IT337" s="35"/>
      <c r="IU337" s="35"/>
      <c r="IV337" s="35"/>
      <c r="IW337" s="35"/>
      <c r="IX337" s="35"/>
      <c r="IY337" s="35"/>
      <c r="IZ337" s="35"/>
      <c r="JA337" s="35"/>
      <c r="JB337" s="35"/>
      <c r="JC337" s="35"/>
      <c r="JD337" s="35"/>
      <c r="JE337" s="35"/>
      <c r="JF337" s="35"/>
      <c r="JG337" s="35"/>
      <c r="JH337" s="35"/>
      <c r="JI337" s="35"/>
      <c r="JJ337" s="35"/>
      <c r="JK337" s="35"/>
      <c r="JL337" s="35"/>
      <c r="JM337" s="35"/>
      <c r="JN337" s="35"/>
      <c r="JO337" s="35"/>
      <c r="JP337" s="35"/>
      <c r="JQ337" s="35"/>
      <c r="JR337" s="35"/>
      <c r="JS337" s="35"/>
      <c r="JT337" s="35"/>
      <c r="JU337" s="35"/>
      <c r="JV337" s="35"/>
      <c r="JW337" s="35"/>
      <c r="JX337" s="35"/>
      <c r="JY337" s="35"/>
      <c r="JZ337" s="35"/>
      <c r="KA337" s="35"/>
      <c r="KB337" s="35"/>
      <c r="KC337" s="35"/>
      <c r="KD337" s="35"/>
      <c r="KE337" s="35"/>
      <c r="KF337" s="35"/>
      <c r="KG337" s="35"/>
      <c r="KH337" s="35"/>
      <c r="KI337" s="35"/>
      <c r="KJ337" s="35"/>
      <c r="KK337" s="35"/>
      <c r="KL337" s="35"/>
      <c r="KM337" s="35"/>
      <c r="KN337" s="35"/>
      <c r="KO337" s="35"/>
      <c r="KP337" s="35"/>
      <c r="KQ337" s="35"/>
      <c r="KR337" s="35"/>
      <c r="KS337" s="35"/>
      <c r="KT337" s="35"/>
      <c r="KU337" s="35"/>
      <c r="KV337" s="35"/>
      <c r="KW337" s="35"/>
      <c r="KX337" s="35"/>
      <c r="KY337" s="35"/>
      <c r="KZ337" s="35"/>
      <c r="LA337" s="35"/>
      <c r="LB337" s="35"/>
      <c r="LC337" s="35"/>
      <c r="LD337" s="35"/>
      <c r="LE337" s="35"/>
      <c r="LF337" s="35"/>
      <c r="LG337" s="35"/>
      <c r="LH337" s="35"/>
      <c r="LI337" s="35"/>
      <c r="LJ337" s="35"/>
      <c r="LK337" s="35"/>
      <c r="LL337" s="35"/>
      <c r="LM337" s="35"/>
      <c r="LN337" s="35"/>
      <c r="LO337" s="35"/>
      <c r="LP337" s="35"/>
      <c r="LQ337" s="35"/>
      <c r="LR337" s="35"/>
      <c r="LS337" s="35"/>
      <c r="LT337" s="35"/>
      <c r="LU337" s="35"/>
      <c r="LV337" s="35"/>
      <c r="LW337" s="35"/>
      <c r="LX337" s="35"/>
      <c r="LY337" s="35"/>
      <c r="LZ337" s="35"/>
      <c r="MA337" s="35"/>
      <c r="MB337" s="35"/>
      <c r="MC337" s="35"/>
      <c r="MD337" s="35"/>
      <c r="ME337" s="35"/>
      <c r="MF337" s="35"/>
      <c r="MG337" s="35"/>
    </row>
    <row r="338" spans="1:345" s="67" customFormat="1" ht="36" hidden="1" customHeight="1" x14ac:dyDescent="0.25">
      <c r="A338" s="110"/>
      <c r="B338" s="23" t="s">
        <v>252</v>
      </c>
      <c r="C338" s="24" t="s">
        <v>31</v>
      </c>
      <c r="D338" s="26" t="s">
        <v>4474</v>
      </c>
      <c r="E338" s="18">
        <v>44068</v>
      </c>
      <c r="F338" s="27">
        <f t="shared" ca="1" si="5"/>
        <v>405</v>
      </c>
      <c r="G338" s="68"/>
      <c r="H338" s="25"/>
      <c r="I338" s="25"/>
      <c r="J338" s="68"/>
      <c r="K338" s="22"/>
      <c r="L338" s="23">
        <v>44069</v>
      </c>
      <c r="M338" s="23"/>
      <c r="N338" s="33" t="s">
        <v>153</v>
      </c>
      <c r="O338" s="26" t="s">
        <v>61</v>
      </c>
      <c r="P338" s="35"/>
      <c r="Q338" s="35"/>
      <c r="R338" s="20"/>
      <c r="S338" s="35"/>
      <c r="T338" s="35"/>
      <c r="U338" s="35"/>
      <c r="V338" s="35"/>
      <c r="W338" s="35"/>
      <c r="X338" s="35"/>
      <c r="Y338" s="35"/>
      <c r="Z338" s="35"/>
      <c r="AA338" s="35"/>
      <c r="AB338" s="35"/>
      <c r="AC338" s="35"/>
      <c r="AD338" s="35"/>
      <c r="AE338" s="35"/>
      <c r="AF338" s="35"/>
      <c r="AG338" s="35"/>
      <c r="AH338" s="35"/>
      <c r="AI338" s="35"/>
      <c r="AJ338" s="35"/>
      <c r="AK338" s="35"/>
      <c r="AL338" s="35"/>
      <c r="AM338" s="35"/>
      <c r="AN338" s="35"/>
      <c r="AO338" s="35"/>
      <c r="AP338" s="35"/>
      <c r="AQ338" s="35"/>
      <c r="AR338" s="35"/>
      <c r="AS338" s="35"/>
      <c r="AT338" s="35"/>
      <c r="AU338" s="35"/>
      <c r="AV338" s="35"/>
      <c r="AW338" s="35"/>
      <c r="AX338" s="35"/>
      <c r="AY338" s="35"/>
      <c r="AZ338" s="35"/>
      <c r="BA338" s="35"/>
      <c r="BB338" s="35"/>
      <c r="BC338" s="35"/>
      <c r="BD338" s="35"/>
      <c r="BE338" s="35"/>
      <c r="BF338" s="35"/>
      <c r="BG338" s="35"/>
      <c r="BH338" s="35"/>
      <c r="BI338" s="35"/>
      <c r="BJ338" s="35"/>
      <c r="BK338" s="35"/>
      <c r="BL338" s="35"/>
      <c r="BM338" s="35"/>
      <c r="BN338" s="35"/>
      <c r="BO338" s="35"/>
      <c r="BP338" s="35"/>
      <c r="BQ338" s="35"/>
      <c r="BR338" s="35"/>
      <c r="BS338" s="35"/>
      <c r="BT338" s="35"/>
      <c r="BU338" s="35"/>
      <c r="BV338" s="35"/>
      <c r="BW338" s="35"/>
      <c r="BX338" s="35"/>
      <c r="BY338" s="35"/>
      <c r="BZ338" s="35"/>
      <c r="CA338" s="35"/>
      <c r="CB338" s="35"/>
      <c r="CC338" s="35"/>
      <c r="CD338" s="35"/>
      <c r="CE338" s="35"/>
      <c r="CF338" s="35"/>
      <c r="CG338" s="35"/>
      <c r="CH338" s="35"/>
      <c r="CI338" s="35"/>
      <c r="CJ338" s="35"/>
      <c r="CK338" s="35"/>
      <c r="CL338" s="35"/>
      <c r="CM338" s="35"/>
      <c r="CN338" s="35"/>
      <c r="CO338" s="35"/>
      <c r="CP338" s="35"/>
      <c r="CQ338" s="35"/>
      <c r="CR338" s="35"/>
      <c r="CS338" s="35"/>
      <c r="CT338" s="35"/>
      <c r="CU338" s="35"/>
      <c r="CV338" s="35"/>
      <c r="CW338" s="35"/>
      <c r="CX338" s="35"/>
      <c r="CY338" s="35"/>
      <c r="CZ338" s="35"/>
      <c r="DA338" s="35"/>
      <c r="DB338" s="35"/>
      <c r="DC338" s="35"/>
      <c r="DD338" s="35"/>
      <c r="DE338" s="35"/>
      <c r="DF338" s="35"/>
      <c r="DG338" s="35"/>
      <c r="DH338" s="35"/>
      <c r="DI338" s="35"/>
      <c r="DJ338" s="35"/>
      <c r="DK338" s="35"/>
      <c r="DL338" s="35"/>
      <c r="DM338" s="35"/>
      <c r="DN338" s="35"/>
      <c r="DO338" s="35"/>
      <c r="DP338" s="35"/>
      <c r="DQ338" s="35"/>
      <c r="DR338" s="35"/>
      <c r="DS338" s="35"/>
      <c r="DT338" s="35"/>
      <c r="DU338" s="35"/>
      <c r="DV338" s="35"/>
      <c r="DW338" s="35"/>
      <c r="DX338" s="35"/>
      <c r="DY338" s="35"/>
      <c r="DZ338" s="35"/>
      <c r="EA338" s="35"/>
      <c r="EB338" s="35"/>
      <c r="EC338" s="35"/>
      <c r="ED338" s="35"/>
      <c r="EE338" s="35"/>
      <c r="EF338" s="35"/>
      <c r="EG338" s="35"/>
      <c r="EH338" s="35"/>
      <c r="EI338" s="35"/>
      <c r="EJ338" s="35"/>
      <c r="EK338" s="35"/>
      <c r="EL338" s="35"/>
      <c r="EM338" s="35"/>
      <c r="EN338" s="35"/>
      <c r="EO338" s="35"/>
      <c r="EP338" s="35"/>
      <c r="EQ338" s="35"/>
      <c r="ER338" s="35"/>
      <c r="ES338" s="35"/>
      <c r="ET338" s="35"/>
      <c r="EU338" s="35"/>
      <c r="EV338" s="35"/>
      <c r="EW338" s="35"/>
      <c r="EX338" s="35"/>
      <c r="EY338" s="35"/>
      <c r="EZ338" s="35"/>
      <c r="FA338" s="35"/>
      <c r="FB338" s="35"/>
      <c r="FC338" s="35"/>
      <c r="FD338" s="35"/>
      <c r="FE338" s="35"/>
      <c r="FF338" s="35"/>
      <c r="FG338" s="35"/>
      <c r="FH338" s="35"/>
      <c r="FI338" s="35"/>
      <c r="FJ338" s="35"/>
      <c r="FK338" s="35"/>
      <c r="FL338" s="35"/>
      <c r="FM338" s="35"/>
      <c r="FN338" s="35"/>
      <c r="FO338" s="35"/>
      <c r="FP338" s="35"/>
      <c r="FQ338" s="35"/>
      <c r="FR338" s="35"/>
      <c r="FS338" s="35"/>
      <c r="FT338" s="35"/>
      <c r="FU338" s="35"/>
      <c r="FV338" s="35"/>
      <c r="FW338" s="35"/>
      <c r="FX338" s="35"/>
      <c r="FY338" s="35"/>
      <c r="FZ338" s="35"/>
      <c r="GA338" s="35"/>
      <c r="GB338" s="35"/>
      <c r="GC338" s="35"/>
      <c r="GD338" s="35"/>
      <c r="GE338" s="35"/>
      <c r="GF338" s="35"/>
      <c r="GG338" s="35"/>
      <c r="GH338" s="35"/>
      <c r="GI338" s="35"/>
      <c r="GJ338" s="35"/>
      <c r="GK338" s="35"/>
      <c r="GL338" s="35"/>
      <c r="GM338" s="35"/>
      <c r="GN338" s="35"/>
      <c r="GO338" s="35"/>
      <c r="GP338" s="35"/>
      <c r="GQ338" s="35"/>
      <c r="GR338" s="35"/>
      <c r="GS338" s="35"/>
      <c r="GT338" s="35"/>
      <c r="GU338" s="35"/>
      <c r="GV338" s="35"/>
      <c r="GW338" s="35"/>
      <c r="GX338" s="35"/>
      <c r="GY338" s="35"/>
      <c r="GZ338" s="35"/>
      <c r="HA338" s="35"/>
      <c r="HB338" s="35"/>
      <c r="HC338" s="35"/>
      <c r="HD338" s="35"/>
      <c r="HE338" s="35"/>
      <c r="HF338" s="35"/>
      <c r="HG338" s="35"/>
      <c r="HH338" s="35"/>
      <c r="HI338" s="35"/>
      <c r="HJ338" s="35"/>
      <c r="HK338" s="35"/>
      <c r="HL338" s="35"/>
      <c r="HM338" s="35"/>
      <c r="HN338" s="35"/>
      <c r="HO338" s="35"/>
      <c r="HP338" s="35"/>
      <c r="HQ338" s="35"/>
      <c r="HR338" s="35"/>
      <c r="HS338" s="35"/>
      <c r="HT338" s="35"/>
      <c r="HU338" s="35"/>
      <c r="HV338" s="35"/>
      <c r="HW338" s="35"/>
      <c r="HX338" s="35"/>
      <c r="HY338" s="35"/>
      <c r="HZ338" s="35"/>
      <c r="IA338" s="35"/>
      <c r="IB338" s="35"/>
      <c r="IC338" s="35"/>
      <c r="ID338" s="35"/>
      <c r="IE338" s="35"/>
      <c r="IF338" s="35"/>
      <c r="IG338" s="35"/>
      <c r="IH338" s="35"/>
      <c r="II338" s="35"/>
      <c r="IJ338" s="35"/>
      <c r="IK338" s="35"/>
      <c r="IL338" s="35"/>
      <c r="IM338" s="35"/>
      <c r="IN338" s="35"/>
      <c r="IO338" s="35"/>
      <c r="IP338" s="35"/>
      <c r="IQ338" s="35"/>
      <c r="IR338" s="35"/>
      <c r="IS338" s="35"/>
      <c r="IT338" s="35"/>
      <c r="IU338" s="35"/>
      <c r="IV338" s="35"/>
      <c r="IW338" s="35"/>
      <c r="IX338" s="35"/>
      <c r="IY338" s="35"/>
      <c r="IZ338" s="35"/>
      <c r="JA338" s="35"/>
      <c r="JB338" s="35"/>
      <c r="JC338" s="35"/>
      <c r="JD338" s="35"/>
      <c r="JE338" s="35"/>
      <c r="JF338" s="35"/>
      <c r="JG338" s="35"/>
      <c r="JH338" s="35"/>
      <c r="JI338" s="35"/>
      <c r="JJ338" s="35"/>
      <c r="JK338" s="35"/>
      <c r="JL338" s="35"/>
      <c r="JM338" s="35"/>
      <c r="JN338" s="35"/>
      <c r="JO338" s="35"/>
      <c r="JP338" s="35"/>
      <c r="JQ338" s="35"/>
      <c r="JR338" s="35"/>
      <c r="JS338" s="35"/>
      <c r="JT338" s="35"/>
      <c r="JU338" s="35"/>
      <c r="JV338" s="35"/>
      <c r="JW338" s="35"/>
      <c r="JX338" s="35"/>
      <c r="JY338" s="35"/>
      <c r="JZ338" s="35"/>
      <c r="KA338" s="35"/>
      <c r="KB338" s="35"/>
      <c r="KC338" s="35"/>
      <c r="KD338" s="35"/>
      <c r="KE338" s="35"/>
      <c r="KF338" s="35"/>
      <c r="KG338" s="35"/>
      <c r="KH338" s="35"/>
      <c r="KI338" s="35"/>
      <c r="KJ338" s="35"/>
      <c r="KK338" s="35"/>
      <c r="KL338" s="35"/>
      <c r="KM338" s="35"/>
      <c r="KN338" s="35"/>
      <c r="KO338" s="35"/>
      <c r="KP338" s="35"/>
      <c r="KQ338" s="35"/>
      <c r="KR338" s="35"/>
      <c r="KS338" s="35"/>
      <c r="KT338" s="35"/>
      <c r="KU338" s="35"/>
      <c r="KV338" s="35"/>
      <c r="KW338" s="35"/>
      <c r="KX338" s="35"/>
      <c r="KY338" s="35"/>
      <c r="KZ338" s="35"/>
      <c r="LA338" s="35"/>
      <c r="LB338" s="35"/>
      <c r="LC338" s="35"/>
      <c r="LD338" s="35"/>
      <c r="LE338" s="35"/>
      <c r="LF338" s="35"/>
      <c r="LG338" s="35"/>
      <c r="LH338" s="35"/>
      <c r="LI338" s="35"/>
      <c r="LJ338" s="35"/>
      <c r="LK338" s="35"/>
      <c r="LL338" s="35"/>
      <c r="LM338" s="35"/>
      <c r="LN338" s="35"/>
      <c r="LO338" s="35"/>
      <c r="LP338" s="35"/>
      <c r="LQ338" s="35"/>
      <c r="LR338" s="35"/>
      <c r="LS338" s="35"/>
      <c r="LT338" s="35"/>
      <c r="LU338" s="35"/>
      <c r="LV338" s="35"/>
      <c r="LW338" s="35"/>
      <c r="LX338" s="35"/>
      <c r="LY338" s="35"/>
      <c r="LZ338" s="35"/>
      <c r="MA338" s="35"/>
      <c r="MB338" s="35"/>
      <c r="MC338" s="35"/>
      <c r="MD338" s="35"/>
      <c r="ME338" s="35"/>
      <c r="MF338" s="35"/>
      <c r="MG338" s="35"/>
    </row>
    <row r="339" spans="1:345" s="67" customFormat="1" ht="36" hidden="1" customHeight="1" x14ac:dyDescent="0.25">
      <c r="A339" s="113"/>
      <c r="B339" s="28" t="s">
        <v>337</v>
      </c>
      <c r="C339" s="21" t="s">
        <v>4475</v>
      </c>
      <c r="D339" s="19" t="s">
        <v>4476</v>
      </c>
      <c r="E339" s="18">
        <v>44069.752615740741</v>
      </c>
      <c r="F339" s="27"/>
      <c r="G339" s="34"/>
      <c r="H339" s="25"/>
      <c r="I339" s="62" t="s">
        <v>206</v>
      </c>
      <c r="J339" s="34"/>
      <c r="K339" s="22"/>
      <c r="L339" s="23">
        <v>44069</v>
      </c>
      <c r="M339" s="23"/>
      <c r="N339" s="33" t="s">
        <v>153</v>
      </c>
      <c r="O339" s="26" t="s">
        <v>361</v>
      </c>
      <c r="P339" s="35"/>
      <c r="Q339" s="35"/>
      <c r="R339" s="20"/>
      <c r="S339" s="35"/>
      <c r="T339" s="35"/>
      <c r="U339" s="35"/>
      <c r="V339" s="35"/>
      <c r="W339" s="35"/>
      <c r="X339" s="35"/>
      <c r="Y339" s="35"/>
      <c r="Z339" s="35"/>
      <c r="AA339" s="35"/>
      <c r="AB339" s="35"/>
      <c r="AC339" s="35"/>
      <c r="AD339" s="35"/>
      <c r="AE339" s="35"/>
      <c r="AF339" s="35"/>
      <c r="AG339" s="35"/>
      <c r="AH339" s="35"/>
      <c r="AI339" s="35"/>
      <c r="AJ339" s="35"/>
      <c r="AK339" s="35"/>
      <c r="AL339" s="35"/>
      <c r="AM339" s="35"/>
      <c r="AN339" s="35"/>
      <c r="AO339" s="35"/>
      <c r="AP339" s="35"/>
      <c r="AQ339" s="35"/>
      <c r="AR339" s="35"/>
      <c r="AS339" s="35"/>
      <c r="AT339" s="35"/>
      <c r="AU339" s="35"/>
      <c r="AV339" s="35"/>
      <c r="AW339" s="35"/>
      <c r="AX339" s="35"/>
      <c r="AY339" s="35"/>
      <c r="AZ339" s="35"/>
      <c r="BA339" s="35"/>
      <c r="BB339" s="35"/>
      <c r="BC339" s="35"/>
      <c r="BD339" s="35"/>
      <c r="BE339" s="35"/>
      <c r="BF339" s="35"/>
      <c r="BG339" s="35"/>
      <c r="BH339" s="35"/>
      <c r="BI339" s="35"/>
      <c r="BJ339" s="35"/>
      <c r="BK339" s="35"/>
      <c r="BL339" s="35"/>
      <c r="BM339" s="35"/>
      <c r="BN339" s="35"/>
      <c r="BO339" s="35"/>
      <c r="BP339" s="35"/>
      <c r="BQ339" s="35"/>
      <c r="BR339" s="35"/>
      <c r="BS339" s="35"/>
      <c r="BT339" s="35"/>
      <c r="BU339" s="35"/>
      <c r="BV339" s="35"/>
      <c r="BW339" s="35"/>
      <c r="BX339" s="35"/>
      <c r="BY339" s="35"/>
      <c r="BZ339" s="35"/>
      <c r="CA339" s="35"/>
      <c r="CB339" s="35"/>
      <c r="CC339" s="35"/>
      <c r="CD339" s="35"/>
      <c r="CE339" s="35"/>
      <c r="CF339" s="35"/>
      <c r="CG339" s="35"/>
      <c r="CH339" s="35"/>
      <c r="CI339" s="35"/>
      <c r="CJ339" s="35"/>
      <c r="CK339" s="35"/>
      <c r="CL339" s="35"/>
      <c r="CM339" s="35"/>
      <c r="CN339" s="35"/>
      <c r="CO339" s="35"/>
      <c r="CP339" s="35"/>
      <c r="CQ339" s="35"/>
      <c r="CR339" s="35"/>
      <c r="CS339" s="35"/>
      <c r="CT339" s="35"/>
      <c r="CU339" s="35"/>
      <c r="CV339" s="35"/>
      <c r="CW339" s="35"/>
      <c r="CX339" s="35"/>
      <c r="CY339" s="35"/>
      <c r="CZ339" s="35"/>
      <c r="DA339" s="35"/>
      <c r="DB339" s="35"/>
      <c r="DC339" s="35"/>
      <c r="DD339" s="35"/>
      <c r="DE339" s="35"/>
      <c r="DF339" s="35"/>
      <c r="DG339" s="35"/>
      <c r="DH339" s="35"/>
      <c r="DI339" s="35"/>
      <c r="DJ339" s="35"/>
      <c r="DK339" s="35"/>
      <c r="DL339" s="35"/>
      <c r="DM339" s="35"/>
      <c r="DN339" s="35"/>
      <c r="DO339" s="35"/>
      <c r="DP339" s="35"/>
      <c r="DQ339" s="35"/>
      <c r="DR339" s="35"/>
      <c r="DS339" s="35"/>
      <c r="DT339" s="35"/>
      <c r="DU339" s="35"/>
      <c r="DV339" s="35"/>
      <c r="DW339" s="35"/>
      <c r="DX339" s="35"/>
      <c r="DY339" s="35"/>
      <c r="DZ339" s="35"/>
      <c r="EA339" s="35"/>
      <c r="EB339" s="35"/>
      <c r="EC339" s="35"/>
      <c r="ED339" s="35"/>
      <c r="EE339" s="35"/>
      <c r="EF339" s="35"/>
      <c r="EG339" s="35"/>
      <c r="EH339" s="35"/>
      <c r="EI339" s="35"/>
      <c r="EJ339" s="35"/>
      <c r="EK339" s="35"/>
      <c r="EL339" s="35"/>
      <c r="EM339" s="35"/>
      <c r="EN339" s="35"/>
      <c r="EO339" s="35"/>
      <c r="EP339" s="35"/>
      <c r="EQ339" s="35"/>
      <c r="ER339" s="35"/>
      <c r="ES339" s="35"/>
      <c r="ET339" s="35"/>
      <c r="EU339" s="35"/>
      <c r="EV339" s="35"/>
      <c r="EW339" s="35"/>
      <c r="EX339" s="35"/>
      <c r="EY339" s="35"/>
      <c r="EZ339" s="35"/>
      <c r="FA339" s="35"/>
      <c r="FB339" s="35"/>
      <c r="FC339" s="35"/>
      <c r="FD339" s="35"/>
      <c r="FE339" s="35"/>
      <c r="FF339" s="35"/>
      <c r="FG339" s="35"/>
      <c r="FH339" s="35"/>
      <c r="FI339" s="35"/>
      <c r="FJ339" s="35"/>
      <c r="FK339" s="35"/>
      <c r="FL339" s="35"/>
      <c r="FM339" s="35"/>
      <c r="FN339" s="35"/>
      <c r="FO339" s="35"/>
      <c r="FP339" s="35"/>
      <c r="FQ339" s="35"/>
      <c r="FR339" s="35"/>
      <c r="FS339" s="35"/>
      <c r="FT339" s="35"/>
      <c r="FU339" s="35"/>
      <c r="FV339" s="35"/>
      <c r="FW339" s="35"/>
      <c r="FX339" s="35"/>
      <c r="FY339" s="35"/>
      <c r="FZ339" s="35"/>
      <c r="GA339" s="35"/>
      <c r="GB339" s="35"/>
      <c r="GC339" s="35"/>
      <c r="GD339" s="35"/>
      <c r="GE339" s="35"/>
      <c r="GF339" s="35"/>
      <c r="GG339" s="35"/>
      <c r="GH339" s="35"/>
      <c r="GI339" s="35"/>
      <c r="GJ339" s="35"/>
      <c r="GK339" s="35"/>
      <c r="GL339" s="35"/>
      <c r="GM339" s="35"/>
      <c r="GN339" s="35"/>
      <c r="GO339" s="35"/>
      <c r="GP339" s="35"/>
      <c r="GQ339" s="35"/>
      <c r="GR339" s="35"/>
      <c r="GS339" s="35"/>
      <c r="GT339" s="35"/>
      <c r="GU339" s="35"/>
      <c r="GV339" s="35"/>
      <c r="GW339" s="35"/>
      <c r="GX339" s="35"/>
      <c r="GY339" s="35"/>
      <c r="GZ339" s="35"/>
      <c r="HA339" s="35"/>
      <c r="HB339" s="35"/>
      <c r="HC339" s="35"/>
      <c r="HD339" s="35"/>
      <c r="HE339" s="35"/>
      <c r="HF339" s="35"/>
      <c r="HG339" s="35"/>
      <c r="HH339" s="35"/>
      <c r="HI339" s="35"/>
      <c r="HJ339" s="35"/>
      <c r="HK339" s="35"/>
      <c r="HL339" s="35"/>
      <c r="HM339" s="35"/>
      <c r="HN339" s="35"/>
      <c r="HO339" s="35"/>
      <c r="HP339" s="35"/>
      <c r="HQ339" s="35"/>
      <c r="HR339" s="35"/>
      <c r="HS339" s="35"/>
      <c r="HT339" s="35"/>
      <c r="HU339" s="35"/>
      <c r="HV339" s="35"/>
      <c r="HW339" s="35"/>
      <c r="HX339" s="35"/>
      <c r="HY339" s="35"/>
      <c r="HZ339" s="35"/>
      <c r="IA339" s="35"/>
      <c r="IB339" s="35"/>
      <c r="IC339" s="35"/>
      <c r="ID339" s="35"/>
      <c r="IE339" s="35"/>
      <c r="IF339" s="35"/>
      <c r="IG339" s="35"/>
      <c r="IH339" s="35"/>
      <c r="II339" s="35"/>
      <c r="IJ339" s="35"/>
      <c r="IK339" s="35"/>
      <c r="IL339" s="35"/>
      <c r="IM339" s="35"/>
      <c r="IN339" s="35"/>
      <c r="IO339" s="35"/>
      <c r="IP339" s="35"/>
      <c r="IQ339" s="35"/>
      <c r="IR339" s="35"/>
      <c r="IS339" s="35"/>
      <c r="IT339" s="35"/>
      <c r="IU339" s="35"/>
      <c r="IV339" s="35"/>
      <c r="IW339" s="35"/>
      <c r="IX339" s="35"/>
      <c r="IY339" s="35"/>
      <c r="IZ339" s="35"/>
      <c r="JA339" s="35"/>
      <c r="JB339" s="35"/>
      <c r="JC339" s="35"/>
      <c r="JD339" s="35"/>
      <c r="JE339" s="35"/>
      <c r="JF339" s="35"/>
      <c r="JG339" s="35"/>
      <c r="JH339" s="35"/>
      <c r="JI339" s="35"/>
      <c r="JJ339" s="35"/>
      <c r="JK339" s="35"/>
      <c r="JL339" s="35"/>
      <c r="JM339" s="35"/>
      <c r="JN339" s="35"/>
      <c r="JO339" s="35"/>
      <c r="JP339" s="35"/>
      <c r="JQ339" s="35"/>
      <c r="JR339" s="35"/>
      <c r="JS339" s="35"/>
      <c r="JT339" s="35"/>
      <c r="JU339" s="35"/>
      <c r="JV339" s="35"/>
      <c r="JW339" s="35"/>
      <c r="JX339" s="35"/>
      <c r="JY339" s="35"/>
      <c r="JZ339" s="35"/>
      <c r="KA339" s="35"/>
      <c r="KB339" s="35"/>
      <c r="KC339" s="35"/>
      <c r="KD339" s="35"/>
      <c r="KE339" s="35"/>
      <c r="KF339" s="35"/>
      <c r="KG339" s="35"/>
      <c r="KH339" s="35"/>
      <c r="KI339" s="35"/>
      <c r="KJ339" s="35"/>
      <c r="KK339" s="35"/>
      <c r="KL339" s="35"/>
      <c r="KM339" s="35"/>
      <c r="KN339" s="35"/>
      <c r="KO339" s="35"/>
      <c r="KP339" s="35"/>
      <c r="KQ339" s="35"/>
      <c r="KR339" s="35"/>
      <c r="KS339" s="35"/>
      <c r="KT339" s="35"/>
      <c r="KU339" s="35"/>
      <c r="KV339" s="35"/>
      <c r="KW339" s="35"/>
      <c r="KX339" s="35"/>
      <c r="KY339" s="35"/>
      <c r="KZ339" s="35"/>
      <c r="LA339" s="35"/>
      <c r="LB339" s="35"/>
      <c r="LC339" s="35"/>
      <c r="LD339" s="35"/>
      <c r="LE339" s="35"/>
      <c r="LF339" s="35"/>
      <c r="LG339" s="35"/>
      <c r="LH339" s="35"/>
      <c r="LI339" s="35"/>
      <c r="LJ339" s="35"/>
      <c r="LK339" s="35"/>
      <c r="LL339" s="35"/>
      <c r="LM339" s="35"/>
      <c r="LN339" s="35"/>
      <c r="LO339" s="35"/>
      <c r="LP339" s="35"/>
      <c r="LQ339" s="35"/>
      <c r="LR339" s="35"/>
      <c r="LS339" s="35"/>
      <c r="LT339" s="35"/>
      <c r="LU339" s="35"/>
      <c r="LV339" s="35"/>
      <c r="LW339" s="35"/>
      <c r="LX339" s="35"/>
      <c r="LY339" s="35"/>
      <c r="LZ339" s="35"/>
      <c r="MA339" s="35"/>
      <c r="MB339" s="35"/>
      <c r="MC339" s="35"/>
      <c r="MD339" s="35"/>
      <c r="ME339" s="35"/>
      <c r="MF339" s="35"/>
      <c r="MG339" s="35"/>
    </row>
    <row r="340" spans="1:345" s="67" customFormat="1" ht="36" hidden="1" customHeight="1" x14ac:dyDescent="0.25">
      <c r="A340" s="113"/>
      <c r="B340" s="28" t="s">
        <v>275</v>
      </c>
      <c r="C340" s="21" t="s">
        <v>39</v>
      </c>
      <c r="D340" s="19" t="s">
        <v>4477</v>
      </c>
      <c r="E340" s="18">
        <v>44069.777951388889</v>
      </c>
      <c r="F340" s="27"/>
      <c r="G340" s="34"/>
      <c r="H340" s="25"/>
      <c r="I340" s="62" t="s">
        <v>206</v>
      </c>
      <c r="J340" s="34"/>
      <c r="K340" s="22"/>
      <c r="L340" s="23">
        <v>44071</v>
      </c>
      <c r="M340" s="23" t="s">
        <v>4443</v>
      </c>
      <c r="N340" s="33"/>
      <c r="O340" s="26"/>
      <c r="P340" s="35"/>
      <c r="Q340" s="35"/>
      <c r="R340" s="20"/>
      <c r="S340" s="35"/>
      <c r="T340" s="35"/>
      <c r="U340" s="35"/>
      <c r="V340" s="35"/>
      <c r="W340" s="35"/>
      <c r="X340" s="35"/>
      <c r="Y340" s="35"/>
      <c r="Z340" s="35"/>
      <c r="AA340" s="35"/>
      <c r="AB340" s="35"/>
      <c r="AC340" s="35"/>
      <c r="AD340" s="35"/>
      <c r="AE340" s="35"/>
      <c r="AF340" s="35"/>
      <c r="AG340" s="35"/>
      <c r="AH340" s="35"/>
      <c r="AI340" s="35"/>
      <c r="AJ340" s="35"/>
      <c r="AK340" s="35"/>
      <c r="AL340" s="35"/>
      <c r="AM340" s="35"/>
      <c r="AN340" s="35"/>
      <c r="AO340" s="35"/>
      <c r="AP340" s="35"/>
      <c r="AQ340" s="35"/>
      <c r="AR340" s="35"/>
      <c r="AS340" s="35"/>
      <c r="AT340" s="35"/>
      <c r="AU340" s="35"/>
      <c r="AV340" s="35"/>
      <c r="AW340" s="35"/>
      <c r="AX340" s="35"/>
      <c r="AY340" s="35"/>
      <c r="AZ340" s="35"/>
      <c r="BA340" s="35"/>
      <c r="BB340" s="35"/>
      <c r="BC340" s="35"/>
      <c r="BD340" s="35"/>
      <c r="BE340" s="35"/>
      <c r="BF340" s="35"/>
      <c r="BG340" s="35"/>
      <c r="BH340" s="35"/>
      <c r="BI340" s="35"/>
      <c r="BJ340" s="35"/>
      <c r="BK340" s="35"/>
      <c r="BL340" s="35"/>
      <c r="BM340" s="35"/>
      <c r="BN340" s="35"/>
      <c r="BO340" s="35"/>
      <c r="BP340" s="35"/>
      <c r="BQ340" s="35"/>
      <c r="BR340" s="35"/>
      <c r="BS340" s="35"/>
      <c r="BT340" s="35"/>
      <c r="BU340" s="35"/>
      <c r="BV340" s="35"/>
      <c r="BW340" s="35"/>
      <c r="BX340" s="35"/>
      <c r="BY340" s="35"/>
      <c r="BZ340" s="35"/>
      <c r="CA340" s="35"/>
      <c r="CB340" s="35"/>
      <c r="CC340" s="35"/>
      <c r="CD340" s="35"/>
      <c r="CE340" s="35"/>
      <c r="CF340" s="35"/>
      <c r="CG340" s="35"/>
      <c r="CH340" s="35"/>
      <c r="CI340" s="35"/>
      <c r="CJ340" s="35"/>
      <c r="CK340" s="35"/>
      <c r="CL340" s="35"/>
      <c r="CM340" s="35"/>
      <c r="CN340" s="35"/>
      <c r="CO340" s="35"/>
      <c r="CP340" s="35"/>
      <c r="CQ340" s="35"/>
      <c r="CR340" s="35"/>
      <c r="CS340" s="35"/>
      <c r="CT340" s="35"/>
      <c r="CU340" s="35"/>
      <c r="CV340" s="35"/>
      <c r="CW340" s="35"/>
      <c r="CX340" s="35"/>
      <c r="CY340" s="35"/>
      <c r="CZ340" s="35"/>
      <c r="DA340" s="35"/>
      <c r="DB340" s="35"/>
      <c r="DC340" s="35"/>
      <c r="DD340" s="35"/>
      <c r="DE340" s="35"/>
      <c r="DF340" s="35"/>
      <c r="DG340" s="35"/>
      <c r="DH340" s="35"/>
      <c r="DI340" s="35"/>
      <c r="DJ340" s="35"/>
      <c r="DK340" s="35"/>
      <c r="DL340" s="35"/>
      <c r="DM340" s="35"/>
      <c r="DN340" s="35"/>
      <c r="DO340" s="35"/>
      <c r="DP340" s="35"/>
      <c r="DQ340" s="35"/>
      <c r="DR340" s="35"/>
      <c r="DS340" s="35"/>
      <c r="DT340" s="35"/>
      <c r="DU340" s="35"/>
      <c r="DV340" s="35"/>
      <c r="DW340" s="35"/>
      <c r="DX340" s="35"/>
      <c r="DY340" s="35"/>
      <c r="DZ340" s="35"/>
      <c r="EA340" s="35"/>
      <c r="EB340" s="35"/>
      <c r="EC340" s="35"/>
      <c r="ED340" s="35"/>
      <c r="EE340" s="35"/>
      <c r="EF340" s="35"/>
      <c r="EG340" s="35"/>
      <c r="EH340" s="35"/>
      <c r="EI340" s="35"/>
      <c r="EJ340" s="35"/>
      <c r="EK340" s="35"/>
      <c r="EL340" s="35"/>
      <c r="EM340" s="35"/>
      <c r="EN340" s="35"/>
      <c r="EO340" s="35"/>
      <c r="EP340" s="35"/>
      <c r="EQ340" s="35"/>
      <c r="ER340" s="35"/>
      <c r="ES340" s="35"/>
      <c r="ET340" s="35"/>
      <c r="EU340" s="35"/>
      <c r="EV340" s="35"/>
      <c r="EW340" s="35"/>
      <c r="EX340" s="35"/>
      <c r="EY340" s="35"/>
      <c r="EZ340" s="35"/>
      <c r="FA340" s="35"/>
      <c r="FB340" s="35"/>
      <c r="FC340" s="35"/>
      <c r="FD340" s="35"/>
      <c r="FE340" s="35"/>
      <c r="FF340" s="35"/>
      <c r="FG340" s="35"/>
      <c r="FH340" s="35"/>
      <c r="FI340" s="35"/>
      <c r="FJ340" s="35"/>
      <c r="FK340" s="35"/>
      <c r="FL340" s="35"/>
      <c r="FM340" s="35"/>
      <c r="FN340" s="35"/>
      <c r="FO340" s="35"/>
      <c r="FP340" s="35"/>
      <c r="FQ340" s="35"/>
      <c r="FR340" s="35"/>
      <c r="FS340" s="35"/>
      <c r="FT340" s="35"/>
      <c r="FU340" s="35"/>
      <c r="FV340" s="35"/>
      <c r="FW340" s="35"/>
      <c r="FX340" s="35"/>
      <c r="FY340" s="35"/>
      <c r="FZ340" s="35"/>
      <c r="GA340" s="35"/>
      <c r="GB340" s="35"/>
      <c r="GC340" s="35"/>
      <c r="GD340" s="35"/>
      <c r="GE340" s="35"/>
      <c r="GF340" s="35"/>
      <c r="GG340" s="35"/>
      <c r="GH340" s="35"/>
      <c r="GI340" s="35"/>
      <c r="GJ340" s="35"/>
      <c r="GK340" s="35"/>
      <c r="GL340" s="35"/>
      <c r="GM340" s="35"/>
      <c r="GN340" s="35"/>
      <c r="GO340" s="35"/>
      <c r="GP340" s="35"/>
      <c r="GQ340" s="35"/>
      <c r="GR340" s="35"/>
      <c r="GS340" s="35"/>
      <c r="GT340" s="35"/>
      <c r="GU340" s="35"/>
      <c r="GV340" s="35"/>
      <c r="GW340" s="35"/>
      <c r="GX340" s="35"/>
      <c r="GY340" s="35"/>
      <c r="GZ340" s="35"/>
      <c r="HA340" s="35"/>
      <c r="HB340" s="35"/>
      <c r="HC340" s="35"/>
      <c r="HD340" s="35"/>
      <c r="HE340" s="35"/>
      <c r="HF340" s="35"/>
      <c r="HG340" s="35"/>
      <c r="HH340" s="35"/>
      <c r="HI340" s="35"/>
      <c r="HJ340" s="35"/>
      <c r="HK340" s="35"/>
      <c r="HL340" s="35"/>
      <c r="HM340" s="35"/>
      <c r="HN340" s="35"/>
      <c r="HO340" s="35"/>
      <c r="HP340" s="35"/>
      <c r="HQ340" s="35"/>
      <c r="HR340" s="35"/>
      <c r="HS340" s="35"/>
      <c r="HT340" s="35"/>
      <c r="HU340" s="35"/>
      <c r="HV340" s="35"/>
      <c r="HW340" s="35"/>
      <c r="HX340" s="35"/>
      <c r="HY340" s="35"/>
      <c r="HZ340" s="35"/>
      <c r="IA340" s="35"/>
      <c r="IB340" s="35"/>
      <c r="IC340" s="35"/>
      <c r="ID340" s="35"/>
      <c r="IE340" s="35"/>
      <c r="IF340" s="35"/>
      <c r="IG340" s="35"/>
      <c r="IH340" s="35"/>
      <c r="II340" s="35"/>
      <c r="IJ340" s="35"/>
      <c r="IK340" s="35"/>
      <c r="IL340" s="35"/>
      <c r="IM340" s="35"/>
      <c r="IN340" s="35"/>
      <c r="IO340" s="35"/>
      <c r="IP340" s="35"/>
      <c r="IQ340" s="35"/>
      <c r="IR340" s="35"/>
      <c r="IS340" s="35"/>
      <c r="IT340" s="35"/>
      <c r="IU340" s="35"/>
      <c r="IV340" s="35"/>
      <c r="IW340" s="35"/>
      <c r="IX340" s="35"/>
      <c r="IY340" s="35"/>
      <c r="IZ340" s="35"/>
      <c r="JA340" s="35"/>
      <c r="JB340" s="35"/>
      <c r="JC340" s="35"/>
      <c r="JD340" s="35"/>
      <c r="JE340" s="35"/>
      <c r="JF340" s="35"/>
      <c r="JG340" s="35"/>
      <c r="JH340" s="35"/>
      <c r="JI340" s="35"/>
      <c r="JJ340" s="35"/>
      <c r="JK340" s="35"/>
      <c r="JL340" s="35"/>
      <c r="JM340" s="35"/>
      <c r="JN340" s="35"/>
      <c r="JO340" s="35"/>
      <c r="JP340" s="35"/>
      <c r="JQ340" s="35"/>
      <c r="JR340" s="35"/>
      <c r="JS340" s="35"/>
      <c r="JT340" s="35"/>
      <c r="JU340" s="35"/>
      <c r="JV340" s="35"/>
      <c r="JW340" s="35"/>
      <c r="JX340" s="35"/>
      <c r="JY340" s="35"/>
      <c r="JZ340" s="35"/>
      <c r="KA340" s="35"/>
      <c r="KB340" s="35"/>
      <c r="KC340" s="35"/>
      <c r="KD340" s="35"/>
      <c r="KE340" s="35"/>
      <c r="KF340" s="35"/>
      <c r="KG340" s="35"/>
      <c r="KH340" s="35"/>
      <c r="KI340" s="35"/>
      <c r="KJ340" s="35"/>
      <c r="KK340" s="35"/>
      <c r="KL340" s="35"/>
      <c r="KM340" s="35"/>
      <c r="KN340" s="35"/>
      <c r="KO340" s="35"/>
      <c r="KP340" s="35"/>
      <c r="KQ340" s="35"/>
      <c r="KR340" s="35"/>
      <c r="KS340" s="35"/>
      <c r="KT340" s="35"/>
      <c r="KU340" s="35"/>
      <c r="KV340" s="35"/>
      <c r="KW340" s="35"/>
      <c r="KX340" s="35"/>
      <c r="KY340" s="35"/>
      <c r="KZ340" s="35"/>
      <c r="LA340" s="35"/>
      <c r="LB340" s="35"/>
      <c r="LC340" s="35"/>
      <c r="LD340" s="35"/>
      <c r="LE340" s="35"/>
      <c r="LF340" s="35"/>
      <c r="LG340" s="35"/>
      <c r="LH340" s="35"/>
      <c r="LI340" s="35"/>
      <c r="LJ340" s="35"/>
      <c r="LK340" s="35"/>
      <c r="LL340" s="35"/>
      <c r="LM340" s="35"/>
      <c r="LN340" s="35"/>
      <c r="LO340" s="35"/>
      <c r="LP340" s="35"/>
      <c r="LQ340" s="35"/>
      <c r="LR340" s="35"/>
      <c r="LS340" s="35"/>
      <c r="LT340" s="35"/>
      <c r="LU340" s="35"/>
      <c r="LV340" s="35"/>
      <c r="LW340" s="35"/>
      <c r="LX340" s="35"/>
      <c r="LY340" s="35"/>
      <c r="LZ340" s="35"/>
      <c r="MA340" s="35"/>
      <c r="MB340" s="35"/>
      <c r="MC340" s="35"/>
      <c r="MD340" s="35"/>
      <c r="ME340" s="35"/>
      <c r="MF340" s="35"/>
      <c r="MG340" s="35"/>
    </row>
    <row r="341" spans="1:345" s="67" customFormat="1" ht="36" hidden="1" customHeight="1" x14ac:dyDescent="0.25">
      <c r="A341" s="113"/>
      <c r="B341" s="84" t="s">
        <v>310</v>
      </c>
      <c r="C341" s="83" t="s">
        <v>11</v>
      </c>
      <c r="D341" s="82" t="s">
        <v>4483</v>
      </c>
      <c r="E341" s="81">
        <v>44070</v>
      </c>
      <c r="F341" s="27"/>
      <c r="G341" s="34"/>
      <c r="H341" s="25"/>
      <c r="I341" s="62" t="s">
        <v>278</v>
      </c>
      <c r="J341" s="34"/>
      <c r="K341" s="22"/>
      <c r="L341" s="23">
        <v>44075</v>
      </c>
      <c r="M341" s="23" t="s">
        <v>4443</v>
      </c>
      <c r="N341" s="33" t="s">
        <v>4509</v>
      </c>
      <c r="O341" s="26"/>
      <c r="P341" s="35"/>
      <c r="Q341" s="35"/>
      <c r="R341" s="20"/>
      <c r="S341" s="35"/>
      <c r="T341" s="35"/>
      <c r="U341" s="35"/>
      <c r="V341" s="35"/>
      <c r="W341" s="35"/>
      <c r="X341" s="35"/>
      <c r="Y341" s="35"/>
      <c r="Z341" s="35"/>
      <c r="AA341" s="35"/>
      <c r="AB341" s="35"/>
      <c r="AC341" s="35"/>
      <c r="AD341" s="35"/>
      <c r="AE341" s="35"/>
      <c r="AF341" s="35"/>
      <c r="AG341" s="35"/>
      <c r="AH341" s="35"/>
      <c r="AI341" s="35"/>
      <c r="AJ341" s="35"/>
      <c r="AK341" s="35"/>
      <c r="AL341" s="35"/>
      <c r="AM341" s="35"/>
      <c r="AN341" s="35"/>
      <c r="AO341" s="35"/>
      <c r="AP341" s="35"/>
      <c r="AQ341" s="35"/>
      <c r="AR341" s="35"/>
      <c r="AS341" s="35"/>
      <c r="AT341" s="35"/>
      <c r="AU341" s="35"/>
      <c r="AV341" s="35"/>
      <c r="AW341" s="35"/>
      <c r="AX341" s="35"/>
      <c r="AY341" s="35"/>
      <c r="AZ341" s="35"/>
      <c r="BA341" s="35"/>
      <c r="BB341" s="35"/>
      <c r="BC341" s="35"/>
      <c r="BD341" s="35"/>
      <c r="BE341" s="35"/>
      <c r="BF341" s="35"/>
      <c r="BG341" s="35"/>
      <c r="BH341" s="35"/>
      <c r="BI341" s="35"/>
      <c r="BJ341" s="35"/>
      <c r="BK341" s="35"/>
      <c r="BL341" s="35"/>
      <c r="BM341" s="35"/>
      <c r="BN341" s="35"/>
      <c r="BO341" s="35"/>
      <c r="BP341" s="35"/>
      <c r="BQ341" s="35"/>
      <c r="BR341" s="35"/>
      <c r="BS341" s="35"/>
      <c r="BT341" s="35"/>
      <c r="BU341" s="35"/>
      <c r="BV341" s="35"/>
      <c r="BW341" s="35"/>
      <c r="BX341" s="35"/>
      <c r="BY341" s="35"/>
      <c r="BZ341" s="35"/>
      <c r="CA341" s="35"/>
      <c r="CB341" s="35"/>
      <c r="CC341" s="35"/>
      <c r="CD341" s="35"/>
      <c r="CE341" s="35"/>
      <c r="CF341" s="35"/>
      <c r="CG341" s="35"/>
      <c r="CH341" s="35"/>
      <c r="CI341" s="35"/>
      <c r="CJ341" s="35"/>
      <c r="CK341" s="35"/>
      <c r="CL341" s="35"/>
      <c r="CM341" s="35"/>
      <c r="CN341" s="35"/>
      <c r="CO341" s="35"/>
      <c r="CP341" s="35"/>
      <c r="CQ341" s="35"/>
      <c r="CR341" s="35"/>
      <c r="CS341" s="35"/>
      <c r="CT341" s="35"/>
      <c r="CU341" s="35"/>
      <c r="CV341" s="35"/>
      <c r="CW341" s="35"/>
      <c r="CX341" s="35"/>
      <c r="CY341" s="35"/>
      <c r="CZ341" s="35"/>
      <c r="DA341" s="35"/>
      <c r="DB341" s="35"/>
      <c r="DC341" s="35"/>
      <c r="DD341" s="35"/>
      <c r="DE341" s="35"/>
      <c r="DF341" s="35"/>
      <c r="DG341" s="35"/>
      <c r="DH341" s="35"/>
      <c r="DI341" s="35"/>
      <c r="DJ341" s="35"/>
      <c r="DK341" s="35"/>
      <c r="DL341" s="35"/>
      <c r="DM341" s="35"/>
      <c r="DN341" s="35"/>
      <c r="DO341" s="35"/>
      <c r="DP341" s="35"/>
      <c r="DQ341" s="35"/>
      <c r="DR341" s="35"/>
      <c r="DS341" s="35"/>
      <c r="DT341" s="35"/>
      <c r="DU341" s="35"/>
      <c r="DV341" s="35"/>
      <c r="DW341" s="35"/>
      <c r="DX341" s="35"/>
      <c r="DY341" s="35"/>
      <c r="DZ341" s="35"/>
      <c r="EA341" s="35"/>
      <c r="EB341" s="35"/>
      <c r="EC341" s="35"/>
      <c r="ED341" s="35"/>
      <c r="EE341" s="35"/>
      <c r="EF341" s="35"/>
      <c r="EG341" s="35"/>
      <c r="EH341" s="35"/>
      <c r="EI341" s="35"/>
      <c r="EJ341" s="35"/>
      <c r="EK341" s="35"/>
      <c r="EL341" s="35"/>
      <c r="EM341" s="35"/>
      <c r="EN341" s="35"/>
      <c r="EO341" s="35"/>
      <c r="EP341" s="35"/>
      <c r="EQ341" s="35"/>
      <c r="ER341" s="35"/>
      <c r="ES341" s="35"/>
      <c r="ET341" s="35"/>
      <c r="EU341" s="35"/>
      <c r="EV341" s="35"/>
      <c r="EW341" s="35"/>
      <c r="EX341" s="35"/>
      <c r="EY341" s="35"/>
      <c r="EZ341" s="35"/>
      <c r="FA341" s="35"/>
      <c r="FB341" s="35"/>
      <c r="FC341" s="35"/>
      <c r="FD341" s="35"/>
      <c r="FE341" s="35"/>
      <c r="FF341" s="35"/>
      <c r="FG341" s="35"/>
      <c r="FH341" s="35"/>
      <c r="FI341" s="35"/>
      <c r="FJ341" s="35"/>
      <c r="FK341" s="35"/>
      <c r="FL341" s="35"/>
      <c r="FM341" s="35"/>
      <c r="FN341" s="35"/>
      <c r="FO341" s="35"/>
      <c r="FP341" s="35"/>
      <c r="FQ341" s="35"/>
      <c r="FR341" s="35"/>
      <c r="FS341" s="35"/>
      <c r="FT341" s="35"/>
      <c r="FU341" s="35"/>
      <c r="FV341" s="35"/>
      <c r="FW341" s="35"/>
      <c r="FX341" s="35"/>
      <c r="FY341" s="35"/>
      <c r="FZ341" s="35"/>
      <c r="GA341" s="35"/>
      <c r="GB341" s="35"/>
      <c r="GC341" s="35"/>
      <c r="GD341" s="35"/>
      <c r="GE341" s="35"/>
      <c r="GF341" s="35"/>
      <c r="GG341" s="35"/>
      <c r="GH341" s="35"/>
      <c r="GI341" s="35"/>
      <c r="GJ341" s="35"/>
      <c r="GK341" s="35"/>
      <c r="GL341" s="35"/>
      <c r="GM341" s="35"/>
      <c r="GN341" s="35"/>
      <c r="GO341" s="35"/>
      <c r="GP341" s="35"/>
      <c r="GQ341" s="35"/>
      <c r="GR341" s="35"/>
      <c r="GS341" s="35"/>
      <c r="GT341" s="35"/>
      <c r="GU341" s="35"/>
      <c r="GV341" s="35"/>
      <c r="GW341" s="35"/>
      <c r="GX341" s="35"/>
      <c r="GY341" s="35"/>
      <c r="GZ341" s="35"/>
      <c r="HA341" s="35"/>
      <c r="HB341" s="35"/>
      <c r="HC341" s="35"/>
      <c r="HD341" s="35"/>
      <c r="HE341" s="35"/>
      <c r="HF341" s="35"/>
      <c r="HG341" s="35"/>
      <c r="HH341" s="35"/>
      <c r="HI341" s="35"/>
      <c r="HJ341" s="35"/>
      <c r="HK341" s="35"/>
      <c r="HL341" s="35"/>
      <c r="HM341" s="35"/>
      <c r="HN341" s="35"/>
      <c r="HO341" s="35"/>
      <c r="HP341" s="35"/>
      <c r="HQ341" s="35"/>
      <c r="HR341" s="35"/>
      <c r="HS341" s="35"/>
      <c r="HT341" s="35"/>
      <c r="HU341" s="35"/>
      <c r="HV341" s="35"/>
      <c r="HW341" s="35"/>
      <c r="HX341" s="35"/>
      <c r="HY341" s="35"/>
      <c r="HZ341" s="35"/>
      <c r="IA341" s="35"/>
      <c r="IB341" s="35"/>
      <c r="IC341" s="35"/>
      <c r="ID341" s="35"/>
      <c r="IE341" s="35"/>
      <c r="IF341" s="35"/>
      <c r="IG341" s="35"/>
      <c r="IH341" s="35"/>
      <c r="II341" s="35"/>
      <c r="IJ341" s="35"/>
      <c r="IK341" s="35"/>
      <c r="IL341" s="35"/>
      <c r="IM341" s="35"/>
      <c r="IN341" s="35"/>
      <c r="IO341" s="35"/>
      <c r="IP341" s="35"/>
      <c r="IQ341" s="35"/>
      <c r="IR341" s="35"/>
      <c r="IS341" s="35"/>
      <c r="IT341" s="35"/>
      <c r="IU341" s="35"/>
      <c r="IV341" s="35"/>
      <c r="IW341" s="35"/>
      <c r="IX341" s="35"/>
      <c r="IY341" s="35"/>
      <c r="IZ341" s="35"/>
      <c r="JA341" s="35"/>
      <c r="JB341" s="35"/>
      <c r="JC341" s="35"/>
      <c r="JD341" s="35"/>
      <c r="JE341" s="35"/>
      <c r="JF341" s="35"/>
      <c r="JG341" s="35"/>
      <c r="JH341" s="35"/>
      <c r="JI341" s="35"/>
      <c r="JJ341" s="35"/>
      <c r="JK341" s="35"/>
      <c r="JL341" s="35"/>
      <c r="JM341" s="35"/>
      <c r="JN341" s="35"/>
      <c r="JO341" s="35"/>
      <c r="JP341" s="35"/>
      <c r="JQ341" s="35"/>
      <c r="JR341" s="35"/>
      <c r="JS341" s="35"/>
      <c r="JT341" s="35"/>
      <c r="JU341" s="35"/>
      <c r="JV341" s="35"/>
      <c r="JW341" s="35"/>
      <c r="JX341" s="35"/>
      <c r="JY341" s="35"/>
      <c r="JZ341" s="35"/>
      <c r="KA341" s="35"/>
      <c r="KB341" s="35"/>
      <c r="KC341" s="35"/>
      <c r="KD341" s="35"/>
      <c r="KE341" s="35"/>
      <c r="KF341" s="35"/>
      <c r="KG341" s="35"/>
      <c r="KH341" s="35"/>
      <c r="KI341" s="35"/>
      <c r="KJ341" s="35"/>
      <c r="KK341" s="35"/>
      <c r="KL341" s="35"/>
      <c r="KM341" s="35"/>
      <c r="KN341" s="35"/>
      <c r="KO341" s="35"/>
      <c r="KP341" s="35"/>
      <c r="KQ341" s="35"/>
      <c r="KR341" s="35"/>
      <c r="KS341" s="35"/>
      <c r="KT341" s="35"/>
      <c r="KU341" s="35"/>
      <c r="KV341" s="35"/>
      <c r="KW341" s="35"/>
      <c r="KX341" s="35"/>
      <c r="KY341" s="35"/>
      <c r="KZ341" s="35"/>
      <c r="LA341" s="35"/>
      <c r="LB341" s="35"/>
      <c r="LC341" s="35"/>
      <c r="LD341" s="35"/>
      <c r="LE341" s="35"/>
      <c r="LF341" s="35"/>
      <c r="LG341" s="35"/>
      <c r="LH341" s="35"/>
      <c r="LI341" s="35"/>
      <c r="LJ341" s="35"/>
      <c r="LK341" s="35"/>
      <c r="LL341" s="35"/>
      <c r="LM341" s="35"/>
      <c r="LN341" s="35"/>
      <c r="LO341" s="35"/>
      <c r="LP341" s="35"/>
      <c r="LQ341" s="35"/>
      <c r="LR341" s="35"/>
      <c r="LS341" s="35"/>
      <c r="LT341" s="35"/>
      <c r="LU341" s="35"/>
      <c r="LV341" s="35"/>
      <c r="LW341" s="35"/>
      <c r="LX341" s="35"/>
      <c r="LY341" s="35"/>
      <c r="LZ341" s="35"/>
      <c r="MA341" s="35"/>
      <c r="MB341" s="35"/>
      <c r="MC341" s="35"/>
      <c r="MD341" s="35"/>
      <c r="ME341" s="35"/>
      <c r="MF341" s="35"/>
      <c r="MG341" s="35"/>
    </row>
    <row r="342" spans="1:345" s="67" customFormat="1" ht="36" hidden="1" customHeight="1" x14ac:dyDescent="0.25">
      <c r="A342" s="117"/>
      <c r="B342" s="84" t="s">
        <v>4479</v>
      </c>
      <c r="C342" s="83" t="s">
        <v>23</v>
      </c>
      <c r="D342" s="82" t="s">
        <v>4480</v>
      </c>
      <c r="E342" s="81">
        <v>44070.279976851853</v>
      </c>
      <c r="F342" s="27"/>
      <c r="G342" s="34"/>
      <c r="H342" s="25"/>
      <c r="I342" s="62" t="s">
        <v>206</v>
      </c>
      <c r="J342" s="34"/>
      <c r="K342" s="22"/>
      <c r="L342" s="23">
        <v>44071</v>
      </c>
      <c r="M342" s="23"/>
      <c r="N342" s="33"/>
      <c r="O342" s="26"/>
      <c r="P342" s="35"/>
      <c r="Q342" s="35"/>
      <c r="R342" s="20"/>
      <c r="S342" s="35"/>
      <c r="T342" s="35"/>
      <c r="U342" s="35"/>
      <c r="V342" s="35"/>
      <c r="W342" s="35"/>
      <c r="X342" s="35"/>
      <c r="Y342" s="35"/>
      <c r="Z342" s="35"/>
      <c r="AA342" s="35"/>
      <c r="AB342" s="35"/>
      <c r="AC342" s="35"/>
      <c r="AD342" s="35"/>
      <c r="AE342" s="35"/>
      <c r="AF342" s="35"/>
      <c r="AG342" s="35"/>
      <c r="AH342" s="35"/>
      <c r="AI342" s="35"/>
      <c r="AJ342" s="35"/>
      <c r="AK342" s="35"/>
      <c r="AL342" s="35"/>
      <c r="AM342" s="35"/>
      <c r="AN342" s="35"/>
      <c r="AO342" s="35"/>
      <c r="AP342" s="35"/>
      <c r="AQ342" s="35"/>
      <c r="AR342" s="35"/>
      <c r="AS342" s="35"/>
      <c r="AT342" s="35"/>
      <c r="AU342" s="35"/>
      <c r="AV342" s="35"/>
      <c r="AW342" s="35"/>
      <c r="AX342" s="35"/>
      <c r="AY342" s="35"/>
      <c r="AZ342" s="35"/>
      <c r="BA342" s="35"/>
      <c r="BB342" s="35"/>
      <c r="BC342" s="35"/>
      <c r="BD342" s="35"/>
      <c r="BE342" s="35"/>
      <c r="BF342" s="35"/>
      <c r="BG342" s="35"/>
      <c r="BH342" s="35"/>
      <c r="BI342" s="35"/>
      <c r="BJ342" s="35"/>
      <c r="BK342" s="35"/>
      <c r="BL342" s="35"/>
      <c r="BM342" s="35"/>
      <c r="BN342" s="35"/>
      <c r="BO342" s="35"/>
      <c r="BP342" s="35"/>
      <c r="BQ342" s="35"/>
      <c r="BR342" s="35"/>
      <c r="BS342" s="35"/>
      <c r="BT342" s="35"/>
      <c r="BU342" s="35"/>
      <c r="BV342" s="35"/>
      <c r="BW342" s="35"/>
      <c r="BX342" s="35"/>
      <c r="BY342" s="35"/>
      <c r="BZ342" s="35"/>
      <c r="CA342" s="35"/>
      <c r="CB342" s="35"/>
      <c r="CC342" s="35"/>
      <c r="CD342" s="35"/>
      <c r="CE342" s="35"/>
      <c r="CF342" s="35"/>
      <c r="CG342" s="35"/>
      <c r="CH342" s="35"/>
      <c r="CI342" s="35"/>
      <c r="CJ342" s="35"/>
      <c r="CK342" s="35"/>
      <c r="CL342" s="35"/>
      <c r="CM342" s="35"/>
      <c r="CN342" s="35"/>
      <c r="CO342" s="35"/>
      <c r="CP342" s="35"/>
      <c r="CQ342" s="35"/>
      <c r="CR342" s="35"/>
      <c r="CS342" s="35"/>
      <c r="CT342" s="35"/>
      <c r="CU342" s="35"/>
      <c r="CV342" s="35"/>
      <c r="CW342" s="35"/>
      <c r="CX342" s="35"/>
      <c r="CY342" s="35"/>
      <c r="CZ342" s="35"/>
      <c r="DA342" s="35"/>
      <c r="DB342" s="35"/>
      <c r="DC342" s="35"/>
      <c r="DD342" s="35"/>
      <c r="DE342" s="35"/>
      <c r="DF342" s="35"/>
      <c r="DG342" s="35"/>
      <c r="DH342" s="35"/>
      <c r="DI342" s="35"/>
      <c r="DJ342" s="35"/>
      <c r="DK342" s="35"/>
      <c r="DL342" s="35"/>
      <c r="DM342" s="35"/>
      <c r="DN342" s="35"/>
      <c r="DO342" s="35"/>
      <c r="DP342" s="35"/>
      <c r="DQ342" s="35"/>
      <c r="DR342" s="35"/>
      <c r="DS342" s="35"/>
      <c r="DT342" s="35"/>
      <c r="DU342" s="35"/>
      <c r="DV342" s="35"/>
      <c r="DW342" s="35"/>
      <c r="DX342" s="35"/>
      <c r="DY342" s="35"/>
      <c r="DZ342" s="35"/>
      <c r="EA342" s="35"/>
      <c r="EB342" s="35"/>
      <c r="EC342" s="35"/>
      <c r="ED342" s="35"/>
      <c r="EE342" s="35"/>
      <c r="EF342" s="35"/>
      <c r="EG342" s="35"/>
      <c r="EH342" s="35"/>
      <c r="EI342" s="35"/>
      <c r="EJ342" s="35"/>
      <c r="EK342" s="35"/>
      <c r="EL342" s="35"/>
      <c r="EM342" s="35"/>
      <c r="EN342" s="35"/>
      <c r="EO342" s="35"/>
      <c r="EP342" s="35"/>
      <c r="EQ342" s="35"/>
      <c r="ER342" s="35"/>
      <c r="ES342" s="35"/>
      <c r="ET342" s="35"/>
      <c r="EU342" s="35"/>
      <c r="EV342" s="35"/>
      <c r="EW342" s="35"/>
      <c r="EX342" s="35"/>
      <c r="EY342" s="35"/>
      <c r="EZ342" s="35"/>
      <c r="FA342" s="35"/>
      <c r="FB342" s="35"/>
      <c r="FC342" s="35"/>
      <c r="FD342" s="35"/>
      <c r="FE342" s="35"/>
      <c r="FF342" s="35"/>
      <c r="FG342" s="35"/>
      <c r="FH342" s="35"/>
      <c r="FI342" s="35"/>
      <c r="FJ342" s="35"/>
      <c r="FK342" s="35"/>
      <c r="FL342" s="35"/>
      <c r="FM342" s="35"/>
      <c r="FN342" s="35"/>
      <c r="FO342" s="35"/>
      <c r="FP342" s="35"/>
      <c r="FQ342" s="35"/>
      <c r="FR342" s="35"/>
      <c r="FS342" s="35"/>
      <c r="FT342" s="35"/>
      <c r="FU342" s="35"/>
      <c r="FV342" s="35"/>
      <c r="FW342" s="35"/>
      <c r="FX342" s="35"/>
      <c r="FY342" s="35"/>
      <c r="FZ342" s="35"/>
      <c r="GA342" s="35"/>
      <c r="GB342" s="35"/>
      <c r="GC342" s="35"/>
      <c r="GD342" s="35"/>
      <c r="GE342" s="35"/>
      <c r="GF342" s="35"/>
      <c r="GG342" s="35"/>
      <c r="GH342" s="35"/>
      <c r="GI342" s="35"/>
      <c r="GJ342" s="35"/>
      <c r="GK342" s="35"/>
      <c r="GL342" s="35"/>
      <c r="GM342" s="35"/>
      <c r="GN342" s="35"/>
      <c r="GO342" s="35"/>
      <c r="GP342" s="35"/>
      <c r="GQ342" s="35"/>
      <c r="GR342" s="35"/>
      <c r="GS342" s="35"/>
      <c r="GT342" s="35"/>
      <c r="GU342" s="35"/>
      <c r="GV342" s="35"/>
      <c r="GW342" s="35"/>
      <c r="GX342" s="35"/>
      <c r="GY342" s="35"/>
      <c r="GZ342" s="35"/>
      <c r="HA342" s="35"/>
      <c r="HB342" s="35"/>
      <c r="HC342" s="35"/>
      <c r="HD342" s="35"/>
      <c r="HE342" s="35"/>
      <c r="HF342" s="35"/>
      <c r="HG342" s="35"/>
      <c r="HH342" s="35"/>
      <c r="HI342" s="35"/>
      <c r="HJ342" s="35"/>
      <c r="HK342" s="35"/>
      <c r="HL342" s="35"/>
      <c r="HM342" s="35"/>
      <c r="HN342" s="35"/>
      <c r="HO342" s="35"/>
      <c r="HP342" s="35"/>
      <c r="HQ342" s="35"/>
      <c r="HR342" s="35"/>
      <c r="HS342" s="35"/>
      <c r="HT342" s="35"/>
      <c r="HU342" s="35"/>
      <c r="HV342" s="35"/>
      <c r="HW342" s="35"/>
      <c r="HX342" s="35"/>
      <c r="HY342" s="35"/>
      <c r="HZ342" s="35"/>
      <c r="IA342" s="35"/>
      <c r="IB342" s="35"/>
      <c r="IC342" s="35"/>
      <c r="ID342" s="35"/>
      <c r="IE342" s="35"/>
      <c r="IF342" s="35"/>
      <c r="IG342" s="35"/>
      <c r="IH342" s="35"/>
      <c r="II342" s="35"/>
      <c r="IJ342" s="35"/>
      <c r="IK342" s="35"/>
      <c r="IL342" s="35"/>
      <c r="IM342" s="35"/>
      <c r="IN342" s="35"/>
      <c r="IO342" s="35"/>
      <c r="IP342" s="35"/>
      <c r="IQ342" s="35"/>
      <c r="IR342" s="35"/>
      <c r="IS342" s="35"/>
      <c r="IT342" s="35"/>
      <c r="IU342" s="35"/>
      <c r="IV342" s="35"/>
      <c r="IW342" s="35"/>
      <c r="IX342" s="35"/>
      <c r="IY342" s="35"/>
      <c r="IZ342" s="35"/>
      <c r="JA342" s="35"/>
      <c r="JB342" s="35"/>
      <c r="JC342" s="35"/>
      <c r="JD342" s="35"/>
      <c r="JE342" s="35"/>
      <c r="JF342" s="35"/>
      <c r="JG342" s="35"/>
      <c r="JH342" s="35"/>
      <c r="JI342" s="35"/>
      <c r="JJ342" s="35"/>
      <c r="JK342" s="35"/>
      <c r="JL342" s="35"/>
      <c r="JM342" s="35"/>
      <c r="JN342" s="35"/>
      <c r="JO342" s="35"/>
      <c r="JP342" s="35"/>
      <c r="JQ342" s="35"/>
      <c r="JR342" s="35"/>
      <c r="JS342" s="35"/>
      <c r="JT342" s="35"/>
      <c r="JU342" s="35"/>
      <c r="JV342" s="35"/>
      <c r="JW342" s="35"/>
      <c r="JX342" s="35"/>
      <c r="JY342" s="35"/>
      <c r="JZ342" s="35"/>
      <c r="KA342" s="35"/>
      <c r="KB342" s="35"/>
      <c r="KC342" s="35"/>
      <c r="KD342" s="35"/>
      <c r="KE342" s="35"/>
      <c r="KF342" s="35"/>
      <c r="KG342" s="35"/>
      <c r="KH342" s="35"/>
      <c r="KI342" s="35"/>
      <c r="KJ342" s="35"/>
      <c r="KK342" s="35"/>
      <c r="KL342" s="35"/>
      <c r="KM342" s="35"/>
      <c r="KN342" s="35"/>
      <c r="KO342" s="35"/>
      <c r="KP342" s="35"/>
      <c r="KQ342" s="35"/>
      <c r="KR342" s="35"/>
      <c r="KS342" s="35"/>
      <c r="KT342" s="35"/>
      <c r="KU342" s="35"/>
      <c r="KV342" s="35"/>
      <c r="KW342" s="35"/>
      <c r="KX342" s="35"/>
      <c r="KY342" s="35"/>
      <c r="KZ342" s="35"/>
      <c r="LA342" s="35"/>
      <c r="LB342" s="35"/>
      <c r="LC342" s="35"/>
      <c r="LD342" s="35"/>
      <c r="LE342" s="35"/>
      <c r="LF342" s="35"/>
      <c r="LG342" s="35"/>
      <c r="LH342" s="35"/>
      <c r="LI342" s="35"/>
      <c r="LJ342" s="35"/>
      <c r="LK342" s="35"/>
      <c r="LL342" s="35"/>
      <c r="LM342" s="35"/>
      <c r="LN342" s="35"/>
      <c r="LO342" s="35"/>
      <c r="LP342" s="35"/>
      <c r="LQ342" s="35"/>
      <c r="LR342" s="35"/>
      <c r="LS342" s="35"/>
      <c r="LT342" s="35"/>
      <c r="LU342" s="35"/>
      <c r="LV342" s="35"/>
      <c r="LW342" s="35"/>
      <c r="LX342" s="35"/>
      <c r="LY342" s="35"/>
      <c r="LZ342" s="35"/>
      <c r="MA342" s="35"/>
      <c r="MB342" s="35"/>
      <c r="MC342" s="35"/>
      <c r="MD342" s="35"/>
      <c r="ME342" s="35"/>
      <c r="MF342" s="35"/>
      <c r="MG342" s="35"/>
    </row>
    <row r="343" spans="1:345" s="67" customFormat="1" ht="36" hidden="1" customHeight="1" x14ac:dyDescent="0.25">
      <c r="A343" s="117"/>
      <c r="B343" s="28" t="s">
        <v>337</v>
      </c>
      <c r="C343" s="21" t="s">
        <v>23</v>
      </c>
      <c r="D343" s="19" t="s">
        <v>4478</v>
      </c>
      <c r="E343" s="18">
        <v>44070.391793981478</v>
      </c>
      <c r="F343" s="27"/>
      <c r="G343" s="34"/>
      <c r="H343" s="25"/>
      <c r="I343" s="62" t="s">
        <v>206</v>
      </c>
      <c r="J343" s="34"/>
      <c r="K343" s="22"/>
      <c r="L343" s="23">
        <v>44071</v>
      </c>
      <c r="M343" s="23" t="s">
        <v>4443</v>
      </c>
      <c r="N343" s="33"/>
      <c r="O343" s="26"/>
      <c r="P343" s="35"/>
      <c r="Q343" s="35"/>
      <c r="R343" s="20"/>
      <c r="S343" s="35"/>
      <c r="T343" s="35"/>
      <c r="U343" s="35"/>
      <c r="V343" s="35"/>
      <c r="W343" s="35"/>
      <c r="X343" s="35"/>
      <c r="Y343" s="35"/>
      <c r="Z343" s="35"/>
      <c r="AA343" s="35"/>
      <c r="AB343" s="35"/>
      <c r="AC343" s="35"/>
      <c r="AD343" s="35"/>
      <c r="AE343" s="35"/>
      <c r="AF343" s="35"/>
      <c r="AG343" s="35"/>
      <c r="AH343" s="35"/>
      <c r="AI343" s="35"/>
      <c r="AJ343" s="35"/>
      <c r="AK343" s="35"/>
      <c r="AL343" s="35"/>
      <c r="AM343" s="35"/>
      <c r="AN343" s="35"/>
      <c r="AO343" s="35"/>
      <c r="AP343" s="35"/>
      <c r="AQ343" s="35"/>
      <c r="AR343" s="35"/>
      <c r="AS343" s="35"/>
      <c r="AT343" s="35"/>
      <c r="AU343" s="35"/>
      <c r="AV343" s="35"/>
      <c r="AW343" s="35"/>
      <c r="AX343" s="35"/>
      <c r="AY343" s="35"/>
      <c r="AZ343" s="35"/>
      <c r="BA343" s="35"/>
      <c r="BB343" s="35"/>
      <c r="BC343" s="35"/>
      <c r="BD343" s="35"/>
      <c r="BE343" s="35"/>
      <c r="BF343" s="35"/>
      <c r="BG343" s="35"/>
      <c r="BH343" s="35"/>
      <c r="BI343" s="35"/>
      <c r="BJ343" s="35"/>
      <c r="BK343" s="35"/>
      <c r="BL343" s="35"/>
      <c r="BM343" s="35"/>
      <c r="BN343" s="35"/>
      <c r="BO343" s="35"/>
      <c r="BP343" s="35"/>
      <c r="BQ343" s="35"/>
      <c r="BR343" s="35"/>
      <c r="BS343" s="35"/>
      <c r="BT343" s="35"/>
      <c r="BU343" s="35"/>
      <c r="BV343" s="35"/>
      <c r="BW343" s="35"/>
      <c r="BX343" s="35"/>
      <c r="BY343" s="35"/>
      <c r="BZ343" s="35"/>
      <c r="CA343" s="35"/>
      <c r="CB343" s="35"/>
      <c r="CC343" s="35"/>
      <c r="CD343" s="35"/>
      <c r="CE343" s="35"/>
      <c r="CF343" s="35"/>
      <c r="CG343" s="35"/>
      <c r="CH343" s="35"/>
      <c r="CI343" s="35"/>
      <c r="CJ343" s="35"/>
      <c r="CK343" s="35"/>
      <c r="CL343" s="35"/>
      <c r="CM343" s="35"/>
      <c r="CN343" s="35"/>
      <c r="CO343" s="35"/>
      <c r="CP343" s="35"/>
      <c r="CQ343" s="35"/>
      <c r="CR343" s="35"/>
      <c r="CS343" s="35"/>
      <c r="CT343" s="35"/>
      <c r="CU343" s="35"/>
      <c r="CV343" s="35"/>
      <c r="CW343" s="35"/>
      <c r="CX343" s="35"/>
      <c r="CY343" s="35"/>
      <c r="CZ343" s="35"/>
      <c r="DA343" s="35"/>
      <c r="DB343" s="35"/>
      <c r="DC343" s="35"/>
      <c r="DD343" s="35"/>
      <c r="DE343" s="35"/>
      <c r="DF343" s="35"/>
      <c r="DG343" s="35"/>
      <c r="DH343" s="35"/>
      <c r="DI343" s="35"/>
      <c r="DJ343" s="35"/>
      <c r="DK343" s="35"/>
      <c r="DL343" s="35"/>
      <c r="DM343" s="35"/>
      <c r="DN343" s="35"/>
      <c r="DO343" s="35"/>
      <c r="DP343" s="35"/>
      <c r="DQ343" s="35"/>
      <c r="DR343" s="35"/>
      <c r="DS343" s="35"/>
      <c r="DT343" s="35"/>
      <c r="DU343" s="35"/>
      <c r="DV343" s="35"/>
      <c r="DW343" s="35"/>
      <c r="DX343" s="35"/>
      <c r="DY343" s="35"/>
      <c r="DZ343" s="35"/>
      <c r="EA343" s="35"/>
      <c r="EB343" s="35"/>
      <c r="EC343" s="35"/>
      <c r="ED343" s="35"/>
      <c r="EE343" s="35"/>
      <c r="EF343" s="35"/>
      <c r="EG343" s="35"/>
      <c r="EH343" s="35"/>
      <c r="EI343" s="35"/>
      <c r="EJ343" s="35"/>
      <c r="EK343" s="35"/>
      <c r="EL343" s="35"/>
      <c r="EM343" s="35"/>
      <c r="EN343" s="35"/>
      <c r="EO343" s="35"/>
      <c r="EP343" s="35"/>
      <c r="EQ343" s="35"/>
      <c r="ER343" s="35"/>
      <c r="ES343" s="35"/>
      <c r="ET343" s="35"/>
      <c r="EU343" s="35"/>
      <c r="EV343" s="35"/>
      <c r="EW343" s="35"/>
      <c r="EX343" s="35"/>
      <c r="EY343" s="35"/>
      <c r="EZ343" s="35"/>
      <c r="FA343" s="35"/>
      <c r="FB343" s="35"/>
      <c r="FC343" s="35"/>
      <c r="FD343" s="35"/>
      <c r="FE343" s="35"/>
      <c r="FF343" s="35"/>
      <c r="FG343" s="35"/>
      <c r="FH343" s="35"/>
      <c r="FI343" s="35"/>
      <c r="FJ343" s="35"/>
      <c r="FK343" s="35"/>
      <c r="FL343" s="35"/>
      <c r="FM343" s="35"/>
      <c r="FN343" s="35"/>
      <c r="FO343" s="35"/>
      <c r="FP343" s="35"/>
      <c r="FQ343" s="35"/>
      <c r="FR343" s="35"/>
      <c r="FS343" s="35"/>
      <c r="FT343" s="35"/>
      <c r="FU343" s="35"/>
      <c r="FV343" s="35"/>
      <c r="FW343" s="35"/>
      <c r="FX343" s="35"/>
      <c r="FY343" s="35"/>
      <c r="FZ343" s="35"/>
      <c r="GA343" s="35"/>
      <c r="GB343" s="35"/>
      <c r="GC343" s="35"/>
      <c r="GD343" s="35"/>
      <c r="GE343" s="35"/>
      <c r="GF343" s="35"/>
      <c r="GG343" s="35"/>
      <c r="GH343" s="35"/>
      <c r="GI343" s="35"/>
      <c r="GJ343" s="35"/>
      <c r="GK343" s="35"/>
      <c r="GL343" s="35"/>
      <c r="GM343" s="35"/>
      <c r="GN343" s="35"/>
      <c r="GO343" s="35"/>
      <c r="GP343" s="35"/>
      <c r="GQ343" s="35"/>
      <c r="GR343" s="35"/>
      <c r="GS343" s="35"/>
      <c r="GT343" s="35"/>
      <c r="GU343" s="35"/>
      <c r="GV343" s="35"/>
      <c r="GW343" s="35"/>
      <c r="GX343" s="35"/>
      <c r="GY343" s="35"/>
      <c r="GZ343" s="35"/>
      <c r="HA343" s="35"/>
      <c r="HB343" s="35"/>
      <c r="HC343" s="35"/>
      <c r="HD343" s="35"/>
      <c r="HE343" s="35"/>
      <c r="HF343" s="35"/>
      <c r="HG343" s="35"/>
      <c r="HH343" s="35"/>
      <c r="HI343" s="35"/>
      <c r="HJ343" s="35"/>
      <c r="HK343" s="35"/>
      <c r="HL343" s="35"/>
      <c r="HM343" s="35"/>
      <c r="HN343" s="35"/>
      <c r="HO343" s="35"/>
      <c r="HP343" s="35"/>
      <c r="HQ343" s="35"/>
      <c r="HR343" s="35"/>
      <c r="HS343" s="35"/>
      <c r="HT343" s="35"/>
      <c r="HU343" s="35"/>
      <c r="HV343" s="35"/>
      <c r="HW343" s="35"/>
      <c r="HX343" s="35"/>
      <c r="HY343" s="35"/>
      <c r="HZ343" s="35"/>
      <c r="IA343" s="35"/>
      <c r="IB343" s="35"/>
      <c r="IC343" s="35"/>
      <c r="ID343" s="35"/>
      <c r="IE343" s="35"/>
      <c r="IF343" s="35"/>
      <c r="IG343" s="35"/>
      <c r="IH343" s="35"/>
      <c r="II343" s="35"/>
      <c r="IJ343" s="35"/>
      <c r="IK343" s="35"/>
      <c r="IL343" s="35"/>
      <c r="IM343" s="35"/>
      <c r="IN343" s="35"/>
      <c r="IO343" s="35"/>
      <c r="IP343" s="35"/>
      <c r="IQ343" s="35"/>
      <c r="IR343" s="35"/>
      <c r="IS343" s="35"/>
      <c r="IT343" s="35"/>
      <c r="IU343" s="35"/>
      <c r="IV343" s="35"/>
      <c r="IW343" s="35"/>
      <c r="IX343" s="35"/>
      <c r="IY343" s="35"/>
      <c r="IZ343" s="35"/>
      <c r="JA343" s="35"/>
      <c r="JB343" s="35"/>
      <c r="JC343" s="35"/>
      <c r="JD343" s="35"/>
      <c r="JE343" s="35"/>
      <c r="JF343" s="35"/>
      <c r="JG343" s="35"/>
      <c r="JH343" s="35"/>
      <c r="JI343" s="35"/>
      <c r="JJ343" s="35"/>
      <c r="JK343" s="35"/>
      <c r="JL343" s="35"/>
      <c r="JM343" s="35"/>
      <c r="JN343" s="35"/>
      <c r="JO343" s="35"/>
      <c r="JP343" s="35"/>
      <c r="JQ343" s="35"/>
      <c r="JR343" s="35"/>
      <c r="JS343" s="35"/>
      <c r="JT343" s="35"/>
      <c r="JU343" s="35"/>
      <c r="JV343" s="35"/>
      <c r="JW343" s="35"/>
      <c r="JX343" s="35"/>
      <c r="JY343" s="35"/>
      <c r="JZ343" s="35"/>
      <c r="KA343" s="35"/>
      <c r="KB343" s="35"/>
      <c r="KC343" s="35"/>
      <c r="KD343" s="35"/>
      <c r="KE343" s="35"/>
      <c r="KF343" s="35"/>
      <c r="KG343" s="35"/>
      <c r="KH343" s="35"/>
      <c r="KI343" s="35"/>
      <c r="KJ343" s="35"/>
      <c r="KK343" s="35"/>
      <c r="KL343" s="35"/>
      <c r="KM343" s="35"/>
      <c r="KN343" s="35"/>
      <c r="KO343" s="35"/>
      <c r="KP343" s="35"/>
      <c r="KQ343" s="35"/>
      <c r="KR343" s="35"/>
      <c r="KS343" s="35"/>
      <c r="KT343" s="35"/>
      <c r="KU343" s="35"/>
      <c r="KV343" s="35"/>
      <c r="KW343" s="35"/>
      <c r="KX343" s="35"/>
      <c r="KY343" s="35"/>
      <c r="KZ343" s="35"/>
      <c r="LA343" s="35"/>
      <c r="LB343" s="35"/>
      <c r="LC343" s="35"/>
      <c r="LD343" s="35"/>
      <c r="LE343" s="35"/>
      <c r="LF343" s="35"/>
      <c r="LG343" s="35"/>
      <c r="LH343" s="35"/>
      <c r="LI343" s="35"/>
      <c r="LJ343" s="35"/>
      <c r="LK343" s="35"/>
      <c r="LL343" s="35"/>
      <c r="LM343" s="35"/>
      <c r="LN343" s="35"/>
      <c r="LO343" s="35"/>
      <c r="LP343" s="35"/>
      <c r="LQ343" s="35"/>
      <c r="LR343" s="35"/>
      <c r="LS343" s="35"/>
      <c r="LT343" s="35"/>
      <c r="LU343" s="35"/>
      <c r="LV343" s="35"/>
      <c r="LW343" s="35"/>
      <c r="LX343" s="35"/>
      <c r="LY343" s="35"/>
      <c r="LZ343" s="35"/>
      <c r="MA343" s="35"/>
      <c r="MB343" s="35"/>
      <c r="MC343" s="35"/>
      <c r="MD343" s="35"/>
      <c r="ME343" s="35"/>
      <c r="MF343" s="35"/>
      <c r="MG343" s="35"/>
    </row>
    <row r="344" spans="1:345" s="67" customFormat="1" ht="36" customHeight="1" x14ac:dyDescent="0.25">
      <c r="A344" s="113"/>
      <c r="B344" s="28" t="s">
        <v>234</v>
      </c>
      <c r="C344" s="21" t="s">
        <v>4424</v>
      </c>
      <c r="D344" s="19" t="s">
        <v>4547</v>
      </c>
      <c r="E344" s="18">
        <v>44070.76153935185</v>
      </c>
      <c r="F344" s="27"/>
      <c r="G344" s="34"/>
      <c r="H344" s="25"/>
      <c r="I344" s="62" t="s">
        <v>206</v>
      </c>
      <c r="J344" s="34"/>
      <c r="K344" s="22"/>
      <c r="L344" s="23"/>
      <c r="M344" s="23"/>
      <c r="N344" s="33"/>
      <c r="O344" s="121" t="s">
        <v>4492</v>
      </c>
      <c r="P344" s="35"/>
      <c r="Q344" s="35"/>
      <c r="R344" s="20"/>
      <c r="S344" s="35"/>
      <c r="T344" s="35"/>
      <c r="U344" s="35"/>
      <c r="V344" s="35"/>
      <c r="W344" s="35"/>
      <c r="X344" s="35"/>
      <c r="Y344" s="35"/>
      <c r="Z344" s="35"/>
      <c r="AA344" s="35"/>
      <c r="AB344" s="35"/>
      <c r="AC344" s="35"/>
      <c r="AD344" s="35"/>
      <c r="AE344" s="35"/>
      <c r="AF344" s="35"/>
      <c r="AG344" s="35"/>
      <c r="AH344" s="35"/>
      <c r="AI344" s="35"/>
      <c r="AJ344" s="35"/>
      <c r="AK344" s="35"/>
      <c r="AL344" s="35"/>
      <c r="AM344" s="35"/>
      <c r="AN344" s="35"/>
      <c r="AO344" s="35"/>
      <c r="AP344" s="35"/>
      <c r="AQ344" s="35"/>
      <c r="AR344" s="35"/>
      <c r="AS344" s="35"/>
      <c r="AT344" s="35"/>
      <c r="AU344" s="35"/>
      <c r="AV344" s="35"/>
      <c r="AW344" s="35"/>
      <c r="AX344" s="35"/>
      <c r="AY344" s="35"/>
      <c r="AZ344" s="35"/>
      <c r="BA344" s="35"/>
      <c r="BB344" s="35"/>
      <c r="BC344" s="35"/>
      <c r="BD344" s="35"/>
      <c r="BE344" s="35"/>
      <c r="BF344" s="35"/>
      <c r="BG344" s="35"/>
      <c r="BH344" s="35"/>
      <c r="BI344" s="35"/>
      <c r="BJ344" s="35"/>
      <c r="BK344" s="35"/>
      <c r="BL344" s="35"/>
      <c r="BM344" s="35"/>
      <c r="BN344" s="35"/>
      <c r="BO344" s="35"/>
      <c r="BP344" s="35"/>
      <c r="BQ344" s="35"/>
      <c r="BR344" s="35"/>
      <c r="BS344" s="35"/>
      <c r="BT344" s="35"/>
      <c r="BU344" s="35"/>
      <c r="BV344" s="35"/>
      <c r="BW344" s="35"/>
      <c r="BX344" s="35"/>
      <c r="BY344" s="35"/>
      <c r="BZ344" s="35"/>
      <c r="CA344" s="35"/>
      <c r="CB344" s="35"/>
      <c r="CC344" s="35"/>
      <c r="CD344" s="35"/>
      <c r="CE344" s="35"/>
      <c r="CF344" s="35"/>
      <c r="CG344" s="35"/>
      <c r="CH344" s="35"/>
      <c r="CI344" s="35"/>
      <c r="CJ344" s="35"/>
      <c r="CK344" s="35"/>
      <c r="CL344" s="35"/>
      <c r="CM344" s="35"/>
      <c r="CN344" s="35"/>
      <c r="CO344" s="35"/>
      <c r="CP344" s="35"/>
      <c r="CQ344" s="35"/>
      <c r="CR344" s="35"/>
      <c r="CS344" s="35"/>
      <c r="CT344" s="35"/>
      <c r="CU344" s="35"/>
      <c r="CV344" s="35"/>
      <c r="CW344" s="35"/>
      <c r="CX344" s="35"/>
      <c r="CY344" s="35"/>
      <c r="CZ344" s="35"/>
      <c r="DA344" s="35"/>
      <c r="DB344" s="35"/>
      <c r="DC344" s="35"/>
      <c r="DD344" s="35"/>
      <c r="DE344" s="35"/>
      <c r="DF344" s="35"/>
      <c r="DG344" s="35"/>
      <c r="DH344" s="35"/>
      <c r="DI344" s="35"/>
      <c r="DJ344" s="35"/>
      <c r="DK344" s="35"/>
      <c r="DL344" s="35"/>
      <c r="DM344" s="35"/>
      <c r="DN344" s="35"/>
      <c r="DO344" s="35"/>
      <c r="DP344" s="35"/>
      <c r="DQ344" s="35"/>
      <c r="DR344" s="35"/>
      <c r="DS344" s="35"/>
      <c r="DT344" s="35"/>
      <c r="DU344" s="35"/>
      <c r="DV344" s="35"/>
      <c r="DW344" s="35"/>
      <c r="DX344" s="35"/>
      <c r="DY344" s="35"/>
      <c r="DZ344" s="35"/>
      <c r="EA344" s="35"/>
      <c r="EB344" s="35"/>
      <c r="EC344" s="35"/>
      <c r="ED344" s="35"/>
      <c r="EE344" s="35"/>
      <c r="EF344" s="35"/>
      <c r="EG344" s="35"/>
      <c r="EH344" s="35"/>
      <c r="EI344" s="35"/>
      <c r="EJ344" s="35"/>
      <c r="EK344" s="35"/>
      <c r="EL344" s="35"/>
      <c r="EM344" s="35"/>
      <c r="EN344" s="35"/>
      <c r="EO344" s="35"/>
      <c r="EP344" s="35"/>
      <c r="EQ344" s="35"/>
      <c r="ER344" s="35"/>
      <c r="ES344" s="35"/>
      <c r="ET344" s="35"/>
      <c r="EU344" s="35"/>
      <c r="EV344" s="35"/>
      <c r="EW344" s="35"/>
      <c r="EX344" s="35"/>
      <c r="EY344" s="35"/>
      <c r="EZ344" s="35"/>
      <c r="FA344" s="35"/>
      <c r="FB344" s="35"/>
      <c r="FC344" s="35"/>
      <c r="FD344" s="35"/>
      <c r="FE344" s="35"/>
      <c r="FF344" s="35"/>
      <c r="FG344" s="35"/>
      <c r="FH344" s="35"/>
      <c r="FI344" s="35"/>
      <c r="FJ344" s="35"/>
      <c r="FK344" s="35"/>
      <c r="FL344" s="35"/>
      <c r="FM344" s="35"/>
      <c r="FN344" s="35"/>
      <c r="FO344" s="35"/>
      <c r="FP344" s="35"/>
      <c r="FQ344" s="35"/>
      <c r="FR344" s="35"/>
      <c r="FS344" s="35"/>
      <c r="FT344" s="35"/>
      <c r="FU344" s="35"/>
      <c r="FV344" s="35"/>
      <c r="FW344" s="35"/>
      <c r="FX344" s="35"/>
      <c r="FY344" s="35"/>
      <c r="FZ344" s="35"/>
      <c r="GA344" s="35"/>
      <c r="GB344" s="35"/>
      <c r="GC344" s="35"/>
      <c r="GD344" s="35"/>
      <c r="GE344" s="35"/>
      <c r="GF344" s="35"/>
      <c r="GG344" s="35"/>
      <c r="GH344" s="35"/>
      <c r="GI344" s="35"/>
      <c r="GJ344" s="35"/>
      <c r="GK344" s="35"/>
      <c r="GL344" s="35"/>
      <c r="GM344" s="35"/>
      <c r="GN344" s="35"/>
      <c r="GO344" s="35"/>
      <c r="GP344" s="35"/>
      <c r="GQ344" s="35"/>
      <c r="GR344" s="35"/>
      <c r="GS344" s="35"/>
      <c r="GT344" s="35"/>
      <c r="GU344" s="35"/>
      <c r="GV344" s="35"/>
      <c r="GW344" s="35"/>
      <c r="GX344" s="35"/>
      <c r="GY344" s="35"/>
      <c r="GZ344" s="35"/>
      <c r="HA344" s="35"/>
      <c r="HB344" s="35"/>
      <c r="HC344" s="35"/>
      <c r="HD344" s="35"/>
      <c r="HE344" s="35"/>
      <c r="HF344" s="35"/>
      <c r="HG344" s="35"/>
      <c r="HH344" s="35"/>
      <c r="HI344" s="35"/>
      <c r="HJ344" s="35"/>
      <c r="HK344" s="35"/>
      <c r="HL344" s="35"/>
      <c r="HM344" s="35"/>
      <c r="HN344" s="35"/>
      <c r="HO344" s="35"/>
      <c r="HP344" s="35"/>
      <c r="HQ344" s="35"/>
      <c r="HR344" s="35"/>
      <c r="HS344" s="35"/>
      <c r="HT344" s="35"/>
      <c r="HU344" s="35"/>
      <c r="HV344" s="35"/>
      <c r="HW344" s="35"/>
      <c r="HX344" s="35"/>
      <c r="HY344" s="35"/>
      <c r="HZ344" s="35"/>
      <c r="IA344" s="35"/>
      <c r="IB344" s="35"/>
      <c r="IC344" s="35"/>
      <c r="ID344" s="35"/>
      <c r="IE344" s="35"/>
      <c r="IF344" s="35"/>
      <c r="IG344" s="35"/>
      <c r="IH344" s="35"/>
      <c r="II344" s="35"/>
      <c r="IJ344" s="35"/>
      <c r="IK344" s="35"/>
      <c r="IL344" s="35"/>
      <c r="IM344" s="35"/>
      <c r="IN344" s="35"/>
      <c r="IO344" s="35"/>
      <c r="IP344" s="35"/>
      <c r="IQ344" s="35"/>
      <c r="IR344" s="35"/>
      <c r="IS344" s="35"/>
      <c r="IT344" s="35"/>
      <c r="IU344" s="35"/>
      <c r="IV344" s="35"/>
      <c r="IW344" s="35"/>
      <c r="IX344" s="35"/>
      <c r="IY344" s="35"/>
      <c r="IZ344" s="35"/>
      <c r="JA344" s="35"/>
      <c r="JB344" s="35"/>
      <c r="JC344" s="35"/>
      <c r="JD344" s="35"/>
      <c r="JE344" s="35"/>
      <c r="JF344" s="35"/>
      <c r="JG344" s="35"/>
      <c r="JH344" s="35"/>
      <c r="JI344" s="35"/>
      <c r="JJ344" s="35"/>
      <c r="JK344" s="35"/>
      <c r="JL344" s="35"/>
      <c r="JM344" s="35"/>
      <c r="JN344" s="35"/>
      <c r="JO344" s="35"/>
      <c r="JP344" s="35"/>
      <c r="JQ344" s="35"/>
      <c r="JR344" s="35"/>
      <c r="JS344" s="35"/>
      <c r="JT344" s="35"/>
      <c r="JU344" s="35"/>
      <c r="JV344" s="35"/>
      <c r="JW344" s="35"/>
      <c r="JX344" s="35"/>
      <c r="JY344" s="35"/>
      <c r="JZ344" s="35"/>
      <c r="KA344" s="35"/>
      <c r="KB344" s="35"/>
      <c r="KC344" s="35"/>
      <c r="KD344" s="35"/>
      <c r="KE344" s="35"/>
      <c r="KF344" s="35"/>
      <c r="KG344" s="35"/>
      <c r="KH344" s="35"/>
      <c r="KI344" s="35"/>
      <c r="KJ344" s="35"/>
      <c r="KK344" s="35"/>
      <c r="KL344" s="35"/>
      <c r="KM344" s="35"/>
      <c r="KN344" s="35"/>
      <c r="KO344" s="35"/>
      <c r="KP344" s="35"/>
      <c r="KQ344" s="35"/>
      <c r="KR344" s="35"/>
      <c r="KS344" s="35"/>
      <c r="KT344" s="35"/>
      <c r="KU344" s="35"/>
      <c r="KV344" s="35"/>
      <c r="KW344" s="35"/>
      <c r="KX344" s="35"/>
      <c r="KY344" s="35"/>
      <c r="KZ344" s="35"/>
      <c r="LA344" s="35"/>
      <c r="LB344" s="35"/>
      <c r="LC344" s="35"/>
      <c r="LD344" s="35"/>
      <c r="LE344" s="35"/>
      <c r="LF344" s="35"/>
      <c r="LG344" s="35"/>
      <c r="LH344" s="35"/>
      <c r="LI344" s="35"/>
      <c r="LJ344" s="35"/>
      <c r="LK344" s="35"/>
      <c r="LL344" s="35"/>
      <c r="LM344" s="35"/>
      <c r="LN344" s="35"/>
      <c r="LO344" s="35"/>
      <c r="LP344" s="35"/>
      <c r="LQ344" s="35"/>
      <c r="LR344" s="35"/>
      <c r="LS344" s="35"/>
      <c r="LT344" s="35"/>
      <c r="LU344" s="35"/>
      <c r="LV344" s="35"/>
      <c r="LW344" s="35"/>
      <c r="LX344" s="35"/>
      <c r="LY344" s="35"/>
      <c r="LZ344" s="35"/>
      <c r="MA344" s="35"/>
      <c r="MB344" s="35"/>
      <c r="MC344" s="35"/>
      <c r="MD344" s="35"/>
      <c r="ME344" s="35"/>
      <c r="MF344" s="35"/>
      <c r="MG344" s="35"/>
    </row>
    <row r="345" spans="1:345" s="67" customFormat="1" ht="36" hidden="1" customHeight="1" x14ac:dyDescent="0.25">
      <c r="A345" s="113"/>
      <c r="B345" s="28" t="s">
        <v>241</v>
      </c>
      <c r="C345" s="21" t="s">
        <v>35</v>
      </c>
      <c r="D345" s="19" t="s">
        <v>4486</v>
      </c>
      <c r="E345" s="18">
        <v>44070.82571759259</v>
      </c>
      <c r="F345" s="27"/>
      <c r="G345" s="34"/>
      <c r="H345" s="25"/>
      <c r="I345" s="112" t="s">
        <v>278</v>
      </c>
      <c r="J345" s="34"/>
      <c r="K345" s="22"/>
      <c r="L345" s="23">
        <v>44071</v>
      </c>
      <c r="M345" s="23"/>
      <c r="N345" s="33" t="s">
        <v>153</v>
      </c>
      <c r="O345" s="26" t="s">
        <v>4487</v>
      </c>
      <c r="P345" s="35"/>
      <c r="Q345" s="35"/>
      <c r="R345" s="20"/>
      <c r="S345" s="35"/>
      <c r="T345" s="35"/>
      <c r="U345" s="35"/>
      <c r="V345" s="35"/>
      <c r="W345" s="35"/>
      <c r="X345" s="35"/>
      <c r="Y345" s="35"/>
      <c r="Z345" s="35"/>
      <c r="AA345" s="35"/>
      <c r="AB345" s="35"/>
      <c r="AC345" s="35"/>
      <c r="AD345" s="35"/>
      <c r="AE345" s="35"/>
      <c r="AF345" s="35"/>
      <c r="AG345" s="35"/>
      <c r="AH345" s="35"/>
      <c r="AI345" s="35"/>
      <c r="AJ345" s="35"/>
      <c r="AK345" s="35"/>
      <c r="AL345" s="35"/>
      <c r="AM345" s="35"/>
      <c r="AN345" s="35"/>
      <c r="AO345" s="35"/>
      <c r="AP345" s="35"/>
      <c r="AQ345" s="35"/>
      <c r="AR345" s="35"/>
      <c r="AS345" s="35"/>
      <c r="AT345" s="35"/>
      <c r="AU345" s="35"/>
      <c r="AV345" s="35"/>
      <c r="AW345" s="35"/>
      <c r="AX345" s="35"/>
      <c r="AY345" s="35"/>
      <c r="AZ345" s="35"/>
      <c r="BA345" s="35"/>
      <c r="BB345" s="35"/>
      <c r="BC345" s="35"/>
      <c r="BD345" s="35"/>
      <c r="BE345" s="35"/>
      <c r="BF345" s="35"/>
      <c r="BG345" s="35"/>
      <c r="BH345" s="35"/>
      <c r="BI345" s="35"/>
      <c r="BJ345" s="35"/>
      <c r="BK345" s="35"/>
      <c r="BL345" s="35"/>
      <c r="BM345" s="35"/>
      <c r="BN345" s="35"/>
      <c r="BO345" s="35"/>
      <c r="BP345" s="35"/>
      <c r="BQ345" s="35"/>
      <c r="BR345" s="35"/>
      <c r="BS345" s="35"/>
      <c r="BT345" s="35"/>
      <c r="BU345" s="35"/>
      <c r="BV345" s="35"/>
      <c r="BW345" s="35"/>
      <c r="BX345" s="35"/>
      <c r="BY345" s="35"/>
      <c r="BZ345" s="35"/>
      <c r="CA345" s="35"/>
      <c r="CB345" s="35"/>
      <c r="CC345" s="35"/>
      <c r="CD345" s="35"/>
      <c r="CE345" s="35"/>
      <c r="CF345" s="35"/>
      <c r="CG345" s="35"/>
      <c r="CH345" s="35"/>
      <c r="CI345" s="35"/>
      <c r="CJ345" s="35"/>
      <c r="CK345" s="35"/>
      <c r="CL345" s="35"/>
      <c r="CM345" s="35"/>
      <c r="CN345" s="35"/>
      <c r="CO345" s="35"/>
      <c r="CP345" s="35"/>
      <c r="CQ345" s="35"/>
      <c r="CR345" s="35"/>
      <c r="CS345" s="35"/>
      <c r="CT345" s="35"/>
      <c r="CU345" s="35"/>
      <c r="CV345" s="35"/>
      <c r="CW345" s="35"/>
      <c r="CX345" s="35"/>
      <c r="CY345" s="35"/>
      <c r="CZ345" s="35"/>
      <c r="DA345" s="35"/>
      <c r="DB345" s="35"/>
      <c r="DC345" s="35"/>
      <c r="DD345" s="35"/>
      <c r="DE345" s="35"/>
      <c r="DF345" s="35"/>
      <c r="DG345" s="35"/>
      <c r="DH345" s="35"/>
      <c r="DI345" s="35"/>
      <c r="DJ345" s="35"/>
      <c r="DK345" s="35"/>
      <c r="DL345" s="35"/>
      <c r="DM345" s="35"/>
      <c r="DN345" s="35"/>
      <c r="DO345" s="35"/>
      <c r="DP345" s="35"/>
      <c r="DQ345" s="35"/>
      <c r="DR345" s="35"/>
      <c r="DS345" s="35"/>
      <c r="DT345" s="35"/>
      <c r="DU345" s="35"/>
      <c r="DV345" s="35"/>
      <c r="DW345" s="35"/>
      <c r="DX345" s="35"/>
      <c r="DY345" s="35"/>
      <c r="DZ345" s="35"/>
      <c r="EA345" s="35"/>
      <c r="EB345" s="35"/>
      <c r="EC345" s="35"/>
      <c r="ED345" s="35"/>
      <c r="EE345" s="35"/>
      <c r="EF345" s="35"/>
      <c r="EG345" s="35"/>
      <c r="EH345" s="35"/>
      <c r="EI345" s="35"/>
      <c r="EJ345" s="35"/>
      <c r="EK345" s="35"/>
      <c r="EL345" s="35"/>
      <c r="EM345" s="35"/>
      <c r="EN345" s="35"/>
      <c r="EO345" s="35"/>
      <c r="EP345" s="35"/>
      <c r="EQ345" s="35"/>
      <c r="ER345" s="35"/>
      <c r="ES345" s="35"/>
      <c r="ET345" s="35"/>
      <c r="EU345" s="35"/>
      <c r="EV345" s="35"/>
      <c r="EW345" s="35"/>
      <c r="EX345" s="35"/>
      <c r="EY345" s="35"/>
      <c r="EZ345" s="35"/>
      <c r="FA345" s="35"/>
      <c r="FB345" s="35"/>
      <c r="FC345" s="35"/>
      <c r="FD345" s="35"/>
      <c r="FE345" s="35"/>
      <c r="FF345" s="35"/>
      <c r="FG345" s="35"/>
      <c r="FH345" s="35"/>
      <c r="FI345" s="35"/>
      <c r="FJ345" s="35"/>
      <c r="FK345" s="35"/>
      <c r="FL345" s="35"/>
      <c r="FM345" s="35"/>
      <c r="FN345" s="35"/>
      <c r="FO345" s="35"/>
      <c r="FP345" s="35"/>
      <c r="FQ345" s="35"/>
      <c r="FR345" s="35"/>
      <c r="FS345" s="35"/>
      <c r="FT345" s="35"/>
      <c r="FU345" s="35"/>
      <c r="FV345" s="35"/>
      <c r="FW345" s="35"/>
      <c r="FX345" s="35"/>
      <c r="FY345" s="35"/>
      <c r="FZ345" s="35"/>
      <c r="GA345" s="35"/>
      <c r="GB345" s="35"/>
      <c r="GC345" s="35"/>
      <c r="GD345" s="35"/>
      <c r="GE345" s="35"/>
      <c r="GF345" s="35"/>
      <c r="GG345" s="35"/>
      <c r="GH345" s="35"/>
      <c r="GI345" s="35"/>
      <c r="GJ345" s="35"/>
      <c r="GK345" s="35"/>
      <c r="GL345" s="35"/>
      <c r="GM345" s="35"/>
      <c r="GN345" s="35"/>
      <c r="GO345" s="35"/>
      <c r="GP345" s="35"/>
      <c r="GQ345" s="35"/>
      <c r="GR345" s="35"/>
      <c r="GS345" s="35"/>
      <c r="GT345" s="35"/>
      <c r="GU345" s="35"/>
      <c r="GV345" s="35"/>
      <c r="GW345" s="35"/>
      <c r="GX345" s="35"/>
      <c r="GY345" s="35"/>
      <c r="GZ345" s="35"/>
      <c r="HA345" s="35"/>
      <c r="HB345" s="35"/>
      <c r="HC345" s="35"/>
      <c r="HD345" s="35"/>
      <c r="HE345" s="35"/>
      <c r="HF345" s="35"/>
      <c r="HG345" s="35"/>
      <c r="HH345" s="35"/>
      <c r="HI345" s="35"/>
      <c r="HJ345" s="35"/>
      <c r="HK345" s="35"/>
      <c r="HL345" s="35"/>
      <c r="HM345" s="35"/>
      <c r="HN345" s="35"/>
      <c r="HO345" s="35"/>
      <c r="HP345" s="35"/>
      <c r="HQ345" s="35"/>
      <c r="HR345" s="35"/>
      <c r="HS345" s="35"/>
      <c r="HT345" s="35"/>
      <c r="HU345" s="35"/>
      <c r="HV345" s="35"/>
      <c r="HW345" s="35"/>
      <c r="HX345" s="35"/>
      <c r="HY345" s="35"/>
      <c r="HZ345" s="35"/>
      <c r="IA345" s="35"/>
      <c r="IB345" s="35"/>
      <c r="IC345" s="35"/>
      <c r="ID345" s="35"/>
      <c r="IE345" s="35"/>
      <c r="IF345" s="35"/>
      <c r="IG345" s="35"/>
      <c r="IH345" s="35"/>
      <c r="II345" s="35"/>
      <c r="IJ345" s="35"/>
      <c r="IK345" s="35"/>
      <c r="IL345" s="35"/>
      <c r="IM345" s="35"/>
      <c r="IN345" s="35"/>
      <c r="IO345" s="35"/>
      <c r="IP345" s="35"/>
      <c r="IQ345" s="35"/>
      <c r="IR345" s="35"/>
      <c r="IS345" s="35"/>
      <c r="IT345" s="35"/>
      <c r="IU345" s="35"/>
      <c r="IV345" s="35"/>
      <c r="IW345" s="35"/>
      <c r="IX345" s="35"/>
      <c r="IY345" s="35"/>
      <c r="IZ345" s="35"/>
      <c r="JA345" s="35"/>
      <c r="JB345" s="35"/>
      <c r="JC345" s="35"/>
      <c r="JD345" s="35"/>
      <c r="JE345" s="35"/>
      <c r="JF345" s="35"/>
      <c r="JG345" s="35"/>
      <c r="JH345" s="35"/>
      <c r="JI345" s="35"/>
      <c r="JJ345" s="35"/>
      <c r="JK345" s="35"/>
      <c r="JL345" s="35"/>
      <c r="JM345" s="35"/>
      <c r="JN345" s="35"/>
      <c r="JO345" s="35"/>
      <c r="JP345" s="35"/>
      <c r="JQ345" s="35"/>
      <c r="JR345" s="35"/>
      <c r="JS345" s="35"/>
      <c r="JT345" s="35"/>
      <c r="JU345" s="35"/>
      <c r="JV345" s="35"/>
      <c r="JW345" s="35"/>
      <c r="JX345" s="35"/>
      <c r="JY345" s="35"/>
      <c r="JZ345" s="35"/>
      <c r="KA345" s="35"/>
      <c r="KB345" s="35"/>
      <c r="KC345" s="35"/>
      <c r="KD345" s="35"/>
      <c r="KE345" s="35"/>
      <c r="KF345" s="35"/>
      <c r="KG345" s="35"/>
      <c r="KH345" s="35"/>
      <c r="KI345" s="35"/>
      <c r="KJ345" s="35"/>
      <c r="KK345" s="35"/>
      <c r="KL345" s="35"/>
      <c r="KM345" s="35"/>
      <c r="KN345" s="35"/>
      <c r="KO345" s="35"/>
      <c r="KP345" s="35"/>
      <c r="KQ345" s="35"/>
      <c r="KR345" s="35"/>
      <c r="KS345" s="35"/>
      <c r="KT345" s="35"/>
      <c r="KU345" s="35"/>
      <c r="KV345" s="35"/>
      <c r="KW345" s="35"/>
      <c r="KX345" s="35"/>
      <c r="KY345" s="35"/>
      <c r="KZ345" s="35"/>
      <c r="LA345" s="35"/>
      <c r="LB345" s="35"/>
      <c r="LC345" s="35"/>
      <c r="LD345" s="35"/>
      <c r="LE345" s="35"/>
      <c r="LF345" s="35"/>
      <c r="LG345" s="35"/>
      <c r="LH345" s="35"/>
      <c r="LI345" s="35"/>
      <c r="LJ345" s="35"/>
      <c r="LK345" s="35"/>
      <c r="LL345" s="35"/>
      <c r="LM345" s="35"/>
      <c r="LN345" s="35"/>
      <c r="LO345" s="35"/>
      <c r="LP345" s="35"/>
      <c r="LQ345" s="35"/>
      <c r="LR345" s="35"/>
      <c r="LS345" s="35"/>
      <c r="LT345" s="35"/>
      <c r="LU345" s="35"/>
      <c r="LV345" s="35"/>
      <c r="LW345" s="35"/>
      <c r="LX345" s="35"/>
      <c r="LY345" s="35"/>
      <c r="LZ345" s="35"/>
      <c r="MA345" s="35"/>
      <c r="MB345" s="35"/>
      <c r="MC345" s="35"/>
      <c r="MD345" s="35"/>
      <c r="ME345" s="35"/>
      <c r="MF345" s="35"/>
      <c r="MG345" s="35"/>
    </row>
    <row r="346" spans="1:345" s="67" customFormat="1" ht="36" hidden="1" customHeight="1" x14ac:dyDescent="0.25">
      <c r="A346" s="110"/>
      <c r="B346" s="28" t="s">
        <v>275</v>
      </c>
      <c r="C346" s="21" t="s">
        <v>38</v>
      </c>
      <c r="D346" s="19" t="s">
        <v>4485</v>
      </c>
      <c r="E346" s="18">
        <v>44070.894525462965</v>
      </c>
      <c r="F346" s="27"/>
      <c r="G346" s="34"/>
      <c r="H346" s="25"/>
      <c r="I346" s="62" t="s">
        <v>206</v>
      </c>
      <c r="J346" s="34"/>
      <c r="K346" s="22"/>
      <c r="L346" s="23">
        <v>44071</v>
      </c>
      <c r="M346" s="23"/>
      <c r="N346" s="33" t="s">
        <v>4491</v>
      </c>
      <c r="O346" s="33" t="s">
        <v>4496</v>
      </c>
      <c r="P346" s="35"/>
      <c r="Q346" s="35"/>
      <c r="R346" s="20"/>
      <c r="S346" s="35"/>
      <c r="T346" s="35"/>
      <c r="U346" s="35"/>
      <c r="V346" s="35"/>
      <c r="W346" s="35"/>
      <c r="X346" s="35"/>
      <c r="Y346" s="35"/>
      <c r="Z346" s="35"/>
      <c r="AA346" s="35"/>
      <c r="AB346" s="35"/>
      <c r="AC346" s="35"/>
      <c r="AD346" s="35"/>
      <c r="AE346" s="35"/>
      <c r="AF346" s="35"/>
      <c r="AG346" s="35"/>
      <c r="AH346" s="35"/>
      <c r="AI346" s="35"/>
      <c r="AJ346" s="35"/>
      <c r="AK346" s="35"/>
      <c r="AL346" s="35"/>
      <c r="AM346" s="35"/>
      <c r="AN346" s="35"/>
      <c r="AO346" s="35"/>
      <c r="AP346" s="35"/>
      <c r="AQ346" s="35"/>
      <c r="AR346" s="35"/>
      <c r="AS346" s="35"/>
      <c r="AT346" s="35"/>
      <c r="AU346" s="35"/>
      <c r="AV346" s="35"/>
      <c r="AW346" s="35"/>
      <c r="AX346" s="35"/>
      <c r="AY346" s="35"/>
      <c r="AZ346" s="35"/>
      <c r="BA346" s="35"/>
      <c r="BB346" s="35"/>
      <c r="BC346" s="35"/>
      <c r="BD346" s="35"/>
      <c r="BE346" s="35"/>
      <c r="BF346" s="35"/>
      <c r="BG346" s="35"/>
      <c r="BH346" s="35"/>
      <c r="BI346" s="35"/>
      <c r="BJ346" s="35"/>
      <c r="BK346" s="35"/>
      <c r="BL346" s="35"/>
      <c r="BM346" s="35"/>
      <c r="BN346" s="35"/>
      <c r="BO346" s="35"/>
      <c r="BP346" s="35"/>
      <c r="BQ346" s="35"/>
      <c r="BR346" s="35"/>
      <c r="BS346" s="35"/>
      <c r="BT346" s="35"/>
      <c r="BU346" s="35"/>
      <c r="BV346" s="35"/>
      <c r="BW346" s="35"/>
      <c r="BX346" s="35"/>
      <c r="BY346" s="35"/>
      <c r="BZ346" s="35"/>
      <c r="CA346" s="35"/>
      <c r="CB346" s="35"/>
      <c r="CC346" s="35"/>
      <c r="CD346" s="35"/>
      <c r="CE346" s="35"/>
      <c r="CF346" s="35"/>
      <c r="CG346" s="35"/>
      <c r="CH346" s="35"/>
      <c r="CI346" s="35"/>
      <c r="CJ346" s="35"/>
      <c r="CK346" s="35"/>
      <c r="CL346" s="35"/>
      <c r="CM346" s="35"/>
      <c r="CN346" s="35"/>
      <c r="CO346" s="35"/>
      <c r="CP346" s="35"/>
      <c r="CQ346" s="35"/>
      <c r="CR346" s="35"/>
      <c r="CS346" s="35"/>
      <c r="CT346" s="35"/>
      <c r="CU346" s="35"/>
      <c r="CV346" s="35"/>
      <c r="CW346" s="35"/>
      <c r="CX346" s="35"/>
      <c r="CY346" s="35"/>
      <c r="CZ346" s="35"/>
      <c r="DA346" s="35"/>
      <c r="DB346" s="35"/>
      <c r="DC346" s="35"/>
      <c r="DD346" s="35"/>
      <c r="DE346" s="35"/>
      <c r="DF346" s="35"/>
      <c r="DG346" s="35"/>
      <c r="DH346" s="35"/>
      <c r="DI346" s="35"/>
      <c r="DJ346" s="35"/>
      <c r="DK346" s="35"/>
      <c r="DL346" s="35"/>
      <c r="DM346" s="35"/>
      <c r="DN346" s="35"/>
      <c r="DO346" s="35"/>
      <c r="DP346" s="35"/>
      <c r="DQ346" s="35"/>
      <c r="DR346" s="35"/>
      <c r="DS346" s="35"/>
      <c r="DT346" s="35"/>
      <c r="DU346" s="35"/>
      <c r="DV346" s="35"/>
      <c r="DW346" s="35"/>
      <c r="DX346" s="35"/>
      <c r="DY346" s="35"/>
      <c r="DZ346" s="35"/>
      <c r="EA346" s="35"/>
      <c r="EB346" s="35"/>
      <c r="EC346" s="35"/>
      <c r="ED346" s="35"/>
      <c r="EE346" s="35"/>
      <c r="EF346" s="35"/>
      <c r="EG346" s="35"/>
      <c r="EH346" s="35"/>
      <c r="EI346" s="35"/>
      <c r="EJ346" s="35"/>
      <c r="EK346" s="35"/>
      <c r="EL346" s="35"/>
      <c r="EM346" s="35"/>
      <c r="EN346" s="35"/>
      <c r="EO346" s="35"/>
      <c r="EP346" s="35"/>
      <c r="EQ346" s="35"/>
      <c r="ER346" s="35"/>
      <c r="ES346" s="35"/>
      <c r="ET346" s="35"/>
      <c r="EU346" s="35"/>
      <c r="EV346" s="35"/>
      <c r="EW346" s="35"/>
      <c r="EX346" s="35"/>
      <c r="EY346" s="35"/>
      <c r="EZ346" s="35"/>
      <c r="FA346" s="35"/>
      <c r="FB346" s="35"/>
      <c r="FC346" s="35"/>
      <c r="FD346" s="35"/>
      <c r="FE346" s="35"/>
      <c r="FF346" s="35"/>
      <c r="FG346" s="35"/>
      <c r="FH346" s="35"/>
      <c r="FI346" s="35"/>
      <c r="FJ346" s="35"/>
      <c r="FK346" s="35"/>
      <c r="FL346" s="35"/>
      <c r="FM346" s="35"/>
      <c r="FN346" s="35"/>
      <c r="FO346" s="35"/>
      <c r="FP346" s="35"/>
      <c r="FQ346" s="35"/>
      <c r="FR346" s="35"/>
      <c r="FS346" s="35"/>
      <c r="FT346" s="35"/>
      <c r="FU346" s="35"/>
      <c r="FV346" s="35"/>
      <c r="FW346" s="35"/>
      <c r="FX346" s="35"/>
      <c r="FY346" s="35"/>
      <c r="FZ346" s="35"/>
      <c r="GA346" s="35"/>
      <c r="GB346" s="35"/>
      <c r="GC346" s="35"/>
      <c r="GD346" s="35"/>
      <c r="GE346" s="35"/>
      <c r="GF346" s="35"/>
      <c r="GG346" s="35"/>
      <c r="GH346" s="35"/>
      <c r="GI346" s="35"/>
      <c r="GJ346" s="35"/>
      <c r="GK346" s="35"/>
      <c r="GL346" s="35"/>
      <c r="GM346" s="35"/>
      <c r="GN346" s="35"/>
      <c r="GO346" s="35"/>
      <c r="GP346" s="35"/>
      <c r="GQ346" s="35"/>
      <c r="GR346" s="35"/>
      <c r="GS346" s="35"/>
      <c r="GT346" s="35"/>
      <c r="GU346" s="35"/>
      <c r="GV346" s="35"/>
      <c r="GW346" s="35"/>
      <c r="GX346" s="35"/>
      <c r="GY346" s="35"/>
      <c r="GZ346" s="35"/>
      <c r="HA346" s="35"/>
      <c r="HB346" s="35"/>
      <c r="HC346" s="35"/>
      <c r="HD346" s="35"/>
      <c r="HE346" s="35"/>
      <c r="HF346" s="35"/>
      <c r="HG346" s="35"/>
      <c r="HH346" s="35"/>
      <c r="HI346" s="35"/>
      <c r="HJ346" s="35"/>
      <c r="HK346" s="35"/>
      <c r="HL346" s="35"/>
      <c r="HM346" s="35"/>
      <c r="HN346" s="35"/>
      <c r="HO346" s="35"/>
      <c r="HP346" s="35"/>
      <c r="HQ346" s="35"/>
      <c r="HR346" s="35"/>
      <c r="HS346" s="35"/>
      <c r="HT346" s="35"/>
      <c r="HU346" s="35"/>
      <c r="HV346" s="35"/>
      <c r="HW346" s="35"/>
      <c r="HX346" s="35"/>
      <c r="HY346" s="35"/>
      <c r="HZ346" s="35"/>
      <c r="IA346" s="35"/>
      <c r="IB346" s="35"/>
      <c r="IC346" s="35"/>
      <c r="ID346" s="35"/>
      <c r="IE346" s="35"/>
      <c r="IF346" s="35"/>
      <c r="IG346" s="35"/>
      <c r="IH346" s="35"/>
      <c r="II346" s="35"/>
      <c r="IJ346" s="35"/>
      <c r="IK346" s="35"/>
      <c r="IL346" s="35"/>
      <c r="IM346" s="35"/>
      <c r="IN346" s="35"/>
      <c r="IO346" s="35"/>
      <c r="IP346" s="35"/>
      <c r="IQ346" s="35"/>
      <c r="IR346" s="35"/>
      <c r="IS346" s="35"/>
      <c r="IT346" s="35"/>
      <c r="IU346" s="35"/>
      <c r="IV346" s="35"/>
      <c r="IW346" s="35"/>
      <c r="IX346" s="35"/>
      <c r="IY346" s="35"/>
      <c r="IZ346" s="35"/>
      <c r="JA346" s="35"/>
      <c r="JB346" s="35"/>
      <c r="JC346" s="35"/>
      <c r="JD346" s="35"/>
      <c r="JE346" s="35"/>
      <c r="JF346" s="35"/>
      <c r="JG346" s="35"/>
      <c r="JH346" s="35"/>
      <c r="JI346" s="35"/>
      <c r="JJ346" s="35"/>
      <c r="JK346" s="35"/>
      <c r="JL346" s="35"/>
      <c r="JM346" s="35"/>
      <c r="JN346" s="35"/>
      <c r="JO346" s="35"/>
      <c r="JP346" s="35"/>
      <c r="JQ346" s="35"/>
      <c r="JR346" s="35"/>
      <c r="JS346" s="35"/>
      <c r="JT346" s="35"/>
      <c r="JU346" s="35"/>
      <c r="JV346" s="35"/>
      <c r="JW346" s="35"/>
      <c r="JX346" s="35"/>
      <c r="JY346" s="35"/>
      <c r="JZ346" s="35"/>
      <c r="KA346" s="35"/>
      <c r="KB346" s="35"/>
      <c r="KC346" s="35"/>
      <c r="KD346" s="35"/>
      <c r="KE346" s="35"/>
      <c r="KF346" s="35"/>
      <c r="KG346" s="35"/>
      <c r="KH346" s="35"/>
      <c r="KI346" s="35"/>
      <c r="KJ346" s="35"/>
      <c r="KK346" s="35"/>
      <c r="KL346" s="35"/>
      <c r="KM346" s="35"/>
      <c r="KN346" s="35"/>
      <c r="KO346" s="35"/>
      <c r="KP346" s="35"/>
      <c r="KQ346" s="35"/>
      <c r="KR346" s="35"/>
      <c r="KS346" s="35"/>
      <c r="KT346" s="35"/>
      <c r="KU346" s="35"/>
      <c r="KV346" s="35"/>
      <c r="KW346" s="35"/>
      <c r="KX346" s="35"/>
      <c r="KY346" s="35"/>
      <c r="KZ346" s="35"/>
      <c r="LA346" s="35"/>
      <c r="LB346" s="35"/>
      <c r="LC346" s="35"/>
      <c r="LD346" s="35"/>
      <c r="LE346" s="35"/>
      <c r="LF346" s="35"/>
      <c r="LG346" s="35"/>
      <c r="LH346" s="35"/>
      <c r="LI346" s="35"/>
      <c r="LJ346" s="35"/>
      <c r="LK346" s="35"/>
      <c r="LL346" s="35"/>
      <c r="LM346" s="35"/>
      <c r="LN346" s="35"/>
      <c r="LO346" s="35"/>
      <c r="LP346" s="35"/>
      <c r="LQ346" s="35"/>
      <c r="LR346" s="35"/>
      <c r="LS346" s="35"/>
      <c r="LT346" s="35"/>
      <c r="LU346" s="35"/>
      <c r="LV346" s="35"/>
      <c r="LW346" s="35"/>
      <c r="LX346" s="35"/>
      <c r="LY346" s="35"/>
      <c r="LZ346" s="35"/>
      <c r="MA346" s="35"/>
      <c r="MB346" s="35"/>
      <c r="MC346" s="35"/>
      <c r="MD346" s="35"/>
      <c r="ME346" s="35"/>
      <c r="MF346" s="35"/>
      <c r="MG346" s="35"/>
    </row>
    <row r="347" spans="1:345" s="67" customFormat="1" ht="36" customHeight="1" x14ac:dyDescent="0.25">
      <c r="A347" s="113"/>
      <c r="B347" s="28" t="s">
        <v>234</v>
      </c>
      <c r="C347" s="21" t="s">
        <v>35</v>
      </c>
      <c r="D347" s="19" t="s">
        <v>4484</v>
      </c>
      <c r="E347" s="18">
        <v>44071.334374999999</v>
      </c>
      <c r="F347" s="27"/>
      <c r="G347" s="34"/>
      <c r="H347" s="25"/>
      <c r="I347" s="62" t="s">
        <v>206</v>
      </c>
      <c r="J347" s="34"/>
      <c r="K347" s="22"/>
      <c r="L347" s="23"/>
      <c r="M347" s="23"/>
      <c r="N347" s="33"/>
      <c r="O347" s="121" t="s">
        <v>4493</v>
      </c>
      <c r="P347" s="35"/>
      <c r="Q347" s="35"/>
      <c r="R347" s="20"/>
      <c r="S347" s="35"/>
      <c r="T347" s="35"/>
      <c r="U347" s="35"/>
      <c r="V347" s="35"/>
      <c r="W347" s="35"/>
      <c r="X347" s="35"/>
      <c r="Y347" s="35"/>
      <c r="Z347" s="35"/>
      <c r="AA347" s="35"/>
      <c r="AB347" s="35"/>
      <c r="AC347" s="35"/>
      <c r="AD347" s="35"/>
      <c r="AE347" s="35"/>
      <c r="AF347" s="35"/>
      <c r="AG347" s="35"/>
      <c r="AH347" s="35"/>
      <c r="AI347" s="35"/>
      <c r="AJ347" s="35"/>
      <c r="AK347" s="35"/>
      <c r="AL347" s="35"/>
      <c r="AM347" s="35"/>
      <c r="AN347" s="35"/>
      <c r="AO347" s="35"/>
      <c r="AP347" s="35"/>
      <c r="AQ347" s="35"/>
      <c r="AR347" s="35"/>
      <c r="AS347" s="35"/>
      <c r="AT347" s="35"/>
      <c r="AU347" s="35"/>
      <c r="AV347" s="35"/>
      <c r="AW347" s="35"/>
      <c r="AX347" s="35"/>
      <c r="AY347" s="35"/>
      <c r="AZ347" s="35"/>
      <c r="BA347" s="35"/>
      <c r="BB347" s="35"/>
      <c r="BC347" s="35"/>
      <c r="BD347" s="35"/>
      <c r="BE347" s="35"/>
      <c r="BF347" s="35"/>
      <c r="BG347" s="35"/>
      <c r="BH347" s="35"/>
      <c r="BI347" s="35"/>
      <c r="BJ347" s="35"/>
      <c r="BK347" s="35"/>
      <c r="BL347" s="35"/>
      <c r="BM347" s="35"/>
      <c r="BN347" s="35"/>
      <c r="BO347" s="35"/>
      <c r="BP347" s="35"/>
      <c r="BQ347" s="35"/>
      <c r="BR347" s="35"/>
      <c r="BS347" s="35"/>
      <c r="BT347" s="35"/>
      <c r="BU347" s="35"/>
      <c r="BV347" s="35"/>
      <c r="BW347" s="35"/>
      <c r="BX347" s="35"/>
      <c r="BY347" s="35"/>
      <c r="BZ347" s="35"/>
      <c r="CA347" s="35"/>
      <c r="CB347" s="35"/>
      <c r="CC347" s="35"/>
      <c r="CD347" s="35"/>
      <c r="CE347" s="35"/>
      <c r="CF347" s="35"/>
      <c r="CG347" s="35"/>
      <c r="CH347" s="35"/>
      <c r="CI347" s="35"/>
      <c r="CJ347" s="35"/>
      <c r="CK347" s="35"/>
      <c r="CL347" s="35"/>
      <c r="CM347" s="35"/>
      <c r="CN347" s="35"/>
      <c r="CO347" s="35"/>
      <c r="CP347" s="35"/>
      <c r="CQ347" s="35"/>
      <c r="CR347" s="35"/>
      <c r="CS347" s="35"/>
      <c r="CT347" s="35"/>
      <c r="CU347" s="35"/>
      <c r="CV347" s="35"/>
      <c r="CW347" s="35"/>
      <c r="CX347" s="35"/>
      <c r="CY347" s="35"/>
      <c r="CZ347" s="35"/>
      <c r="DA347" s="35"/>
      <c r="DB347" s="35"/>
      <c r="DC347" s="35"/>
      <c r="DD347" s="35"/>
      <c r="DE347" s="35"/>
      <c r="DF347" s="35"/>
      <c r="DG347" s="35"/>
      <c r="DH347" s="35"/>
      <c r="DI347" s="35"/>
      <c r="DJ347" s="35"/>
      <c r="DK347" s="35"/>
      <c r="DL347" s="35"/>
      <c r="DM347" s="35"/>
      <c r="DN347" s="35"/>
      <c r="DO347" s="35"/>
      <c r="DP347" s="35"/>
      <c r="DQ347" s="35"/>
      <c r="DR347" s="35"/>
      <c r="DS347" s="35"/>
      <c r="DT347" s="35"/>
      <c r="DU347" s="35"/>
      <c r="DV347" s="35"/>
      <c r="DW347" s="35"/>
      <c r="DX347" s="35"/>
      <c r="DY347" s="35"/>
      <c r="DZ347" s="35"/>
      <c r="EA347" s="35"/>
      <c r="EB347" s="35"/>
      <c r="EC347" s="35"/>
      <c r="ED347" s="35"/>
      <c r="EE347" s="35"/>
      <c r="EF347" s="35"/>
      <c r="EG347" s="35"/>
      <c r="EH347" s="35"/>
      <c r="EI347" s="35"/>
      <c r="EJ347" s="35"/>
      <c r="EK347" s="35"/>
      <c r="EL347" s="35"/>
      <c r="EM347" s="35"/>
      <c r="EN347" s="35"/>
      <c r="EO347" s="35"/>
      <c r="EP347" s="35"/>
      <c r="EQ347" s="35"/>
      <c r="ER347" s="35"/>
      <c r="ES347" s="35"/>
      <c r="ET347" s="35"/>
      <c r="EU347" s="35"/>
      <c r="EV347" s="35"/>
      <c r="EW347" s="35"/>
      <c r="EX347" s="35"/>
      <c r="EY347" s="35"/>
      <c r="EZ347" s="35"/>
      <c r="FA347" s="35"/>
      <c r="FB347" s="35"/>
      <c r="FC347" s="35"/>
      <c r="FD347" s="35"/>
      <c r="FE347" s="35"/>
      <c r="FF347" s="35"/>
      <c r="FG347" s="35"/>
      <c r="FH347" s="35"/>
      <c r="FI347" s="35"/>
      <c r="FJ347" s="35"/>
      <c r="FK347" s="35"/>
      <c r="FL347" s="35"/>
      <c r="FM347" s="35"/>
      <c r="FN347" s="35"/>
      <c r="FO347" s="35"/>
      <c r="FP347" s="35"/>
      <c r="FQ347" s="35"/>
      <c r="FR347" s="35"/>
      <c r="FS347" s="35"/>
      <c r="FT347" s="35"/>
      <c r="FU347" s="35"/>
      <c r="FV347" s="35"/>
      <c r="FW347" s="35"/>
      <c r="FX347" s="35"/>
      <c r="FY347" s="35"/>
      <c r="FZ347" s="35"/>
      <c r="GA347" s="35"/>
      <c r="GB347" s="35"/>
      <c r="GC347" s="35"/>
      <c r="GD347" s="35"/>
      <c r="GE347" s="35"/>
      <c r="GF347" s="35"/>
      <c r="GG347" s="35"/>
      <c r="GH347" s="35"/>
      <c r="GI347" s="35"/>
      <c r="GJ347" s="35"/>
      <c r="GK347" s="35"/>
      <c r="GL347" s="35"/>
      <c r="GM347" s="35"/>
      <c r="GN347" s="35"/>
      <c r="GO347" s="35"/>
      <c r="GP347" s="35"/>
      <c r="GQ347" s="35"/>
      <c r="GR347" s="35"/>
      <c r="GS347" s="35"/>
      <c r="GT347" s="35"/>
      <c r="GU347" s="35"/>
      <c r="GV347" s="35"/>
      <c r="GW347" s="35"/>
      <c r="GX347" s="35"/>
      <c r="GY347" s="35"/>
      <c r="GZ347" s="35"/>
      <c r="HA347" s="35"/>
      <c r="HB347" s="35"/>
      <c r="HC347" s="35"/>
      <c r="HD347" s="35"/>
      <c r="HE347" s="35"/>
      <c r="HF347" s="35"/>
      <c r="HG347" s="35"/>
      <c r="HH347" s="35"/>
      <c r="HI347" s="35"/>
      <c r="HJ347" s="35"/>
      <c r="HK347" s="35"/>
      <c r="HL347" s="35"/>
      <c r="HM347" s="35"/>
      <c r="HN347" s="35"/>
      <c r="HO347" s="35"/>
      <c r="HP347" s="35"/>
      <c r="HQ347" s="35"/>
      <c r="HR347" s="35"/>
      <c r="HS347" s="35"/>
      <c r="HT347" s="35"/>
      <c r="HU347" s="35"/>
      <c r="HV347" s="35"/>
      <c r="HW347" s="35"/>
      <c r="HX347" s="35"/>
      <c r="HY347" s="35"/>
      <c r="HZ347" s="35"/>
      <c r="IA347" s="35"/>
      <c r="IB347" s="35"/>
      <c r="IC347" s="35"/>
      <c r="ID347" s="35"/>
      <c r="IE347" s="35"/>
      <c r="IF347" s="35"/>
      <c r="IG347" s="35"/>
      <c r="IH347" s="35"/>
      <c r="II347" s="35"/>
      <c r="IJ347" s="35"/>
      <c r="IK347" s="35"/>
      <c r="IL347" s="35"/>
      <c r="IM347" s="35"/>
      <c r="IN347" s="35"/>
      <c r="IO347" s="35"/>
      <c r="IP347" s="35"/>
      <c r="IQ347" s="35"/>
      <c r="IR347" s="35"/>
      <c r="IS347" s="35"/>
      <c r="IT347" s="35"/>
      <c r="IU347" s="35"/>
      <c r="IV347" s="35"/>
      <c r="IW347" s="35"/>
      <c r="IX347" s="35"/>
      <c r="IY347" s="35"/>
      <c r="IZ347" s="35"/>
      <c r="JA347" s="35"/>
      <c r="JB347" s="35"/>
      <c r="JC347" s="35"/>
      <c r="JD347" s="35"/>
      <c r="JE347" s="35"/>
      <c r="JF347" s="35"/>
      <c r="JG347" s="35"/>
      <c r="JH347" s="35"/>
      <c r="JI347" s="35"/>
      <c r="JJ347" s="35"/>
      <c r="JK347" s="35"/>
      <c r="JL347" s="35"/>
      <c r="JM347" s="35"/>
      <c r="JN347" s="35"/>
      <c r="JO347" s="35"/>
      <c r="JP347" s="35"/>
      <c r="JQ347" s="35"/>
      <c r="JR347" s="35"/>
      <c r="JS347" s="35"/>
      <c r="JT347" s="35"/>
      <c r="JU347" s="35"/>
      <c r="JV347" s="35"/>
      <c r="JW347" s="35"/>
      <c r="JX347" s="35"/>
      <c r="JY347" s="35"/>
      <c r="JZ347" s="35"/>
      <c r="KA347" s="35"/>
      <c r="KB347" s="35"/>
      <c r="KC347" s="35"/>
      <c r="KD347" s="35"/>
      <c r="KE347" s="35"/>
      <c r="KF347" s="35"/>
      <c r="KG347" s="35"/>
      <c r="KH347" s="35"/>
      <c r="KI347" s="35"/>
      <c r="KJ347" s="35"/>
      <c r="KK347" s="35"/>
      <c r="KL347" s="35"/>
      <c r="KM347" s="35"/>
      <c r="KN347" s="35"/>
      <c r="KO347" s="35"/>
      <c r="KP347" s="35"/>
      <c r="KQ347" s="35"/>
      <c r="KR347" s="35"/>
      <c r="KS347" s="35"/>
      <c r="KT347" s="35"/>
      <c r="KU347" s="35"/>
      <c r="KV347" s="35"/>
      <c r="KW347" s="35"/>
      <c r="KX347" s="35"/>
      <c r="KY347" s="35"/>
      <c r="KZ347" s="35"/>
      <c r="LA347" s="35"/>
      <c r="LB347" s="35"/>
      <c r="LC347" s="35"/>
      <c r="LD347" s="35"/>
      <c r="LE347" s="35"/>
      <c r="LF347" s="35"/>
      <c r="LG347" s="35"/>
      <c r="LH347" s="35"/>
      <c r="LI347" s="35"/>
      <c r="LJ347" s="35"/>
      <c r="LK347" s="35"/>
      <c r="LL347" s="35"/>
      <c r="LM347" s="35"/>
      <c r="LN347" s="35"/>
      <c r="LO347" s="35"/>
      <c r="LP347" s="35"/>
      <c r="LQ347" s="35"/>
      <c r="LR347" s="35"/>
      <c r="LS347" s="35"/>
      <c r="LT347" s="35"/>
      <c r="LU347" s="35"/>
      <c r="LV347" s="35"/>
      <c r="LW347" s="35"/>
      <c r="LX347" s="35"/>
      <c r="LY347" s="35"/>
      <c r="LZ347" s="35"/>
      <c r="MA347" s="35"/>
      <c r="MB347" s="35"/>
      <c r="MC347" s="35"/>
      <c r="MD347" s="35"/>
      <c r="ME347" s="35"/>
      <c r="MF347" s="35"/>
      <c r="MG347" s="35"/>
    </row>
    <row r="348" spans="1:345" s="67" customFormat="1" ht="36" hidden="1" customHeight="1" x14ac:dyDescent="0.25">
      <c r="A348" s="113"/>
      <c r="B348" s="28" t="s">
        <v>4500</v>
      </c>
      <c r="C348" s="21" t="s">
        <v>37</v>
      </c>
      <c r="D348" s="19" t="s">
        <v>4501</v>
      </c>
      <c r="E348" s="18">
        <v>44074</v>
      </c>
      <c r="F348" s="27"/>
      <c r="G348" s="34"/>
      <c r="H348" s="25"/>
      <c r="I348" s="62" t="s">
        <v>206</v>
      </c>
      <c r="J348" s="34"/>
      <c r="K348" s="22"/>
      <c r="L348" s="23">
        <v>44074</v>
      </c>
      <c r="M348" s="23" t="s">
        <v>4443</v>
      </c>
      <c r="N348" s="33"/>
      <c r="O348" s="26"/>
      <c r="P348" s="35"/>
      <c r="Q348" s="35"/>
      <c r="R348" s="20"/>
      <c r="S348" s="35"/>
      <c r="T348" s="35"/>
      <c r="U348" s="35"/>
      <c r="V348" s="35"/>
      <c r="W348" s="35"/>
      <c r="X348" s="35"/>
      <c r="Y348" s="35"/>
      <c r="Z348" s="35"/>
      <c r="AA348" s="35"/>
      <c r="AB348" s="35"/>
      <c r="AC348" s="35"/>
      <c r="AD348" s="35"/>
      <c r="AE348" s="35"/>
      <c r="AF348" s="35"/>
      <c r="AG348" s="35"/>
      <c r="AH348" s="35"/>
      <c r="AI348" s="35"/>
      <c r="AJ348" s="35"/>
      <c r="AK348" s="35"/>
      <c r="AL348" s="35"/>
      <c r="AM348" s="35"/>
      <c r="AN348" s="35"/>
      <c r="AO348" s="35"/>
      <c r="AP348" s="35"/>
      <c r="AQ348" s="35"/>
      <c r="AR348" s="35"/>
      <c r="AS348" s="35"/>
      <c r="AT348" s="35"/>
      <c r="AU348" s="35"/>
      <c r="AV348" s="35"/>
      <c r="AW348" s="35"/>
      <c r="AX348" s="35"/>
      <c r="AY348" s="35"/>
      <c r="AZ348" s="35"/>
      <c r="BA348" s="35"/>
      <c r="BB348" s="35"/>
      <c r="BC348" s="35"/>
      <c r="BD348" s="35"/>
      <c r="BE348" s="35"/>
      <c r="BF348" s="35"/>
      <c r="BG348" s="35"/>
      <c r="BH348" s="35"/>
      <c r="BI348" s="35"/>
      <c r="BJ348" s="35"/>
      <c r="BK348" s="35"/>
      <c r="BL348" s="35"/>
      <c r="BM348" s="35"/>
      <c r="BN348" s="35"/>
      <c r="BO348" s="35"/>
      <c r="BP348" s="35"/>
      <c r="BQ348" s="35"/>
      <c r="BR348" s="35"/>
      <c r="BS348" s="35"/>
      <c r="BT348" s="35"/>
      <c r="BU348" s="35"/>
      <c r="BV348" s="35"/>
      <c r="BW348" s="35"/>
      <c r="BX348" s="35"/>
      <c r="BY348" s="35"/>
      <c r="BZ348" s="35"/>
      <c r="CA348" s="35"/>
      <c r="CB348" s="35"/>
      <c r="CC348" s="35"/>
      <c r="CD348" s="35"/>
      <c r="CE348" s="35"/>
      <c r="CF348" s="35"/>
      <c r="CG348" s="35"/>
      <c r="CH348" s="35"/>
      <c r="CI348" s="35"/>
      <c r="CJ348" s="35"/>
      <c r="CK348" s="35"/>
      <c r="CL348" s="35"/>
      <c r="CM348" s="35"/>
      <c r="CN348" s="35"/>
      <c r="CO348" s="35"/>
      <c r="CP348" s="35"/>
      <c r="CQ348" s="35"/>
      <c r="CR348" s="35"/>
      <c r="CS348" s="35"/>
      <c r="CT348" s="35"/>
      <c r="CU348" s="35"/>
      <c r="CV348" s="35"/>
      <c r="CW348" s="35"/>
      <c r="CX348" s="35"/>
      <c r="CY348" s="35"/>
      <c r="CZ348" s="35"/>
      <c r="DA348" s="35"/>
      <c r="DB348" s="35"/>
      <c r="DC348" s="35"/>
      <c r="DD348" s="35"/>
      <c r="DE348" s="35"/>
      <c r="DF348" s="35"/>
      <c r="DG348" s="35"/>
      <c r="DH348" s="35"/>
      <c r="DI348" s="35"/>
      <c r="DJ348" s="35"/>
      <c r="DK348" s="35"/>
      <c r="DL348" s="35"/>
      <c r="DM348" s="35"/>
      <c r="DN348" s="35"/>
      <c r="DO348" s="35"/>
      <c r="DP348" s="35"/>
      <c r="DQ348" s="35"/>
      <c r="DR348" s="35"/>
      <c r="DS348" s="35"/>
      <c r="DT348" s="35"/>
      <c r="DU348" s="35"/>
      <c r="DV348" s="35"/>
      <c r="DW348" s="35"/>
      <c r="DX348" s="35"/>
      <c r="DY348" s="35"/>
      <c r="DZ348" s="35"/>
      <c r="EA348" s="35"/>
      <c r="EB348" s="35"/>
      <c r="EC348" s="35"/>
      <c r="ED348" s="35"/>
      <c r="EE348" s="35"/>
      <c r="EF348" s="35"/>
      <c r="EG348" s="35"/>
      <c r="EH348" s="35"/>
      <c r="EI348" s="35"/>
      <c r="EJ348" s="35"/>
      <c r="EK348" s="35"/>
      <c r="EL348" s="35"/>
      <c r="EM348" s="35"/>
      <c r="EN348" s="35"/>
      <c r="EO348" s="35"/>
      <c r="EP348" s="35"/>
      <c r="EQ348" s="35"/>
      <c r="ER348" s="35"/>
      <c r="ES348" s="35"/>
      <c r="ET348" s="35"/>
      <c r="EU348" s="35"/>
      <c r="EV348" s="35"/>
      <c r="EW348" s="35"/>
      <c r="EX348" s="35"/>
      <c r="EY348" s="35"/>
      <c r="EZ348" s="35"/>
      <c r="FA348" s="35"/>
      <c r="FB348" s="35"/>
      <c r="FC348" s="35"/>
      <c r="FD348" s="35"/>
      <c r="FE348" s="35"/>
      <c r="FF348" s="35"/>
      <c r="FG348" s="35"/>
      <c r="FH348" s="35"/>
      <c r="FI348" s="35"/>
      <c r="FJ348" s="35"/>
      <c r="FK348" s="35"/>
      <c r="FL348" s="35"/>
      <c r="FM348" s="35"/>
      <c r="FN348" s="35"/>
      <c r="FO348" s="35"/>
      <c r="FP348" s="35"/>
      <c r="FQ348" s="35"/>
      <c r="FR348" s="35"/>
      <c r="FS348" s="35"/>
      <c r="FT348" s="35"/>
      <c r="FU348" s="35"/>
      <c r="FV348" s="35"/>
      <c r="FW348" s="35"/>
      <c r="FX348" s="35"/>
      <c r="FY348" s="35"/>
      <c r="FZ348" s="35"/>
      <c r="GA348" s="35"/>
      <c r="GB348" s="35"/>
      <c r="GC348" s="35"/>
      <c r="GD348" s="35"/>
      <c r="GE348" s="35"/>
      <c r="GF348" s="35"/>
      <c r="GG348" s="35"/>
      <c r="GH348" s="35"/>
      <c r="GI348" s="35"/>
      <c r="GJ348" s="35"/>
      <c r="GK348" s="35"/>
      <c r="GL348" s="35"/>
      <c r="GM348" s="35"/>
      <c r="GN348" s="35"/>
      <c r="GO348" s="35"/>
      <c r="GP348" s="35"/>
      <c r="GQ348" s="35"/>
      <c r="GR348" s="35"/>
      <c r="GS348" s="35"/>
      <c r="GT348" s="35"/>
      <c r="GU348" s="35"/>
      <c r="GV348" s="35"/>
      <c r="GW348" s="35"/>
      <c r="GX348" s="35"/>
      <c r="GY348" s="35"/>
      <c r="GZ348" s="35"/>
      <c r="HA348" s="35"/>
      <c r="HB348" s="35"/>
      <c r="HC348" s="35"/>
      <c r="HD348" s="35"/>
      <c r="HE348" s="35"/>
      <c r="HF348" s="35"/>
      <c r="HG348" s="35"/>
      <c r="HH348" s="35"/>
      <c r="HI348" s="35"/>
      <c r="HJ348" s="35"/>
      <c r="HK348" s="35"/>
      <c r="HL348" s="35"/>
      <c r="HM348" s="35"/>
      <c r="HN348" s="35"/>
      <c r="HO348" s="35"/>
      <c r="HP348" s="35"/>
      <c r="HQ348" s="35"/>
      <c r="HR348" s="35"/>
      <c r="HS348" s="35"/>
      <c r="HT348" s="35"/>
      <c r="HU348" s="35"/>
      <c r="HV348" s="35"/>
      <c r="HW348" s="35"/>
      <c r="HX348" s="35"/>
      <c r="HY348" s="35"/>
      <c r="HZ348" s="35"/>
      <c r="IA348" s="35"/>
      <c r="IB348" s="35"/>
      <c r="IC348" s="35"/>
      <c r="ID348" s="35"/>
      <c r="IE348" s="35"/>
      <c r="IF348" s="35"/>
      <c r="IG348" s="35"/>
      <c r="IH348" s="35"/>
      <c r="II348" s="35"/>
      <c r="IJ348" s="35"/>
      <c r="IK348" s="35"/>
      <c r="IL348" s="35"/>
      <c r="IM348" s="35"/>
      <c r="IN348" s="35"/>
      <c r="IO348" s="35"/>
      <c r="IP348" s="35"/>
      <c r="IQ348" s="35"/>
      <c r="IR348" s="35"/>
      <c r="IS348" s="35"/>
      <c r="IT348" s="35"/>
      <c r="IU348" s="35"/>
      <c r="IV348" s="35"/>
      <c r="IW348" s="35"/>
      <c r="IX348" s="35"/>
      <c r="IY348" s="35"/>
      <c r="IZ348" s="35"/>
      <c r="JA348" s="35"/>
      <c r="JB348" s="35"/>
      <c r="JC348" s="35"/>
      <c r="JD348" s="35"/>
      <c r="JE348" s="35"/>
      <c r="JF348" s="35"/>
      <c r="JG348" s="35"/>
      <c r="JH348" s="35"/>
      <c r="JI348" s="35"/>
      <c r="JJ348" s="35"/>
      <c r="JK348" s="35"/>
      <c r="JL348" s="35"/>
      <c r="JM348" s="35"/>
      <c r="JN348" s="35"/>
      <c r="JO348" s="35"/>
      <c r="JP348" s="35"/>
      <c r="JQ348" s="35"/>
      <c r="JR348" s="35"/>
      <c r="JS348" s="35"/>
      <c r="JT348" s="35"/>
      <c r="JU348" s="35"/>
      <c r="JV348" s="35"/>
      <c r="JW348" s="35"/>
      <c r="JX348" s="35"/>
      <c r="JY348" s="35"/>
      <c r="JZ348" s="35"/>
      <c r="KA348" s="35"/>
      <c r="KB348" s="35"/>
      <c r="KC348" s="35"/>
      <c r="KD348" s="35"/>
      <c r="KE348" s="35"/>
      <c r="KF348" s="35"/>
      <c r="KG348" s="35"/>
      <c r="KH348" s="35"/>
      <c r="KI348" s="35"/>
      <c r="KJ348" s="35"/>
      <c r="KK348" s="35"/>
      <c r="KL348" s="35"/>
      <c r="KM348" s="35"/>
      <c r="KN348" s="35"/>
      <c r="KO348" s="35"/>
      <c r="KP348" s="35"/>
      <c r="KQ348" s="35"/>
      <c r="KR348" s="35"/>
      <c r="KS348" s="35"/>
      <c r="KT348" s="35"/>
      <c r="KU348" s="35"/>
      <c r="KV348" s="35"/>
      <c r="KW348" s="35"/>
      <c r="KX348" s="35"/>
      <c r="KY348" s="35"/>
      <c r="KZ348" s="35"/>
      <c r="LA348" s="35"/>
      <c r="LB348" s="35"/>
      <c r="LC348" s="35"/>
      <c r="LD348" s="35"/>
      <c r="LE348" s="35"/>
      <c r="LF348" s="35"/>
      <c r="LG348" s="35"/>
      <c r="LH348" s="35"/>
      <c r="LI348" s="35"/>
      <c r="LJ348" s="35"/>
      <c r="LK348" s="35"/>
      <c r="LL348" s="35"/>
      <c r="LM348" s="35"/>
      <c r="LN348" s="35"/>
      <c r="LO348" s="35"/>
      <c r="LP348" s="35"/>
      <c r="LQ348" s="35"/>
      <c r="LR348" s="35"/>
      <c r="LS348" s="35"/>
      <c r="LT348" s="35"/>
      <c r="LU348" s="35"/>
      <c r="LV348" s="35"/>
      <c r="LW348" s="35"/>
      <c r="LX348" s="35"/>
      <c r="LY348" s="35"/>
      <c r="LZ348" s="35"/>
      <c r="MA348" s="35"/>
      <c r="MB348" s="35"/>
      <c r="MC348" s="35"/>
      <c r="MD348" s="35"/>
      <c r="ME348" s="35"/>
      <c r="MF348" s="35"/>
      <c r="MG348" s="35"/>
    </row>
    <row r="349" spans="1:345" s="67" customFormat="1" ht="36" hidden="1" customHeight="1" x14ac:dyDescent="0.25">
      <c r="A349" s="113"/>
      <c r="B349" s="28" t="s">
        <v>337</v>
      </c>
      <c r="C349" s="21" t="s">
        <v>23</v>
      </c>
      <c r="D349" s="19" t="s">
        <v>4498</v>
      </c>
      <c r="E349" s="18">
        <v>44074.380833333336</v>
      </c>
      <c r="F349" s="27"/>
      <c r="G349" s="34"/>
      <c r="H349" s="25"/>
      <c r="I349" s="62" t="s">
        <v>206</v>
      </c>
      <c r="J349" s="34"/>
      <c r="K349" s="22"/>
      <c r="L349" s="23">
        <v>44071</v>
      </c>
      <c r="M349" s="23"/>
      <c r="N349" s="33"/>
      <c r="O349" s="26"/>
      <c r="P349" s="35"/>
      <c r="Q349" s="35"/>
      <c r="R349" s="20"/>
      <c r="S349" s="35"/>
      <c r="T349" s="35"/>
      <c r="U349" s="35"/>
      <c r="V349" s="35"/>
      <c r="W349" s="35"/>
      <c r="X349" s="35"/>
      <c r="Y349" s="35"/>
      <c r="Z349" s="35"/>
      <c r="AA349" s="35"/>
      <c r="AB349" s="35"/>
      <c r="AC349" s="35"/>
      <c r="AD349" s="35"/>
      <c r="AE349" s="35"/>
      <c r="AF349" s="35"/>
      <c r="AG349" s="35"/>
      <c r="AH349" s="35"/>
      <c r="AI349" s="35"/>
      <c r="AJ349" s="35"/>
      <c r="AK349" s="35"/>
      <c r="AL349" s="35"/>
      <c r="AM349" s="35"/>
      <c r="AN349" s="35"/>
      <c r="AO349" s="35"/>
      <c r="AP349" s="35"/>
      <c r="AQ349" s="35"/>
      <c r="AR349" s="35"/>
      <c r="AS349" s="35"/>
      <c r="AT349" s="35"/>
      <c r="AU349" s="35"/>
      <c r="AV349" s="35"/>
      <c r="AW349" s="35"/>
      <c r="AX349" s="35"/>
      <c r="AY349" s="35"/>
      <c r="AZ349" s="35"/>
      <c r="BA349" s="35"/>
      <c r="BB349" s="35"/>
      <c r="BC349" s="35"/>
      <c r="BD349" s="35"/>
      <c r="BE349" s="35"/>
      <c r="BF349" s="35"/>
      <c r="BG349" s="35"/>
      <c r="BH349" s="35"/>
      <c r="BI349" s="35"/>
      <c r="BJ349" s="35"/>
      <c r="BK349" s="35"/>
      <c r="BL349" s="35"/>
      <c r="BM349" s="35"/>
      <c r="BN349" s="35"/>
      <c r="BO349" s="35"/>
      <c r="BP349" s="35"/>
      <c r="BQ349" s="35"/>
      <c r="BR349" s="35"/>
      <c r="BS349" s="35"/>
      <c r="BT349" s="35"/>
      <c r="BU349" s="35"/>
      <c r="BV349" s="35"/>
      <c r="BW349" s="35"/>
      <c r="BX349" s="35"/>
      <c r="BY349" s="35"/>
      <c r="BZ349" s="35"/>
      <c r="CA349" s="35"/>
      <c r="CB349" s="35"/>
      <c r="CC349" s="35"/>
      <c r="CD349" s="35"/>
      <c r="CE349" s="35"/>
      <c r="CF349" s="35"/>
      <c r="CG349" s="35"/>
      <c r="CH349" s="35"/>
      <c r="CI349" s="35"/>
      <c r="CJ349" s="35"/>
      <c r="CK349" s="35"/>
      <c r="CL349" s="35"/>
      <c r="CM349" s="35"/>
      <c r="CN349" s="35"/>
      <c r="CO349" s="35"/>
      <c r="CP349" s="35"/>
      <c r="CQ349" s="35"/>
      <c r="CR349" s="35"/>
      <c r="CS349" s="35"/>
      <c r="CT349" s="35"/>
      <c r="CU349" s="35"/>
      <c r="CV349" s="35"/>
      <c r="CW349" s="35"/>
      <c r="CX349" s="35"/>
      <c r="CY349" s="35"/>
      <c r="CZ349" s="35"/>
      <c r="DA349" s="35"/>
      <c r="DB349" s="35"/>
      <c r="DC349" s="35"/>
      <c r="DD349" s="35"/>
      <c r="DE349" s="35"/>
      <c r="DF349" s="35"/>
      <c r="DG349" s="35"/>
      <c r="DH349" s="35"/>
      <c r="DI349" s="35"/>
      <c r="DJ349" s="35"/>
      <c r="DK349" s="35"/>
      <c r="DL349" s="35"/>
      <c r="DM349" s="35"/>
      <c r="DN349" s="35"/>
      <c r="DO349" s="35"/>
      <c r="DP349" s="35"/>
      <c r="DQ349" s="35"/>
      <c r="DR349" s="35"/>
      <c r="DS349" s="35"/>
      <c r="DT349" s="35"/>
      <c r="DU349" s="35"/>
      <c r="DV349" s="35"/>
      <c r="DW349" s="35"/>
      <c r="DX349" s="35"/>
      <c r="DY349" s="35"/>
      <c r="DZ349" s="35"/>
      <c r="EA349" s="35"/>
      <c r="EB349" s="35"/>
      <c r="EC349" s="35"/>
      <c r="ED349" s="35"/>
      <c r="EE349" s="35"/>
      <c r="EF349" s="35"/>
      <c r="EG349" s="35"/>
      <c r="EH349" s="35"/>
      <c r="EI349" s="35"/>
      <c r="EJ349" s="35"/>
      <c r="EK349" s="35"/>
      <c r="EL349" s="35"/>
      <c r="EM349" s="35"/>
      <c r="EN349" s="35"/>
      <c r="EO349" s="35"/>
      <c r="EP349" s="35"/>
      <c r="EQ349" s="35"/>
      <c r="ER349" s="35"/>
      <c r="ES349" s="35"/>
      <c r="ET349" s="35"/>
      <c r="EU349" s="35"/>
      <c r="EV349" s="35"/>
      <c r="EW349" s="35"/>
      <c r="EX349" s="35"/>
      <c r="EY349" s="35"/>
      <c r="EZ349" s="35"/>
      <c r="FA349" s="35"/>
      <c r="FB349" s="35"/>
      <c r="FC349" s="35"/>
      <c r="FD349" s="35"/>
      <c r="FE349" s="35"/>
      <c r="FF349" s="35"/>
      <c r="FG349" s="35"/>
      <c r="FH349" s="35"/>
      <c r="FI349" s="35"/>
      <c r="FJ349" s="35"/>
      <c r="FK349" s="35"/>
      <c r="FL349" s="35"/>
      <c r="FM349" s="35"/>
      <c r="FN349" s="35"/>
      <c r="FO349" s="35"/>
      <c r="FP349" s="35"/>
      <c r="FQ349" s="35"/>
      <c r="FR349" s="35"/>
      <c r="FS349" s="35"/>
      <c r="FT349" s="35"/>
      <c r="FU349" s="35"/>
      <c r="FV349" s="35"/>
      <c r="FW349" s="35"/>
      <c r="FX349" s="35"/>
      <c r="FY349" s="35"/>
      <c r="FZ349" s="35"/>
      <c r="GA349" s="35"/>
      <c r="GB349" s="35"/>
      <c r="GC349" s="35"/>
      <c r="GD349" s="35"/>
      <c r="GE349" s="35"/>
      <c r="GF349" s="35"/>
      <c r="GG349" s="35"/>
      <c r="GH349" s="35"/>
      <c r="GI349" s="35"/>
      <c r="GJ349" s="35"/>
      <c r="GK349" s="35"/>
      <c r="GL349" s="35"/>
      <c r="GM349" s="35"/>
      <c r="GN349" s="35"/>
      <c r="GO349" s="35"/>
      <c r="GP349" s="35"/>
      <c r="GQ349" s="35"/>
      <c r="GR349" s="35"/>
      <c r="GS349" s="35"/>
      <c r="GT349" s="35"/>
      <c r="GU349" s="35"/>
      <c r="GV349" s="35"/>
      <c r="GW349" s="35"/>
      <c r="GX349" s="35"/>
      <c r="GY349" s="35"/>
      <c r="GZ349" s="35"/>
      <c r="HA349" s="35"/>
      <c r="HB349" s="35"/>
      <c r="HC349" s="35"/>
      <c r="HD349" s="35"/>
      <c r="HE349" s="35"/>
      <c r="HF349" s="35"/>
      <c r="HG349" s="35"/>
      <c r="HH349" s="35"/>
      <c r="HI349" s="35"/>
      <c r="HJ349" s="35"/>
      <c r="HK349" s="35"/>
      <c r="HL349" s="35"/>
      <c r="HM349" s="35"/>
      <c r="HN349" s="35"/>
      <c r="HO349" s="35"/>
      <c r="HP349" s="35"/>
      <c r="HQ349" s="35"/>
      <c r="HR349" s="35"/>
      <c r="HS349" s="35"/>
      <c r="HT349" s="35"/>
      <c r="HU349" s="35"/>
      <c r="HV349" s="35"/>
      <c r="HW349" s="35"/>
      <c r="HX349" s="35"/>
      <c r="HY349" s="35"/>
      <c r="HZ349" s="35"/>
      <c r="IA349" s="35"/>
      <c r="IB349" s="35"/>
      <c r="IC349" s="35"/>
      <c r="ID349" s="35"/>
      <c r="IE349" s="35"/>
      <c r="IF349" s="35"/>
      <c r="IG349" s="35"/>
      <c r="IH349" s="35"/>
      <c r="II349" s="35"/>
      <c r="IJ349" s="35"/>
      <c r="IK349" s="35"/>
      <c r="IL349" s="35"/>
      <c r="IM349" s="35"/>
      <c r="IN349" s="35"/>
      <c r="IO349" s="35"/>
      <c r="IP349" s="35"/>
      <c r="IQ349" s="35"/>
      <c r="IR349" s="35"/>
      <c r="IS349" s="35"/>
      <c r="IT349" s="35"/>
      <c r="IU349" s="35"/>
      <c r="IV349" s="35"/>
      <c r="IW349" s="35"/>
      <c r="IX349" s="35"/>
      <c r="IY349" s="35"/>
      <c r="IZ349" s="35"/>
      <c r="JA349" s="35"/>
      <c r="JB349" s="35"/>
      <c r="JC349" s="35"/>
      <c r="JD349" s="35"/>
      <c r="JE349" s="35"/>
      <c r="JF349" s="35"/>
      <c r="JG349" s="35"/>
      <c r="JH349" s="35"/>
      <c r="JI349" s="35"/>
      <c r="JJ349" s="35"/>
      <c r="JK349" s="35"/>
      <c r="JL349" s="35"/>
      <c r="JM349" s="35"/>
      <c r="JN349" s="35"/>
      <c r="JO349" s="35"/>
      <c r="JP349" s="35"/>
      <c r="JQ349" s="35"/>
      <c r="JR349" s="35"/>
      <c r="JS349" s="35"/>
      <c r="JT349" s="35"/>
      <c r="JU349" s="35"/>
      <c r="JV349" s="35"/>
      <c r="JW349" s="35"/>
      <c r="JX349" s="35"/>
      <c r="JY349" s="35"/>
      <c r="JZ349" s="35"/>
      <c r="KA349" s="35"/>
      <c r="KB349" s="35"/>
      <c r="KC349" s="35"/>
      <c r="KD349" s="35"/>
      <c r="KE349" s="35"/>
      <c r="KF349" s="35"/>
      <c r="KG349" s="35"/>
      <c r="KH349" s="35"/>
      <c r="KI349" s="35"/>
      <c r="KJ349" s="35"/>
      <c r="KK349" s="35"/>
      <c r="KL349" s="35"/>
      <c r="KM349" s="35"/>
      <c r="KN349" s="35"/>
      <c r="KO349" s="35"/>
      <c r="KP349" s="35"/>
      <c r="KQ349" s="35"/>
      <c r="KR349" s="35"/>
      <c r="KS349" s="35"/>
      <c r="KT349" s="35"/>
      <c r="KU349" s="35"/>
      <c r="KV349" s="35"/>
      <c r="KW349" s="35"/>
      <c r="KX349" s="35"/>
      <c r="KY349" s="35"/>
      <c r="KZ349" s="35"/>
      <c r="LA349" s="35"/>
      <c r="LB349" s="35"/>
      <c r="LC349" s="35"/>
      <c r="LD349" s="35"/>
      <c r="LE349" s="35"/>
      <c r="LF349" s="35"/>
      <c r="LG349" s="35"/>
      <c r="LH349" s="35"/>
      <c r="LI349" s="35"/>
      <c r="LJ349" s="35"/>
      <c r="LK349" s="35"/>
      <c r="LL349" s="35"/>
      <c r="LM349" s="35"/>
      <c r="LN349" s="35"/>
      <c r="LO349" s="35"/>
      <c r="LP349" s="35"/>
      <c r="LQ349" s="35"/>
      <c r="LR349" s="35"/>
      <c r="LS349" s="35"/>
      <c r="LT349" s="35"/>
      <c r="LU349" s="35"/>
      <c r="LV349" s="35"/>
      <c r="LW349" s="35"/>
      <c r="LX349" s="35"/>
      <c r="LY349" s="35"/>
      <c r="LZ349" s="35"/>
      <c r="MA349" s="35"/>
      <c r="MB349" s="35"/>
      <c r="MC349" s="35"/>
      <c r="MD349" s="35"/>
      <c r="ME349" s="35"/>
      <c r="MF349" s="35"/>
      <c r="MG349" s="35"/>
    </row>
    <row r="350" spans="1:345" s="67" customFormat="1" ht="36" hidden="1" customHeight="1" x14ac:dyDescent="0.25">
      <c r="A350" s="113"/>
      <c r="B350" s="28" t="s">
        <v>337</v>
      </c>
      <c r="C350" s="21" t="s">
        <v>23</v>
      </c>
      <c r="D350" s="19" t="s">
        <v>4498</v>
      </c>
      <c r="E350" s="18">
        <v>44074.380833333336</v>
      </c>
      <c r="F350" s="27"/>
      <c r="G350" s="34"/>
      <c r="H350" s="25"/>
      <c r="I350" s="62" t="s">
        <v>206</v>
      </c>
      <c r="J350" s="34"/>
      <c r="K350" s="22"/>
      <c r="L350" s="23">
        <v>44075</v>
      </c>
      <c r="M350" s="23" t="s">
        <v>4443</v>
      </c>
      <c r="N350" s="33" t="s">
        <v>4506</v>
      </c>
      <c r="O350" s="26" t="s">
        <v>4510</v>
      </c>
      <c r="P350" s="35"/>
      <c r="Q350" s="35"/>
      <c r="R350" s="20"/>
      <c r="S350" s="35"/>
      <c r="T350" s="35"/>
      <c r="U350" s="35"/>
      <c r="V350" s="35"/>
      <c r="W350" s="35"/>
      <c r="X350" s="35"/>
      <c r="Y350" s="35"/>
      <c r="Z350" s="35"/>
      <c r="AA350" s="35"/>
      <c r="AB350" s="35"/>
      <c r="AC350" s="35"/>
      <c r="AD350" s="35"/>
      <c r="AE350" s="35"/>
      <c r="AF350" s="35"/>
      <c r="AG350" s="35"/>
      <c r="AH350" s="35"/>
      <c r="AI350" s="35"/>
      <c r="AJ350" s="35"/>
      <c r="AK350" s="35"/>
      <c r="AL350" s="35"/>
      <c r="AM350" s="35"/>
      <c r="AN350" s="35"/>
      <c r="AO350" s="35"/>
      <c r="AP350" s="35"/>
      <c r="AQ350" s="35"/>
      <c r="AR350" s="35"/>
      <c r="AS350" s="35"/>
      <c r="AT350" s="35"/>
      <c r="AU350" s="35"/>
      <c r="AV350" s="35"/>
      <c r="AW350" s="35"/>
      <c r="AX350" s="35"/>
      <c r="AY350" s="35"/>
      <c r="AZ350" s="35"/>
      <c r="BA350" s="35"/>
      <c r="BB350" s="35"/>
      <c r="BC350" s="35"/>
      <c r="BD350" s="35"/>
      <c r="BE350" s="35"/>
      <c r="BF350" s="35"/>
      <c r="BG350" s="35"/>
      <c r="BH350" s="35"/>
      <c r="BI350" s="35"/>
      <c r="BJ350" s="35"/>
      <c r="BK350" s="35"/>
      <c r="BL350" s="35"/>
      <c r="BM350" s="35"/>
      <c r="BN350" s="35"/>
      <c r="BO350" s="35"/>
      <c r="BP350" s="35"/>
      <c r="BQ350" s="35"/>
      <c r="BR350" s="35"/>
      <c r="BS350" s="35"/>
      <c r="BT350" s="35"/>
      <c r="BU350" s="35"/>
      <c r="BV350" s="35"/>
      <c r="BW350" s="35"/>
      <c r="BX350" s="35"/>
      <c r="BY350" s="35"/>
      <c r="BZ350" s="35"/>
      <c r="CA350" s="35"/>
      <c r="CB350" s="35"/>
      <c r="CC350" s="35"/>
      <c r="CD350" s="35"/>
      <c r="CE350" s="35"/>
      <c r="CF350" s="35"/>
      <c r="CG350" s="35"/>
      <c r="CH350" s="35"/>
      <c r="CI350" s="35"/>
      <c r="CJ350" s="35"/>
      <c r="CK350" s="35"/>
      <c r="CL350" s="35"/>
      <c r="CM350" s="35"/>
      <c r="CN350" s="35"/>
      <c r="CO350" s="35"/>
      <c r="CP350" s="35"/>
      <c r="CQ350" s="35"/>
      <c r="CR350" s="35"/>
      <c r="CS350" s="35"/>
      <c r="CT350" s="35"/>
      <c r="CU350" s="35"/>
      <c r="CV350" s="35"/>
      <c r="CW350" s="35"/>
      <c r="CX350" s="35"/>
      <c r="CY350" s="35"/>
      <c r="CZ350" s="35"/>
      <c r="DA350" s="35"/>
      <c r="DB350" s="35"/>
      <c r="DC350" s="35"/>
      <c r="DD350" s="35"/>
      <c r="DE350" s="35"/>
      <c r="DF350" s="35"/>
      <c r="DG350" s="35"/>
      <c r="DH350" s="35"/>
      <c r="DI350" s="35"/>
      <c r="DJ350" s="35"/>
      <c r="DK350" s="35"/>
      <c r="DL350" s="35"/>
      <c r="DM350" s="35"/>
      <c r="DN350" s="35"/>
      <c r="DO350" s="35"/>
      <c r="DP350" s="35"/>
      <c r="DQ350" s="35"/>
      <c r="DR350" s="35"/>
      <c r="DS350" s="35"/>
      <c r="DT350" s="35"/>
      <c r="DU350" s="35"/>
      <c r="DV350" s="35"/>
      <c r="DW350" s="35"/>
      <c r="DX350" s="35"/>
      <c r="DY350" s="35"/>
      <c r="DZ350" s="35"/>
      <c r="EA350" s="35"/>
      <c r="EB350" s="35"/>
      <c r="EC350" s="35"/>
      <c r="ED350" s="35"/>
      <c r="EE350" s="35"/>
      <c r="EF350" s="35"/>
      <c r="EG350" s="35"/>
      <c r="EH350" s="35"/>
      <c r="EI350" s="35"/>
      <c r="EJ350" s="35"/>
      <c r="EK350" s="35"/>
      <c r="EL350" s="35"/>
      <c r="EM350" s="35"/>
      <c r="EN350" s="35"/>
      <c r="EO350" s="35"/>
      <c r="EP350" s="35"/>
      <c r="EQ350" s="35"/>
      <c r="ER350" s="35"/>
      <c r="ES350" s="35"/>
      <c r="ET350" s="35"/>
      <c r="EU350" s="35"/>
      <c r="EV350" s="35"/>
      <c r="EW350" s="35"/>
      <c r="EX350" s="35"/>
      <c r="EY350" s="35"/>
      <c r="EZ350" s="35"/>
      <c r="FA350" s="35"/>
      <c r="FB350" s="35"/>
      <c r="FC350" s="35"/>
      <c r="FD350" s="35"/>
      <c r="FE350" s="35"/>
      <c r="FF350" s="35"/>
      <c r="FG350" s="35"/>
      <c r="FH350" s="35"/>
      <c r="FI350" s="35"/>
      <c r="FJ350" s="35"/>
      <c r="FK350" s="35"/>
      <c r="FL350" s="35"/>
      <c r="FM350" s="35"/>
      <c r="FN350" s="35"/>
      <c r="FO350" s="35"/>
      <c r="FP350" s="35"/>
      <c r="FQ350" s="35"/>
      <c r="FR350" s="35"/>
      <c r="FS350" s="35"/>
      <c r="FT350" s="35"/>
      <c r="FU350" s="35"/>
      <c r="FV350" s="35"/>
      <c r="FW350" s="35"/>
      <c r="FX350" s="35"/>
      <c r="FY350" s="35"/>
      <c r="FZ350" s="35"/>
      <c r="GA350" s="35"/>
      <c r="GB350" s="35"/>
      <c r="GC350" s="35"/>
      <c r="GD350" s="35"/>
      <c r="GE350" s="35"/>
      <c r="GF350" s="35"/>
      <c r="GG350" s="35"/>
      <c r="GH350" s="35"/>
      <c r="GI350" s="35"/>
      <c r="GJ350" s="35"/>
      <c r="GK350" s="35"/>
      <c r="GL350" s="35"/>
      <c r="GM350" s="35"/>
      <c r="GN350" s="35"/>
      <c r="GO350" s="35"/>
      <c r="GP350" s="35"/>
      <c r="GQ350" s="35"/>
      <c r="GR350" s="35"/>
      <c r="GS350" s="35"/>
      <c r="GT350" s="35"/>
      <c r="GU350" s="35"/>
      <c r="GV350" s="35"/>
      <c r="GW350" s="35"/>
      <c r="GX350" s="35"/>
      <c r="GY350" s="35"/>
      <c r="GZ350" s="35"/>
      <c r="HA350" s="35"/>
      <c r="HB350" s="35"/>
      <c r="HC350" s="35"/>
      <c r="HD350" s="35"/>
      <c r="HE350" s="35"/>
      <c r="HF350" s="35"/>
      <c r="HG350" s="35"/>
      <c r="HH350" s="35"/>
      <c r="HI350" s="35"/>
      <c r="HJ350" s="35"/>
      <c r="HK350" s="35"/>
      <c r="HL350" s="35"/>
      <c r="HM350" s="35"/>
      <c r="HN350" s="35"/>
      <c r="HO350" s="35"/>
      <c r="HP350" s="35"/>
      <c r="HQ350" s="35"/>
      <c r="HR350" s="35"/>
      <c r="HS350" s="35"/>
      <c r="HT350" s="35"/>
      <c r="HU350" s="35"/>
      <c r="HV350" s="35"/>
      <c r="HW350" s="35"/>
      <c r="HX350" s="35"/>
      <c r="HY350" s="35"/>
      <c r="HZ350" s="35"/>
      <c r="IA350" s="35"/>
      <c r="IB350" s="35"/>
      <c r="IC350" s="35"/>
      <c r="ID350" s="35"/>
      <c r="IE350" s="35"/>
      <c r="IF350" s="35"/>
      <c r="IG350" s="35"/>
      <c r="IH350" s="35"/>
      <c r="II350" s="35"/>
      <c r="IJ350" s="35"/>
      <c r="IK350" s="35"/>
      <c r="IL350" s="35"/>
      <c r="IM350" s="35"/>
      <c r="IN350" s="35"/>
      <c r="IO350" s="35"/>
      <c r="IP350" s="35"/>
      <c r="IQ350" s="35"/>
      <c r="IR350" s="35"/>
      <c r="IS350" s="35"/>
      <c r="IT350" s="35"/>
      <c r="IU350" s="35"/>
      <c r="IV350" s="35"/>
      <c r="IW350" s="35"/>
      <c r="IX350" s="35"/>
      <c r="IY350" s="35"/>
      <c r="IZ350" s="35"/>
      <c r="JA350" s="35"/>
      <c r="JB350" s="35"/>
      <c r="JC350" s="35"/>
      <c r="JD350" s="35"/>
      <c r="JE350" s="35"/>
      <c r="JF350" s="35"/>
      <c r="JG350" s="35"/>
      <c r="JH350" s="35"/>
      <c r="JI350" s="35"/>
      <c r="JJ350" s="35"/>
      <c r="JK350" s="35"/>
      <c r="JL350" s="35"/>
      <c r="JM350" s="35"/>
      <c r="JN350" s="35"/>
      <c r="JO350" s="35"/>
      <c r="JP350" s="35"/>
      <c r="JQ350" s="35"/>
      <c r="JR350" s="35"/>
      <c r="JS350" s="35"/>
      <c r="JT350" s="35"/>
      <c r="JU350" s="35"/>
      <c r="JV350" s="35"/>
      <c r="JW350" s="35"/>
      <c r="JX350" s="35"/>
      <c r="JY350" s="35"/>
      <c r="JZ350" s="35"/>
      <c r="KA350" s="35"/>
      <c r="KB350" s="35"/>
      <c r="KC350" s="35"/>
      <c r="KD350" s="35"/>
      <c r="KE350" s="35"/>
      <c r="KF350" s="35"/>
      <c r="KG350" s="35"/>
      <c r="KH350" s="35"/>
      <c r="KI350" s="35"/>
      <c r="KJ350" s="35"/>
      <c r="KK350" s="35"/>
      <c r="KL350" s="35"/>
      <c r="KM350" s="35"/>
      <c r="KN350" s="35"/>
      <c r="KO350" s="35"/>
      <c r="KP350" s="35"/>
      <c r="KQ350" s="35"/>
      <c r="KR350" s="35"/>
      <c r="KS350" s="35"/>
      <c r="KT350" s="35"/>
      <c r="KU350" s="35"/>
      <c r="KV350" s="35"/>
      <c r="KW350" s="35"/>
      <c r="KX350" s="35"/>
      <c r="KY350" s="35"/>
      <c r="KZ350" s="35"/>
      <c r="LA350" s="35"/>
      <c r="LB350" s="35"/>
      <c r="LC350" s="35"/>
      <c r="LD350" s="35"/>
      <c r="LE350" s="35"/>
      <c r="LF350" s="35"/>
      <c r="LG350" s="35"/>
      <c r="LH350" s="35"/>
      <c r="LI350" s="35"/>
      <c r="LJ350" s="35"/>
      <c r="LK350" s="35"/>
      <c r="LL350" s="35"/>
      <c r="LM350" s="35"/>
      <c r="LN350" s="35"/>
      <c r="LO350" s="35"/>
      <c r="LP350" s="35"/>
      <c r="LQ350" s="35"/>
      <c r="LR350" s="35"/>
      <c r="LS350" s="35"/>
      <c r="LT350" s="35"/>
      <c r="LU350" s="35"/>
      <c r="LV350" s="35"/>
      <c r="LW350" s="35"/>
      <c r="LX350" s="35"/>
      <c r="LY350" s="35"/>
      <c r="LZ350" s="35"/>
      <c r="MA350" s="35"/>
      <c r="MB350" s="35"/>
      <c r="MC350" s="35"/>
      <c r="MD350" s="35"/>
      <c r="ME350" s="35"/>
      <c r="MF350" s="35"/>
      <c r="MG350" s="35"/>
    </row>
    <row r="351" spans="1:345" s="67" customFormat="1" ht="36" hidden="1" customHeight="1" x14ac:dyDescent="0.25">
      <c r="A351" s="113"/>
      <c r="B351" s="28" t="s">
        <v>330</v>
      </c>
      <c r="C351" s="21" t="s">
        <v>4502</v>
      </c>
      <c r="D351" s="19" t="s">
        <v>4503</v>
      </c>
      <c r="E351" s="18">
        <v>44074.706585648149</v>
      </c>
      <c r="F351" s="27"/>
      <c r="G351" s="34"/>
      <c r="H351" s="25"/>
      <c r="I351" s="62" t="s">
        <v>206</v>
      </c>
      <c r="J351" s="34"/>
      <c r="K351" s="22"/>
      <c r="L351" s="23">
        <v>44076</v>
      </c>
      <c r="M351" s="23"/>
      <c r="N351" s="26" t="s">
        <v>4511</v>
      </c>
      <c r="O351" s="26" t="s">
        <v>4499</v>
      </c>
      <c r="P351" s="35"/>
      <c r="Q351" s="35"/>
      <c r="R351" s="20"/>
      <c r="S351" s="35"/>
      <c r="T351" s="35"/>
      <c r="U351" s="35"/>
      <c r="V351" s="35"/>
      <c r="W351" s="35"/>
      <c r="X351" s="35"/>
      <c r="Y351" s="35"/>
      <c r="Z351" s="35"/>
      <c r="AA351" s="35"/>
      <c r="AB351" s="35"/>
      <c r="AC351" s="35"/>
      <c r="AD351" s="35"/>
      <c r="AE351" s="35"/>
      <c r="AF351" s="35"/>
      <c r="AG351" s="35"/>
      <c r="AH351" s="35"/>
      <c r="AI351" s="35"/>
      <c r="AJ351" s="35"/>
      <c r="AK351" s="35"/>
      <c r="AL351" s="35"/>
      <c r="AM351" s="35"/>
      <c r="AN351" s="35"/>
      <c r="AO351" s="35"/>
      <c r="AP351" s="35"/>
      <c r="AQ351" s="35"/>
      <c r="AR351" s="35"/>
      <c r="AS351" s="35"/>
      <c r="AT351" s="35"/>
      <c r="AU351" s="35"/>
      <c r="AV351" s="35"/>
      <c r="AW351" s="35"/>
      <c r="AX351" s="35"/>
      <c r="AY351" s="35"/>
      <c r="AZ351" s="35"/>
      <c r="BA351" s="35"/>
      <c r="BB351" s="35"/>
      <c r="BC351" s="35"/>
      <c r="BD351" s="35"/>
      <c r="BE351" s="35"/>
      <c r="BF351" s="35"/>
      <c r="BG351" s="35"/>
      <c r="BH351" s="35"/>
      <c r="BI351" s="35"/>
      <c r="BJ351" s="35"/>
      <c r="BK351" s="35"/>
      <c r="BL351" s="35"/>
      <c r="BM351" s="35"/>
      <c r="BN351" s="35"/>
      <c r="BO351" s="35"/>
      <c r="BP351" s="35"/>
      <c r="BQ351" s="35"/>
      <c r="BR351" s="35"/>
      <c r="BS351" s="35"/>
      <c r="BT351" s="35"/>
      <c r="BU351" s="35"/>
      <c r="BV351" s="35"/>
      <c r="BW351" s="35"/>
      <c r="BX351" s="35"/>
      <c r="BY351" s="35"/>
      <c r="BZ351" s="35"/>
      <c r="CA351" s="35"/>
      <c r="CB351" s="35"/>
      <c r="CC351" s="35"/>
      <c r="CD351" s="35"/>
      <c r="CE351" s="35"/>
      <c r="CF351" s="35"/>
      <c r="CG351" s="35"/>
      <c r="CH351" s="35"/>
      <c r="CI351" s="35"/>
      <c r="CJ351" s="35"/>
      <c r="CK351" s="35"/>
      <c r="CL351" s="35"/>
      <c r="CM351" s="35"/>
      <c r="CN351" s="35"/>
      <c r="CO351" s="35"/>
      <c r="CP351" s="35"/>
      <c r="CQ351" s="35"/>
      <c r="CR351" s="35"/>
      <c r="CS351" s="35"/>
      <c r="CT351" s="35"/>
      <c r="CU351" s="35"/>
      <c r="CV351" s="35"/>
      <c r="CW351" s="35"/>
      <c r="CX351" s="35"/>
      <c r="CY351" s="35"/>
      <c r="CZ351" s="35"/>
      <c r="DA351" s="35"/>
      <c r="DB351" s="35"/>
      <c r="DC351" s="35"/>
      <c r="DD351" s="35"/>
      <c r="DE351" s="35"/>
      <c r="DF351" s="35"/>
      <c r="DG351" s="35"/>
      <c r="DH351" s="35"/>
      <c r="DI351" s="35"/>
      <c r="DJ351" s="35"/>
      <c r="DK351" s="35"/>
      <c r="DL351" s="35"/>
      <c r="DM351" s="35"/>
      <c r="DN351" s="35"/>
      <c r="DO351" s="35"/>
      <c r="DP351" s="35"/>
      <c r="DQ351" s="35"/>
      <c r="DR351" s="35"/>
      <c r="DS351" s="35"/>
      <c r="DT351" s="35"/>
      <c r="DU351" s="35"/>
      <c r="DV351" s="35"/>
      <c r="DW351" s="35"/>
      <c r="DX351" s="35"/>
      <c r="DY351" s="35"/>
      <c r="DZ351" s="35"/>
      <c r="EA351" s="35"/>
      <c r="EB351" s="35"/>
      <c r="EC351" s="35"/>
      <c r="ED351" s="35"/>
      <c r="EE351" s="35"/>
      <c r="EF351" s="35"/>
      <c r="EG351" s="35"/>
      <c r="EH351" s="35"/>
      <c r="EI351" s="35"/>
      <c r="EJ351" s="35"/>
      <c r="EK351" s="35"/>
      <c r="EL351" s="35"/>
      <c r="EM351" s="35"/>
      <c r="EN351" s="35"/>
      <c r="EO351" s="35"/>
      <c r="EP351" s="35"/>
      <c r="EQ351" s="35"/>
      <c r="ER351" s="35"/>
      <c r="ES351" s="35"/>
      <c r="ET351" s="35"/>
      <c r="EU351" s="35"/>
      <c r="EV351" s="35"/>
      <c r="EW351" s="35"/>
      <c r="EX351" s="35"/>
      <c r="EY351" s="35"/>
      <c r="EZ351" s="35"/>
      <c r="FA351" s="35"/>
      <c r="FB351" s="35"/>
      <c r="FC351" s="35"/>
      <c r="FD351" s="35"/>
      <c r="FE351" s="35"/>
      <c r="FF351" s="35"/>
      <c r="FG351" s="35"/>
      <c r="FH351" s="35"/>
      <c r="FI351" s="35"/>
      <c r="FJ351" s="35"/>
      <c r="FK351" s="35"/>
      <c r="FL351" s="35"/>
      <c r="FM351" s="35"/>
      <c r="FN351" s="35"/>
      <c r="FO351" s="35"/>
      <c r="FP351" s="35"/>
      <c r="FQ351" s="35"/>
      <c r="FR351" s="35"/>
      <c r="FS351" s="35"/>
      <c r="FT351" s="35"/>
      <c r="FU351" s="35"/>
      <c r="FV351" s="35"/>
      <c r="FW351" s="35"/>
      <c r="FX351" s="35"/>
      <c r="FY351" s="35"/>
      <c r="FZ351" s="35"/>
      <c r="GA351" s="35"/>
      <c r="GB351" s="35"/>
      <c r="GC351" s="35"/>
      <c r="GD351" s="35"/>
      <c r="GE351" s="35"/>
      <c r="GF351" s="35"/>
      <c r="GG351" s="35"/>
      <c r="GH351" s="35"/>
      <c r="GI351" s="35"/>
      <c r="GJ351" s="35"/>
      <c r="GK351" s="35"/>
      <c r="GL351" s="35"/>
      <c r="GM351" s="35"/>
      <c r="GN351" s="35"/>
      <c r="GO351" s="35"/>
      <c r="GP351" s="35"/>
      <c r="GQ351" s="35"/>
      <c r="GR351" s="35"/>
      <c r="GS351" s="35"/>
      <c r="GT351" s="35"/>
      <c r="GU351" s="35"/>
      <c r="GV351" s="35"/>
      <c r="GW351" s="35"/>
      <c r="GX351" s="35"/>
      <c r="GY351" s="35"/>
      <c r="GZ351" s="35"/>
      <c r="HA351" s="35"/>
      <c r="HB351" s="35"/>
      <c r="HC351" s="35"/>
      <c r="HD351" s="35"/>
      <c r="HE351" s="35"/>
      <c r="HF351" s="35"/>
      <c r="HG351" s="35"/>
      <c r="HH351" s="35"/>
      <c r="HI351" s="35"/>
      <c r="HJ351" s="35"/>
      <c r="HK351" s="35"/>
      <c r="HL351" s="35"/>
      <c r="HM351" s="35"/>
      <c r="HN351" s="35"/>
      <c r="HO351" s="35"/>
      <c r="HP351" s="35"/>
      <c r="HQ351" s="35"/>
      <c r="HR351" s="35"/>
      <c r="HS351" s="35"/>
      <c r="HT351" s="35"/>
      <c r="HU351" s="35"/>
      <c r="HV351" s="35"/>
      <c r="HW351" s="35"/>
      <c r="HX351" s="35"/>
      <c r="HY351" s="35"/>
      <c r="HZ351" s="35"/>
      <c r="IA351" s="35"/>
      <c r="IB351" s="35"/>
      <c r="IC351" s="35"/>
      <c r="ID351" s="35"/>
      <c r="IE351" s="35"/>
      <c r="IF351" s="35"/>
      <c r="IG351" s="35"/>
      <c r="IH351" s="35"/>
      <c r="II351" s="35"/>
      <c r="IJ351" s="35"/>
      <c r="IK351" s="35"/>
      <c r="IL351" s="35"/>
      <c r="IM351" s="35"/>
      <c r="IN351" s="35"/>
      <c r="IO351" s="35"/>
      <c r="IP351" s="35"/>
      <c r="IQ351" s="35"/>
      <c r="IR351" s="35"/>
      <c r="IS351" s="35"/>
      <c r="IT351" s="35"/>
      <c r="IU351" s="35"/>
      <c r="IV351" s="35"/>
      <c r="IW351" s="35"/>
      <c r="IX351" s="35"/>
      <c r="IY351" s="35"/>
      <c r="IZ351" s="35"/>
      <c r="JA351" s="35"/>
      <c r="JB351" s="35"/>
      <c r="JC351" s="35"/>
      <c r="JD351" s="35"/>
      <c r="JE351" s="35"/>
      <c r="JF351" s="35"/>
      <c r="JG351" s="35"/>
      <c r="JH351" s="35"/>
      <c r="JI351" s="35"/>
      <c r="JJ351" s="35"/>
      <c r="JK351" s="35"/>
      <c r="JL351" s="35"/>
      <c r="JM351" s="35"/>
      <c r="JN351" s="35"/>
      <c r="JO351" s="35"/>
      <c r="JP351" s="35"/>
      <c r="JQ351" s="35"/>
      <c r="JR351" s="35"/>
      <c r="JS351" s="35"/>
      <c r="JT351" s="35"/>
      <c r="JU351" s="35"/>
      <c r="JV351" s="35"/>
      <c r="JW351" s="35"/>
      <c r="JX351" s="35"/>
      <c r="JY351" s="35"/>
      <c r="JZ351" s="35"/>
      <c r="KA351" s="35"/>
      <c r="KB351" s="35"/>
      <c r="KC351" s="35"/>
      <c r="KD351" s="35"/>
      <c r="KE351" s="35"/>
      <c r="KF351" s="35"/>
      <c r="KG351" s="35"/>
      <c r="KH351" s="35"/>
      <c r="KI351" s="35"/>
      <c r="KJ351" s="35"/>
      <c r="KK351" s="35"/>
      <c r="KL351" s="35"/>
      <c r="KM351" s="35"/>
      <c r="KN351" s="35"/>
      <c r="KO351" s="35"/>
      <c r="KP351" s="35"/>
      <c r="KQ351" s="35"/>
      <c r="KR351" s="35"/>
      <c r="KS351" s="35"/>
      <c r="KT351" s="35"/>
      <c r="KU351" s="35"/>
      <c r="KV351" s="35"/>
      <c r="KW351" s="35"/>
      <c r="KX351" s="35"/>
      <c r="KY351" s="35"/>
      <c r="KZ351" s="35"/>
      <c r="LA351" s="35"/>
      <c r="LB351" s="35"/>
      <c r="LC351" s="35"/>
      <c r="LD351" s="35"/>
      <c r="LE351" s="35"/>
      <c r="LF351" s="35"/>
      <c r="LG351" s="35"/>
      <c r="LH351" s="35"/>
      <c r="LI351" s="35"/>
      <c r="LJ351" s="35"/>
      <c r="LK351" s="35"/>
      <c r="LL351" s="35"/>
      <c r="LM351" s="35"/>
      <c r="LN351" s="35"/>
      <c r="LO351" s="35"/>
      <c r="LP351" s="35"/>
      <c r="LQ351" s="35"/>
      <c r="LR351" s="35"/>
      <c r="LS351" s="35"/>
      <c r="LT351" s="35"/>
      <c r="LU351" s="35"/>
      <c r="LV351" s="35"/>
      <c r="LW351" s="35"/>
      <c r="LX351" s="35"/>
      <c r="LY351" s="35"/>
      <c r="LZ351" s="35"/>
      <c r="MA351" s="35"/>
      <c r="MB351" s="35"/>
      <c r="MC351" s="35"/>
      <c r="MD351" s="35"/>
      <c r="ME351" s="35"/>
      <c r="MF351" s="35"/>
      <c r="MG351" s="35"/>
    </row>
    <row r="352" spans="1:345" s="67" customFormat="1" ht="36" hidden="1" customHeight="1" x14ac:dyDescent="0.25">
      <c r="A352" s="113"/>
      <c r="B352" s="28" t="s">
        <v>229</v>
      </c>
      <c r="C352" s="21" t="s">
        <v>40</v>
      </c>
      <c r="D352" s="19" t="s">
        <v>4504</v>
      </c>
      <c r="E352" s="18">
        <v>44075.247557870367</v>
      </c>
      <c r="F352" s="27"/>
      <c r="G352" s="34"/>
      <c r="H352" s="25"/>
      <c r="I352" s="62" t="s">
        <v>206</v>
      </c>
      <c r="J352" s="34"/>
      <c r="K352" s="22"/>
      <c r="L352" s="23">
        <v>44076</v>
      </c>
      <c r="M352" s="23" t="s">
        <v>4443</v>
      </c>
      <c r="N352" s="26" t="s">
        <v>4505</v>
      </c>
      <c r="O352" s="26"/>
      <c r="P352" s="35"/>
      <c r="Q352" s="35"/>
      <c r="R352" s="20"/>
      <c r="S352" s="35"/>
      <c r="T352" s="35"/>
      <c r="U352" s="35"/>
      <c r="V352" s="35"/>
      <c r="W352" s="35"/>
      <c r="X352" s="35"/>
      <c r="Y352" s="35"/>
      <c r="Z352" s="35"/>
      <c r="AA352" s="35"/>
      <c r="AB352" s="35"/>
      <c r="AC352" s="35"/>
      <c r="AD352" s="35"/>
      <c r="AE352" s="35"/>
      <c r="AF352" s="35"/>
      <c r="AG352" s="35"/>
      <c r="AH352" s="35"/>
      <c r="AI352" s="35"/>
      <c r="AJ352" s="35"/>
      <c r="AK352" s="35"/>
      <c r="AL352" s="35"/>
      <c r="AM352" s="35"/>
      <c r="AN352" s="35"/>
      <c r="AO352" s="35"/>
      <c r="AP352" s="35"/>
      <c r="AQ352" s="35"/>
      <c r="AR352" s="35"/>
      <c r="AS352" s="35"/>
      <c r="AT352" s="35"/>
      <c r="AU352" s="35"/>
      <c r="AV352" s="35"/>
      <c r="AW352" s="35"/>
      <c r="AX352" s="35"/>
      <c r="AY352" s="35"/>
      <c r="AZ352" s="35"/>
      <c r="BA352" s="35"/>
      <c r="BB352" s="35"/>
      <c r="BC352" s="35"/>
      <c r="BD352" s="35"/>
      <c r="BE352" s="35"/>
      <c r="BF352" s="35"/>
      <c r="BG352" s="35"/>
      <c r="BH352" s="35"/>
      <c r="BI352" s="35"/>
      <c r="BJ352" s="35"/>
      <c r="BK352" s="35"/>
      <c r="BL352" s="35"/>
      <c r="BM352" s="35"/>
      <c r="BN352" s="35"/>
      <c r="BO352" s="35"/>
      <c r="BP352" s="35"/>
      <c r="BQ352" s="35"/>
      <c r="BR352" s="35"/>
      <c r="BS352" s="35"/>
      <c r="BT352" s="35"/>
      <c r="BU352" s="35"/>
      <c r="BV352" s="35"/>
      <c r="BW352" s="35"/>
      <c r="BX352" s="35"/>
      <c r="BY352" s="35"/>
      <c r="BZ352" s="35"/>
      <c r="CA352" s="35"/>
      <c r="CB352" s="35"/>
      <c r="CC352" s="35"/>
      <c r="CD352" s="35"/>
      <c r="CE352" s="35"/>
      <c r="CF352" s="35"/>
      <c r="CG352" s="35"/>
      <c r="CH352" s="35"/>
      <c r="CI352" s="35"/>
      <c r="CJ352" s="35"/>
      <c r="CK352" s="35"/>
      <c r="CL352" s="35"/>
      <c r="CM352" s="35"/>
      <c r="CN352" s="35"/>
      <c r="CO352" s="35"/>
      <c r="CP352" s="35"/>
      <c r="CQ352" s="35"/>
      <c r="CR352" s="35"/>
      <c r="CS352" s="35"/>
      <c r="CT352" s="35"/>
      <c r="CU352" s="35"/>
      <c r="CV352" s="35"/>
      <c r="CW352" s="35"/>
      <c r="CX352" s="35"/>
      <c r="CY352" s="35"/>
      <c r="CZ352" s="35"/>
      <c r="DA352" s="35"/>
      <c r="DB352" s="35"/>
      <c r="DC352" s="35"/>
      <c r="DD352" s="35"/>
      <c r="DE352" s="35"/>
      <c r="DF352" s="35"/>
      <c r="DG352" s="35"/>
      <c r="DH352" s="35"/>
      <c r="DI352" s="35"/>
      <c r="DJ352" s="35"/>
      <c r="DK352" s="35"/>
      <c r="DL352" s="35"/>
      <c r="DM352" s="35"/>
      <c r="DN352" s="35"/>
      <c r="DO352" s="35"/>
      <c r="DP352" s="35"/>
      <c r="DQ352" s="35"/>
      <c r="DR352" s="35"/>
      <c r="DS352" s="35"/>
      <c r="DT352" s="35"/>
      <c r="DU352" s="35"/>
      <c r="DV352" s="35"/>
      <c r="DW352" s="35"/>
      <c r="DX352" s="35"/>
      <c r="DY352" s="35"/>
      <c r="DZ352" s="35"/>
      <c r="EA352" s="35"/>
      <c r="EB352" s="35"/>
      <c r="EC352" s="35"/>
      <c r="ED352" s="35"/>
      <c r="EE352" s="35"/>
      <c r="EF352" s="35"/>
      <c r="EG352" s="35"/>
      <c r="EH352" s="35"/>
      <c r="EI352" s="35"/>
      <c r="EJ352" s="35"/>
      <c r="EK352" s="35"/>
      <c r="EL352" s="35"/>
      <c r="EM352" s="35"/>
      <c r="EN352" s="35"/>
      <c r="EO352" s="35"/>
      <c r="EP352" s="35"/>
      <c r="EQ352" s="35"/>
      <c r="ER352" s="35"/>
      <c r="ES352" s="35"/>
      <c r="ET352" s="35"/>
      <c r="EU352" s="35"/>
      <c r="EV352" s="35"/>
      <c r="EW352" s="35"/>
      <c r="EX352" s="35"/>
      <c r="EY352" s="35"/>
      <c r="EZ352" s="35"/>
      <c r="FA352" s="35"/>
      <c r="FB352" s="35"/>
      <c r="FC352" s="35"/>
      <c r="FD352" s="35"/>
      <c r="FE352" s="35"/>
      <c r="FF352" s="35"/>
      <c r="FG352" s="35"/>
      <c r="FH352" s="35"/>
      <c r="FI352" s="35"/>
      <c r="FJ352" s="35"/>
      <c r="FK352" s="35"/>
      <c r="FL352" s="35"/>
      <c r="FM352" s="35"/>
      <c r="FN352" s="35"/>
      <c r="FO352" s="35"/>
      <c r="FP352" s="35"/>
      <c r="FQ352" s="35"/>
      <c r="FR352" s="35"/>
      <c r="FS352" s="35"/>
      <c r="FT352" s="35"/>
      <c r="FU352" s="35"/>
      <c r="FV352" s="35"/>
      <c r="FW352" s="35"/>
      <c r="FX352" s="35"/>
      <c r="FY352" s="35"/>
      <c r="FZ352" s="35"/>
      <c r="GA352" s="35"/>
      <c r="GB352" s="35"/>
      <c r="GC352" s="35"/>
      <c r="GD352" s="35"/>
      <c r="GE352" s="35"/>
      <c r="GF352" s="35"/>
      <c r="GG352" s="35"/>
      <c r="GH352" s="35"/>
      <c r="GI352" s="35"/>
      <c r="GJ352" s="35"/>
      <c r="GK352" s="35"/>
      <c r="GL352" s="35"/>
      <c r="GM352" s="35"/>
      <c r="GN352" s="35"/>
      <c r="GO352" s="35"/>
      <c r="GP352" s="35"/>
      <c r="GQ352" s="35"/>
      <c r="GR352" s="35"/>
      <c r="GS352" s="35"/>
      <c r="GT352" s="35"/>
      <c r="GU352" s="35"/>
      <c r="GV352" s="35"/>
      <c r="GW352" s="35"/>
      <c r="GX352" s="35"/>
      <c r="GY352" s="35"/>
      <c r="GZ352" s="35"/>
      <c r="HA352" s="35"/>
      <c r="HB352" s="35"/>
      <c r="HC352" s="35"/>
      <c r="HD352" s="35"/>
      <c r="HE352" s="35"/>
      <c r="HF352" s="35"/>
      <c r="HG352" s="35"/>
      <c r="HH352" s="35"/>
      <c r="HI352" s="35"/>
      <c r="HJ352" s="35"/>
      <c r="HK352" s="35"/>
      <c r="HL352" s="35"/>
      <c r="HM352" s="35"/>
      <c r="HN352" s="35"/>
      <c r="HO352" s="35"/>
      <c r="HP352" s="35"/>
      <c r="HQ352" s="35"/>
      <c r="HR352" s="35"/>
      <c r="HS352" s="35"/>
      <c r="HT352" s="35"/>
      <c r="HU352" s="35"/>
      <c r="HV352" s="35"/>
      <c r="HW352" s="35"/>
      <c r="HX352" s="35"/>
      <c r="HY352" s="35"/>
      <c r="HZ352" s="35"/>
      <c r="IA352" s="35"/>
      <c r="IB352" s="35"/>
      <c r="IC352" s="35"/>
      <c r="ID352" s="35"/>
      <c r="IE352" s="35"/>
      <c r="IF352" s="35"/>
      <c r="IG352" s="35"/>
      <c r="IH352" s="35"/>
      <c r="II352" s="35"/>
      <c r="IJ352" s="35"/>
      <c r="IK352" s="35"/>
      <c r="IL352" s="35"/>
      <c r="IM352" s="35"/>
      <c r="IN352" s="35"/>
      <c r="IO352" s="35"/>
      <c r="IP352" s="35"/>
      <c r="IQ352" s="35"/>
      <c r="IR352" s="35"/>
      <c r="IS352" s="35"/>
      <c r="IT352" s="35"/>
      <c r="IU352" s="35"/>
      <c r="IV352" s="35"/>
      <c r="IW352" s="35"/>
      <c r="IX352" s="35"/>
      <c r="IY352" s="35"/>
      <c r="IZ352" s="35"/>
      <c r="JA352" s="35"/>
      <c r="JB352" s="35"/>
      <c r="JC352" s="35"/>
      <c r="JD352" s="35"/>
      <c r="JE352" s="35"/>
      <c r="JF352" s="35"/>
      <c r="JG352" s="35"/>
      <c r="JH352" s="35"/>
      <c r="JI352" s="35"/>
      <c r="JJ352" s="35"/>
      <c r="JK352" s="35"/>
      <c r="JL352" s="35"/>
      <c r="JM352" s="35"/>
      <c r="JN352" s="35"/>
      <c r="JO352" s="35"/>
      <c r="JP352" s="35"/>
      <c r="JQ352" s="35"/>
      <c r="JR352" s="35"/>
      <c r="JS352" s="35"/>
      <c r="JT352" s="35"/>
      <c r="JU352" s="35"/>
      <c r="JV352" s="35"/>
      <c r="JW352" s="35"/>
      <c r="JX352" s="35"/>
      <c r="JY352" s="35"/>
      <c r="JZ352" s="35"/>
      <c r="KA352" s="35"/>
      <c r="KB352" s="35"/>
      <c r="KC352" s="35"/>
      <c r="KD352" s="35"/>
      <c r="KE352" s="35"/>
      <c r="KF352" s="35"/>
      <c r="KG352" s="35"/>
      <c r="KH352" s="35"/>
      <c r="KI352" s="35"/>
      <c r="KJ352" s="35"/>
      <c r="KK352" s="35"/>
      <c r="KL352" s="35"/>
      <c r="KM352" s="35"/>
      <c r="KN352" s="35"/>
      <c r="KO352" s="35"/>
      <c r="KP352" s="35"/>
      <c r="KQ352" s="35"/>
      <c r="KR352" s="35"/>
      <c r="KS352" s="35"/>
      <c r="KT352" s="35"/>
      <c r="KU352" s="35"/>
      <c r="KV352" s="35"/>
      <c r="KW352" s="35"/>
      <c r="KX352" s="35"/>
      <c r="KY352" s="35"/>
      <c r="KZ352" s="35"/>
      <c r="LA352" s="35"/>
      <c r="LB352" s="35"/>
      <c r="LC352" s="35"/>
      <c r="LD352" s="35"/>
      <c r="LE352" s="35"/>
      <c r="LF352" s="35"/>
      <c r="LG352" s="35"/>
      <c r="LH352" s="35"/>
      <c r="LI352" s="35"/>
      <c r="LJ352" s="35"/>
      <c r="LK352" s="35"/>
      <c r="LL352" s="35"/>
      <c r="LM352" s="35"/>
      <c r="LN352" s="35"/>
      <c r="LO352" s="35"/>
      <c r="LP352" s="35"/>
      <c r="LQ352" s="35"/>
      <c r="LR352" s="35"/>
      <c r="LS352" s="35"/>
      <c r="LT352" s="35"/>
      <c r="LU352" s="35"/>
      <c r="LV352" s="35"/>
      <c r="LW352" s="35"/>
      <c r="LX352" s="35"/>
      <c r="LY352" s="35"/>
      <c r="LZ352" s="35"/>
      <c r="MA352" s="35"/>
      <c r="MB352" s="35"/>
      <c r="MC352" s="35"/>
      <c r="MD352" s="35"/>
      <c r="ME352" s="35"/>
      <c r="MF352" s="35"/>
      <c r="MG352" s="35"/>
    </row>
    <row r="353" spans="1:345" s="67" customFormat="1" ht="36" hidden="1" customHeight="1" x14ac:dyDescent="0.25">
      <c r="A353" s="113"/>
      <c r="B353" s="28" t="s">
        <v>4539</v>
      </c>
      <c r="C353" s="21" t="s">
        <v>37</v>
      </c>
      <c r="D353" s="19" t="s">
        <v>4515</v>
      </c>
      <c r="E353" s="18">
        <v>44076</v>
      </c>
      <c r="F353" s="27"/>
      <c r="G353" s="34"/>
      <c r="H353" s="25"/>
      <c r="I353" s="62" t="s">
        <v>206</v>
      </c>
      <c r="J353" s="34"/>
      <c r="K353" s="22"/>
      <c r="L353" s="23">
        <v>44076</v>
      </c>
      <c r="M353" s="23" t="s">
        <v>4443</v>
      </c>
      <c r="N353" s="26" t="s">
        <v>4516</v>
      </c>
      <c r="O353" s="26"/>
      <c r="P353" s="35"/>
      <c r="Q353" s="35"/>
      <c r="R353" s="20"/>
      <c r="S353" s="35"/>
      <c r="T353" s="35"/>
      <c r="U353" s="35"/>
      <c r="V353" s="35"/>
      <c r="W353" s="35"/>
      <c r="X353" s="35"/>
      <c r="Y353" s="35"/>
      <c r="Z353" s="35"/>
      <c r="AA353" s="35"/>
      <c r="AB353" s="35"/>
      <c r="AC353" s="35"/>
      <c r="AD353" s="35"/>
      <c r="AE353" s="35"/>
      <c r="AF353" s="35"/>
      <c r="AG353" s="35"/>
      <c r="AH353" s="35"/>
      <c r="AI353" s="35"/>
      <c r="AJ353" s="35"/>
      <c r="AK353" s="35"/>
      <c r="AL353" s="35"/>
      <c r="AM353" s="35"/>
      <c r="AN353" s="35"/>
      <c r="AO353" s="35"/>
      <c r="AP353" s="35"/>
      <c r="AQ353" s="35"/>
      <c r="AR353" s="35"/>
      <c r="AS353" s="35"/>
      <c r="AT353" s="35"/>
      <c r="AU353" s="35"/>
      <c r="AV353" s="35"/>
      <c r="AW353" s="35"/>
      <c r="AX353" s="35"/>
      <c r="AY353" s="35"/>
      <c r="AZ353" s="35"/>
      <c r="BA353" s="35"/>
      <c r="BB353" s="35"/>
      <c r="BC353" s="35"/>
      <c r="BD353" s="35"/>
      <c r="BE353" s="35"/>
      <c r="BF353" s="35"/>
      <c r="BG353" s="35"/>
      <c r="BH353" s="35"/>
      <c r="BI353" s="35"/>
      <c r="BJ353" s="35"/>
      <c r="BK353" s="35"/>
      <c r="BL353" s="35"/>
      <c r="BM353" s="35"/>
      <c r="BN353" s="35"/>
      <c r="BO353" s="35"/>
      <c r="BP353" s="35"/>
      <c r="BQ353" s="35"/>
      <c r="BR353" s="35"/>
      <c r="BS353" s="35"/>
      <c r="BT353" s="35"/>
      <c r="BU353" s="35"/>
      <c r="BV353" s="35"/>
      <c r="BW353" s="35"/>
      <c r="BX353" s="35"/>
      <c r="BY353" s="35"/>
      <c r="BZ353" s="35"/>
      <c r="CA353" s="35"/>
      <c r="CB353" s="35"/>
      <c r="CC353" s="35"/>
      <c r="CD353" s="35"/>
      <c r="CE353" s="35"/>
      <c r="CF353" s="35"/>
      <c r="CG353" s="35"/>
      <c r="CH353" s="35"/>
      <c r="CI353" s="35"/>
      <c r="CJ353" s="35"/>
      <c r="CK353" s="35"/>
      <c r="CL353" s="35"/>
      <c r="CM353" s="35"/>
      <c r="CN353" s="35"/>
      <c r="CO353" s="35"/>
      <c r="CP353" s="35"/>
      <c r="CQ353" s="35"/>
      <c r="CR353" s="35"/>
      <c r="CS353" s="35"/>
      <c r="CT353" s="35"/>
      <c r="CU353" s="35"/>
      <c r="CV353" s="35"/>
      <c r="CW353" s="35"/>
      <c r="CX353" s="35"/>
      <c r="CY353" s="35"/>
      <c r="CZ353" s="35"/>
      <c r="DA353" s="35"/>
      <c r="DB353" s="35"/>
      <c r="DC353" s="35"/>
      <c r="DD353" s="35"/>
      <c r="DE353" s="35"/>
      <c r="DF353" s="35"/>
      <c r="DG353" s="35"/>
      <c r="DH353" s="35"/>
      <c r="DI353" s="35"/>
      <c r="DJ353" s="35"/>
      <c r="DK353" s="35"/>
      <c r="DL353" s="35"/>
      <c r="DM353" s="35"/>
      <c r="DN353" s="35"/>
      <c r="DO353" s="35"/>
      <c r="DP353" s="35"/>
      <c r="DQ353" s="35"/>
      <c r="DR353" s="35"/>
      <c r="DS353" s="35"/>
      <c r="DT353" s="35"/>
      <c r="DU353" s="35"/>
      <c r="DV353" s="35"/>
      <c r="DW353" s="35"/>
      <c r="DX353" s="35"/>
      <c r="DY353" s="35"/>
      <c r="DZ353" s="35"/>
      <c r="EA353" s="35"/>
      <c r="EB353" s="35"/>
      <c r="EC353" s="35"/>
      <c r="ED353" s="35"/>
      <c r="EE353" s="35"/>
      <c r="EF353" s="35"/>
      <c r="EG353" s="35"/>
      <c r="EH353" s="35"/>
      <c r="EI353" s="35"/>
      <c r="EJ353" s="35"/>
      <c r="EK353" s="35"/>
      <c r="EL353" s="35"/>
      <c r="EM353" s="35"/>
      <c r="EN353" s="35"/>
      <c r="EO353" s="35"/>
      <c r="EP353" s="35"/>
      <c r="EQ353" s="35"/>
      <c r="ER353" s="35"/>
      <c r="ES353" s="35"/>
      <c r="ET353" s="35"/>
      <c r="EU353" s="35"/>
      <c r="EV353" s="35"/>
      <c r="EW353" s="35"/>
      <c r="EX353" s="35"/>
      <c r="EY353" s="35"/>
      <c r="EZ353" s="35"/>
      <c r="FA353" s="35"/>
      <c r="FB353" s="35"/>
      <c r="FC353" s="35"/>
      <c r="FD353" s="35"/>
      <c r="FE353" s="35"/>
      <c r="FF353" s="35"/>
      <c r="FG353" s="35"/>
      <c r="FH353" s="35"/>
      <c r="FI353" s="35"/>
      <c r="FJ353" s="35"/>
      <c r="FK353" s="35"/>
      <c r="FL353" s="35"/>
      <c r="FM353" s="35"/>
      <c r="FN353" s="35"/>
      <c r="FO353" s="35"/>
      <c r="FP353" s="35"/>
      <c r="FQ353" s="35"/>
      <c r="FR353" s="35"/>
      <c r="FS353" s="35"/>
      <c r="FT353" s="35"/>
      <c r="FU353" s="35"/>
      <c r="FV353" s="35"/>
      <c r="FW353" s="35"/>
      <c r="FX353" s="35"/>
      <c r="FY353" s="35"/>
      <c r="FZ353" s="35"/>
      <c r="GA353" s="35"/>
      <c r="GB353" s="35"/>
      <c r="GC353" s="35"/>
      <c r="GD353" s="35"/>
      <c r="GE353" s="35"/>
      <c r="GF353" s="35"/>
      <c r="GG353" s="35"/>
      <c r="GH353" s="35"/>
      <c r="GI353" s="35"/>
      <c r="GJ353" s="35"/>
      <c r="GK353" s="35"/>
      <c r="GL353" s="35"/>
      <c r="GM353" s="35"/>
      <c r="GN353" s="35"/>
      <c r="GO353" s="35"/>
      <c r="GP353" s="35"/>
      <c r="GQ353" s="35"/>
      <c r="GR353" s="35"/>
      <c r="GS353" s="35"/>
      <c r="GT353" s="35"/>
      <c r="GU353" s="35"/>
      <c r="GV353" s="35"/>
      <c r="GW353" s="35"/>
      <c r="GX353" s="35"/>
      <c r="GY353" s="35"/>
      <c r="GZ353" s="35"/>
      <c r="HA353" s="35"/>
      <c r="HB353" s="35"/>
      <c r="HC353" s="35"/>
      <c r="HD353" s="35"/>
      <c r="HE353" s="35"/>
      <c r="HF353" s="35"/>
      <c r="HG353" s="35"/>
      <c r="HH353" s="35"/>
      <c r="HI353" s="35"/>
      <c r="HJ353" s="35"/>
      <c r="HK353" s="35"/>
      <c r="HL353" s="35"/>
      <c r="HM353" s="35"/>
      <c r="HN353" s="35"/>
      <c r="HO353" s="35"/>
      <c r="HP353" s="35"/>
      <c r="HQ353" s="35"/>
      <c r="HR353" s="35"/>
      <c r="HS353" s="35"/>
      <c r="HT353" s="35"/>
      <c r="HU353" s="35"/>
      <c r="HV353" s="35"/>
      <c r="HW353" s="35"/>
      <c r="HX353" s="35"/>
      <c r="HY353" s="35"/>
      <c r="HZ353" s="35"/>
      <c r="IA353" s="35"/>
      <c r="IB353" s="35"/>
      <c r="IC353" s="35"/>
      <c r="ID353" s="35"/>
      <c r="IE353" s="35"/>
      <c r="IF353" s="35"/>
      <c r="IG353" s="35"/>
      <c r="IH353" s="35"/>
      <c r="II353" s="35"/>
      <c r="IJ353" s="35"/>
      <c r="IK353" s="35"/>
      <c r="IL353" s="35"/>
      <c r="IM353" s="35"/>
      <c r="IN353" s="35"/>
      <c r="IO353" s="35"/>
      <c r="IP353" s="35"/>
      <c r="IQ353" s="35"/>
      <c r="IR353" s="35"/>
      <c r="IS353" s="35"/>
      <c r="IT353" s="35"/>
      <c r="IU353" s="35"/>
      <c r="IV353" s="35"/>
      <c r="IW353" s="35"/>
      <c r="IX353" s="35"/>
      <c r="IY353" s="35"/>
      <c r="IZ353" s="35"/>
      <c r="JA353" s="35"/>
      <c r="JB353" s="35"/>
      <c r="JC353" s="35"/>
      <c r="JD353" s="35"/>
      <c r="JE353" s="35"/>
      <c r="JF353" s="35"/>
      <c r="JG353" s="35"/>
      <c r="JH353" s="35"/>
      <c r="JI353" s="35"/>
      <c r="JJ353" s="35"/>
      <c r="JK353" s="35"/>
      <c r="JL353" s="35"/>
      <c r="JM353" s="35"/>
      <c r="JN353" s="35"/>
      <c r="JO353" s="35"/>
      <c r="JP353" s="35"/>
      <c r="JQ353" s="35"/>
      <c r="JR353" s="35"/>
      <c r="JS353" s="35"/>
      <c r="JT353" s="35"/>
      <c r="JU353" s="35"/>
      <c r="JV353" s="35"/>
      <c r="JW353" s="35"/>
      <c r="JX353" s="35"/>
      <c r="JY353" s="35"/>
      <c r="JZ353" s="35"/>
      <c r="KA353" s="35"/>
      <c r="KB353" s="35"/>
      <c r="KC353" s="35"/>
      <c r="KD353" s="35"/>
      <c r="KE353" s="35"/>
      <c r="KF353" s="35"/>
      <c r="KG353" s="35"/>
      <c r="KH353" s="35"/>
      <c r="KI353" s="35"/>
      <c r="KJ353" s="35"/>
      <c r="KK353" s="35"/>
      <c r="KL353" s="35"/>
      <c r="KM353" s="35"/>
      <c r="KN353" s="35"/>
      <c r="KO353" s="35"/>
      <c r="KP353" s="35"/>
      <c r="KQ353" s="35"/>
      <c r="KR353" s="35"/>
      <c r="KS353" s="35"/>
      <c r="KT353" s="35"/>
      <c r="KU353" s="35"/>
      <c r="KV353" s="35"/>
      <c r="KW353" s="35"/>
      <c r="KX353" s="35"/>
      <c r="KY353" s="35"/>
      <c r="KZ353" s="35"/>
      <c r="LA353" s="35"/>
      <c r="LB353" s="35"/>
      <c r="LC353" s="35"/>
      <c r="LD353" s="35"/>
      <c r="LE353" s="35"/>
      <c r="LF353" s="35"/>
      <c r="LG353" s="35"/>
      <c r="LH353" s="35"/>
      <c r="LI353" s="35"/>
      <c r="LJ353" s="35"/>
      <c r="LK353" s="35"/>
      <c r="LL353" s="35"/>
      <c r="LM353" s="35"/>
      <c r="LN353" s="35"/>
      <c r="LO353" s="35"/>
      <c r="LP353" s="35"/>
      <c r="LQ353" s="35"/>
      <c r="LR353" s="35"/>
      <c r="LS353" s="35"/>
      <c r="LT353" s="35"/>
      <c r="LU353" s="35"/>
      <c r="LV353" s="35"/>
      <c r="LW353" s="35"/>
      <c r="LX353" s="35"/>
      <c r="LY353" s="35"/>
      <c r="LZ353" s="35"/>
      <c r="MA353" s="35"/>
      <c r="MB353" s="35"/>
      <c r="MC353" s="35"/>
      <c r="MD353" s="35"/>
      <c r="ME353" s="35"/>
      <c r="MF353" s="35"/>
      <c r="MG353" s="35"/>
    </row>
    <row r="354" spans="1:345" s="67" customFormat="1" ht="36" hidden="1" customHeight="1" x14ac:dyDescent="0.25">
      <c r="A354" s="113"/>
      <c r="B354" s="28" t="s">
        <v>333</v>
      </c>
      <c r="C354" s="21" t="s">
        <v>35</v>
      </c>
      <c r="D354" s="19" t="s">
        <v>4513</v>
      </c>
      <c r="E354" s="18">
        <v>44076</v>
      </c>
      <c r="F354" s="27"/>
      <c r="G354" s="34"/>
      <c r="H354" s="25"/>
      <c r="I354" s="62" t="s">
        <v>206</v>
      </c>
      <c r="J354" s="34"/>
      <c r="K354" s="22"/>
      <c r="L354" s="23">
        <v>44076</v>
      </c>
      <c r="M354" s="23" t="s">
        <v>4443</v>
      </c>
      <c r="N354" s="26" t="s">
        <v>4516</v>
      </c>
      <c r="O354" s="26"/>
      <c r="P354" s="35"/>
      <c r="Q354" s="35"/>
      <c r="R354" s="20"/>
      <c r="S354" s="35"/>
      <c r="T354" s="35"/>
      <c r="U354" s="35"/>
      <c r="V354" s="35"/>
      <c r="W354" s="35"/>
      <c r="X354" s="35"/>
      <c r="Y354" s="35"/>
      <c r="Z354" s="35"/>
      <c r="AA354" s="35"/>
      <c r="AB354" s="35"/>
      <c r="AC354" s="35"/>
      <c r="AD354" s="35"/>
      <c r="AE354" s="35"/>
      <c r="AF354" s="35"/>
      <c r="AG354" s="35"/>
      <c r="AH354" s="35"/>
      <c r="AI354" s="35"/>
      <c r="AJ354" s="35"/>
      <c r="AK354" s="35"/>
      <c r="AL354" s="35"/>
      <c r="AM354" s="35"/>
      <c r="AN354" s="35"/>
      <c r="AO354" s="35"/>
      <c r="AP354" s="35"/>
      <c r="AQ354" s="35"/>
      <c r="AR354" s="35"/>
      <c r="AS354" s="35"/>
      <c r="AT354" s="35"/>
      <c r="AU354" s="35"/>
      <c r="AV354" s="35"/>
      <c r="AW354" s="35"/>
      <c r="AX354" s="35"/>
      <c r="AY354" s="35"/>
      <c r="AZ354" s="35"/>
      <c r="BA354" s="35"/>
      <c r="BB354" s="35"/>
      <c r="BC354" s="35"/>
      <c r="BD354" s="35"/>
      <c r="BE354" s="35"/>
      <c r="BF354" s="35"/>
      <c r="BG354" s="35"/>
      <c r="BH354" s="35"/>
      <c r="BI354" s="35"/>
      <c r="BJ354" s="35"/>
      <c r="BK354" s="35"/>
      <c r="BL354" s="35"/>
      <c r="BM354" s="35"/>
      <c r="BN354" s="35"/>
      <c r="BO354" s="35"/>
      <c r="BP354" s="35"/>
      <c r="BQ354" s="35"/>
      <c r="BR354" s="35"/>
      <c r="BS354" s="35"/>
      <c r="BT354" s="35"/>
      <c r="BU354" s="35"/>
      <c r="BV354" s="35"/>
      <c r="BW354" s="35"/>
      <c r="BX354" s="35"/>
      <c r="BY354" s="35"/>
      <c r="BZ354" s="35"/>
      <c r="CA354" s="35"/>
      <c r="CB354" s="35"/>
      <c r="CC354" s="35"/>
      <c r="CD354" s="35"/>
      <c r="CE354" s="35"/>
      <c r="CF354" s="35"/>
      <c r="CG354" s="35"/>
      <c r="CH354" s="35"/>
      <c r="CI354" s="35"/>
      <c r="CJ354" s="35"/>
      <c r="CK354" s="35"/>
      <c r="CL354" s="35"/>
      <c r="CM354" s="35"/>
      <c r="CN354" s="35"/>
      <c r="CO354" s="35"/>
      <c r="CP354" s="35"/>
      <c r="CQ354" s="35"/>
      <c r="CR354" s="35"/>
      <c r="CS354" s="35"/>
      <c r="CT354" s="35"/>
      <c r="CU354" s="35"/>
      <c r="CV354" s="35"/>
      <c r="CW354" s="35"/>
      <c r="CX354" s="35"/>
      <c r="CY354" s="35"/>
      <c r="CZ354" s="35"/>
      <c r="DA354" s="35"/>
      <c r="DB354" s="35"/>
      <c r="DC354" s="35"/>
      <c r="DD354" s="35"/>
      <c r="DE354" s="35"/>
      <c r="DF354" s="35"/>
      <c r="DG354" s="35"/>
      <c r="DH354" s="35"/>
      <c r="DI354" s="35"/>
      <c r="DJ354" s="35"/>
      <c r="DK354" s="35"/>
      <c r="DL354" s="35"/>
      <c r="DM354" s="35"/>
      <c r="DN354" s="35"/>
      <c r="DO354" s="35"/>
      <c r="DP354" s="35"/>
      <c r="DQ354" s="35"/>
      <c r="DR354" s="35"/>
      <c r="DS354" s="35"/>
      <c r="DT354" s="35"/>
      <c r="DU354" s="35"/>
      <c r="DV354" s="35"/>
      <c r="DW354" s="35"/>
      <c r="DX354" s="35"/>
      <c r="DY354" s="35"/>
      <c r="DZ354" s="35"/>
      <c r="EA354" s="35"/>
      <c r="EB354" s="35"/>
      <c r="EC354" s="35"/>
      <c r="ED354" s="35"/>
      <c r="EE354" s="35"/>
      <c r="EF354" s="35"/>
      <c r="EG354" s="35"/>
      <c r="EH354" s="35"/>
      <c r="EI354" s="35"/>
      <c r="EJ354" s="35"/>
      <c r="EK354" s="35"/>
      <c r="EL354" s="35"/>
      <c r="EM354" s="35"/>
      <c r="EN354" s="35"/>
      <c r="EO354" s="35"/>
      <c r="EP354" s="35"/>
      <c r="EQ354" s="35"/>
      <c r="ER354" s="35"/>
      <c r="ES354" s="35"/>
      <c r="ET354" s="35"/>
      <c r="EU354" s="35"/>
      <c r="EV354" s="35"/>
      <c r="EW354" s="35"/>
      <c r="EX354" s="35"/>
      <c r="EY354" s="35"/>
      <c r="EZ354" s="35"/>
      <c r="FA354" s="35"/>
      <c r="FB354" s="35"/>
      <c r="FC354" s="35"/>
      <c r="FD354" s="35"/>
      <c r="FE354" s="35"/>
      <c r="FF354" s="35"/>
      <c r="FG354" s="35"/>
      <c r="FH354" s="35"/>
      <c r="FI354" s="35"/>
      <c r="FJ354" s="35"/>
      <c r="FK354" s="35"/>
      <c r="FL354" s="35"/>
      <c r="FM354" s="35"/>
      <c r="FN354" s="35"/>
      <c r="FO354" s="35"/>
      <c r="FP354" s="35"/>
      <c r="FQ354" s="35"/>
      <c r="FR354" s="35"/>
      <c r="FS354" s="35"/>
      <c r="FT354" s="35"/>
      <c r="FU354" s="35"/>
      <c r="FV354" s="35"/>
      <c r="FW354" s="35"/>
      <c r="FX354" s="35"/>
      <c r="FY354" s="35"/>
      <c r="FZ354" s="35"/>
      <c r="GA354" s="35"/>
      <c r="GB354" s="35"/>
      <c r="GC354" s="35"/>
      <c r="GD354" s="35"/>
      <c r="GE354" s="35"/>
      <c r="GF354" s="35"/>
      <c r="GG354" s="35"/>
      <c r="GH354" s="35"/>
      <c r="GI354" s="35"/>
      <c r="GJ354" s="35"/>
      <c r="GK354" s="35"/>
      <c r="GL354" s="35"/>
      <c r="GM354" s="35"/>
      <c r="GN354" s="35"/>
      <c r="GO354" s="35"/>
      <c r="GP354" s="35"/>
      <c r="GQ354" s="35"/>
      <c r="GR354" s="35"/>
      <c r="GS354" s="35"/>
      <c r="GT354" s="35"/>
      <c r="GU354" s="35"/>
      <c r="GV354" s="35"/>
      <c r="GW354" s="35"/>
      <c r="GX354" s="35"/>
      <c r="GY354" s="35"/>
      <c r="GZ354" s="35"/>
      <c r="HA354" s="35"/>
      <c r="HB354" s="35"/>
      <c r="HC354" s="35"/>
      <c r="HD354" s="35"/>
      <c r="HE354" s="35"/>
      <c r="HF354" s="35"/>
      <c r="HG354" s="35"/>
      <c r="HH354" s="35"/>
      <c r="HI354" s="35"/>
      <c r="HJ354" s="35"/>
      <c r="HK354" s="35"/>
      <c r="HL354" s="35"/>
      <c r="HM354" s="35"/>
      <c r="HN354" s="35"/>
      <c r="HO354" s="35"/>
      <c r="HP354" s="35"/>
      <c r="HQ354" s="35"/>
      <c r="HR354" s="35"/>
      <c r="HS354" s="35"/>
      <c r="HT354" s="35"/>
      <c r="HU354" s="35"/>
      <c r="HV354" s="35"/>
      <c r="HW354" s="35"/>
      <c r="HX354" s="35"/>
      <c r="HY354" s="35"/>
      <c r="HZ354" s="35"/>
      <c r="IA354" s="35"/>
      <c r="IB354" s="35"/>
      <c r="IC354" s="35"/>
      <c r="ID354" s="35"/>
      <c r="IE354" s="35"/>
      <c r="IF354" s="35"/>
      <c r="IG354" s="35"/>
      <c r="IH354" s="35"/>
      <c r="II354" s="35"/>
      <c r="IJ354" s="35"/>
      <c r="IK354" s="35"/>
      <c r="IL354" s="35"/>
      <c r="IM354" s="35"/>
      <c r="IN354" s="35"/>
      <c r="IO354" s="35"/>
      <c r="IP354" s="35"/>
      <c r="IQ354" s="35"/>
      <c r="IR354" s="35"/>
      <c r="IS354" s="35"/>
      <c r="IT354" s="35"/>
      <c r="IU354" s="35"/>
      <c r="IV354" s="35"/>
      <c r="IW354" s="35"/>
      <c r="IX354" s="35"/>
      <c r="IY354" s="35"/>
      <c r="IZ354" s="35"/>
      <c r="JA354" s="35"/>
      <c r="JB354" s="35"/>
      <c r="JC354" s="35"/>
      <c r="JD354" s="35"/>
      <c r="JE354" s="35"/>
      <c r="JF354" s="35"/>
      <c r="JG354" s="35"/>
      <c r="JH354" s="35"/>
      <c r="JI354" s="35"/>
      <c r="JJ354" s="35"/>
      <c r="JK354" s="35"/>
      <c r="JL354" s="35"/>
      <c r="JM354" s="35"/>
      <c r="JN354" s="35"/>
      <c r="JO354" s="35"/>
      <c r="JP354" s="35"/>
      <c r="JQ354" s="35"/>
      <c r="JR354" s="35"/>
      <c r="JS354" s="35"/>
      <c r="JT354" s="35"/>
      <c r="JU354" s="35"/>
      <c r="JV354" s="35"/>
      <c r="JW354" s="35"/>
      <c r="JX354" s="35"/>
      <c r="JY354" s="35"/>
      <c r="JZ354" s="35"/>
      <c r="KA354" s="35"/>
      <c r="KB354" s="35"/>
      <c r="KC354" s="35"/>
      <c r="KD354" s="35"/>
      <c r="KE354" s="35"/>
      <c r="KF354" s="35"/>
      <c r="KG354" s="35"/>
      <c r="KH354" s="35"/>
      <c r="KI354" s="35"/>
      <c r="KJ354" s="35"/>
      <c r="KK354" s="35"/>
      <c r="KL354" s="35"/>
      <c r="KM354" s="35"/>
      <c r="KN354" s="35"/>
      <c r="KO354" s="35"/>
      <c r="KP354" s="35"/>
      <c r="KQ354" s="35"/>
      <c r="KR354" s="35"/>
      <c r="KS354" s="35"/>
      <c r="KT354" s="35"/>
      <c r="KU354" s="35"/>
      <c r="KV354" s="35"/>
      <c r="KW354" s="35"/>
      <c r="KX354" s="35"/>
      <c r="KY354" s="35"/>
      <c r="KZ354" s="35"/>
      <c r="LA354" s="35"/>
      <c r="LB354" s="35"/>
      <c r="LC354" s="35"/>
      <c r="LD354" s="35"/>
      <c r="LE354" s="35"/>
      <c r="LF354" s="35"/>
      <c r="LG354" s="35"/>
      <c r="LH354" s="35"/>
      <c r="LI354" s="35"/>
      <c r="LJ354" s="35"/>
      <c r="LK354" s="35"/>
      <c r="LL354" s="35"/>
      <c r="LM354" s="35"/>
      <c r="LN354" s="35"/>
      <c r="LO354" s="35"/>
      <c r="LP354" s="35"/>
      <c r="LQ354" s="35"/>
      <c r="LR354" s="35"/>
      <c r="LS354" s="35"/>
      <c r="LT354" s="35"/>
      <c r="LU354" s="35"/>
      <c r="LV354" s="35"/>
      <c r="LW354" s="35"/>
      <c r="LX354" s="35"/>
      <c r="LY354" s="35"/>
      <c r="LZ354" s="35"/>
      <c r="MA354" s="35"/>
      <c r="MB354" s="35"/>
      <c r="MC354" s="35"/>
      <c r="MD354" s="35"/>
      <c r="ME354" s="35"/>
      <c r="MF354" s="35"/>
      <c r="MG354" s="35"/>
    </row>
    <row r="355" spans="1:345" s="67" customFormat="1" ht="36" hidden="1" customHeight="1" x14ac:dyDescent="0.25">
      <c r="A355" s="113"/>
      <c r="B355" s="28" t="s">
        <v>238</v>
      </c>
      <c r="C355" s="21" t="s">
        <v>23</v>
      </c>
      <c r="D355" s="19" t="s">
        <v>4514</v>
      </c>
      <c r="E355" s="18">
        <v>44076.55667824074</v>
      </c>
      <c r="F355" s="27"/>
      <c r="G355" s="34"/>
      <c r="H355" s="25"/>
      <c r="I355" s="62" t="s">
        <v>206</v>
      </c>
      <c r="J355" s="34"/>
      <c r="K355" s="22"/>
      <c r="L355" s="23">
        <v>44076</v>
      </c>
      <c r="M355" s="23" t="s">
        <v>4443</v>
      </c>
      <c r="N355" s="26" t="s">
        <v>4516</v>
      </c>
      <c r="O355" s="26"/>
      <c r="P355" s="35"/>
      <c r="Q355" s="35"/>
      <c r="R355" s="20"/>
      <c r="S355" s="35"/>
      <c r="T355" s="35"/>
      <c r="U355" s="35"/>
      <c r="V355" s="35"/>
      <c r="W355" s="35"/>
      <c r="X355" s="35"/>
      <c r="Y355" s="35"/>
      <c r="Z355" s="35"/>
      <c r="AA355" s="35"/>
      <c r="AB355" s="35"/>
      <c r="AC355" s="35"/>
      <c r="AD355" s="35"/>
      <c r="AE355" s="35"/>
      <c r="AF355" s="35"/>
      <c r="AG355" s="35"/>
      <c r="AH355" s="35"/>
      <c r="AI355" s="35"/>
      <c r="AJ355" s="35"/>
      <c r="AK355" s="35"/>
      <c r="AL355" s="35"/>
      <c r="AM355" s="35"/>
      <c r="AN355" s="35"/>
      <c r="AO355" s="35"/>
      <c r="AP355" s="35"/>
      <c r="AQ355" s="35"/>
      <c r="AR355" s="35"/>
      <c r="AS355" s="35"/>
      <c r="AT355" s="35"/>
      <c r="AU355" s="35"/>
      <c r="AV355" s="35"/>
      <c r="AW355" s="35"/>
      <c r="AX355" s="35"/>
      <c r="AY355" s="35"/>
      <c r="AZ355" s="35"/>
      <c r="BA355" s="35"/>
      <c r="BB355" s="35"/>
      <c r="BC355" s="35"/>
      <c r="BD355" s="35"/>
      <c r="BE355" s="35"/>
      <c r="BF355" s="35"/>
      <c r="BG355" s="35"/>
      <c r="BH355" s="35"/>
      <c r="BI355" s="35"/>
      <c r="BJ355" s="35"/>
      <c r="BK355" s="35"/>
      <c r="BL355" s="35"/>
      <c r="BM355" s="35"/>
      <c r="BN355" s="35"/>
      <c r="BO355" s="35"/>
      <c r="BP355" s="35"/>
      <c r="BQ355" s="35"/>
      <c r="BR355" s="35"/>
      <c r="BS355" s="35"/>
      <c r="BT355" s="35"/>
      <c r="BU355" s="35"/>
      <c r="BV355" s="35"/>
      <c r="BW355" s="35"/>
      <c r="BX355" s="35"/>
      <c r="BY355" s="35"/>
      <c r="BZ355" s="35"/>
      <c r="CA355" s="35"/>
      <c r="CB355" s="35"/>
      <c r="CC355" s="35"/>
      <c r="CD355" s="35"/>
      <c r="CE355" s="35"/>
      <c r="CF355" s="35"/>
      <c r="CG355" s="35"/>
      <c r="CH355" s="35"/>
      <c r="CI355" s="35"/>
      <c r="CJ355" s="35"/>
      <c r="CK355" s="35"/>
      <c r="CL355" s="35"/>
      <c r="CM355" s="35"/>
      <c r="CN355" s="35"/>
      <c r="CO355" s="35"/>
      <c r="CP355" s="35"/>
      <c r="CQ355" s="35"/>
      <c r="CR355" s="35"/>
      <c r="CS355" s="35"/>
      <c r="CT355" s="35"/>
      <c r="CU355" s="35"/>
      <c r="CV355" s="35"/>
      <c r="CW355" s="35"/>
      <c r="CX355" s="35"/>
      <c r="CY355" s="35"/>
      <c r="CZ355" s="35"/>
      <c r="DA355" s="35"/>
      <c r="DB355" s="35"/>
      <c r="DC355" s="35"/>
      <c r="DD355" s="35"/>
      <c r="DE355" s="35"/>
      <c r="DF355" s="35"/>
      <c r="DG355" s="35"/>
      <c r="DH355" s="35"/>
      <c r="DI355" s="35"/>
      <c r="DJ355" s="35"/>
      <c r="DK355" s="35"/>
      <c r="DL355" s="35"/>
      <c r="DM355" s="35"/>
      <c r="DN355" s="35"/>
      <c r="DO355" s="35"/>
      <c r="DP355" s="35"/>
      <c r="DQ355" s="35"/>
      <c r="DR355" s="35"/>
      <c r="DS355" s="35"/>
      <c r="DT355" s="35"/>
      <c r="DU355" s="35"/>
      <c r="DV355" s="35"/>
      <c r="DW355" s="35"/>
      <c r="DX355" s="35"/>
      <c r="DY355" s="35"/>
      <c r="DZ355" s="35"/>
      <c r="EA355" s="35"/>
      <c r="EB355" s="35"/>
      <c r="EC355" s="35"/>
      <c r="ED355" s="35"/>
      <c r="EE355" s="35"/>
      <c r="EF355" s="35"/>
      <c r="EG355" s="35"/>
      <c r="EH355" s="35"/>
      <c r="EI355" s="35"/>
      <c r="EJ355" s="35"/>
      <c r="EK355" s="35"/>
      <c r="EL355" s="35"/>
      <c r="EM355" s="35"/>
      <c r="EN355" s="35"/>
      <c r="EO355" s="35"/>
      <c r="EP355" s="35"/>
      <c r="EQ355" s="35"/>
      <c r="ER355" s="35"/>
      <c r="ES355" s="35"/>
      <c r="ET355" s="35"/>
      <c r="EU355" s="35"/>
      <c r="EV355" s="35"/>
      <c r="EW355" s="35"/>
      <c r="EX355" s="35"/>
      <c r="EY355" s="35"/>
      <c r="EZ355" s="35"/>
      <c r="FA355" s="35"/>
      <c r="FB355" s="35"/>
      <c r="FC355" s="35"/>
      <c r="FD355" s="35"/>
      <c r="FE355" s="35"/>
      <c r="FF355" s="35"/>
      <c r="FG355" s="35"/>
      <c r="FH355" s="35"/>
      <c r="FI355" s="35"/>
      <c r="FJ355" s="35"/>
      <c r="FK355" s="35"/>
      <c r="FL355" s="35"/>
      <c r="FM355" s="35"/>
      <c r="FN355" s="35"/>
      <c r="FO355" s="35"/>
      <c r="FP355" s="35"/>
      <c r="FQ355" s="35"/>
      <c r="FR355" s="35"/>
      <c r="FS355" s="35"/>
      <c r="FT355" s="35"/>
      <c r="FU355" s="35"/>
      <c r="FV355" s="35"/>
      <c r="FW355" s="35"/>
      <c r="FX355" s="35"/>
      <c r="FY355" s="35"/>
      <c r="FZ355" s="35"/>
      <c r="GA355" s="35"/>
      <c r="GB355" s="35"/>
      <c r="GC355" s="35"/>
      <c r="GD355" s="35"/>
      <c r="GE355" s="35"/>
      <c r="GF355" s="35"/>
      <c r="GG355" s="35"/>
      <c r="GH355" s="35"/>
      <c r="GI355" s="35"/>
      <c r="GJ355" s="35"/>
      <c r="GK355" s="35"/>
      <c r="GL355" s="35"/>
      <c r="GM355" s="35"/>
      <c r="GN355" s="35"/>
      <c r="GO355" s="35"/>
      <c r="GP355" s="35"/>
      <c r="GQ355" s="35"/>
      <c r="GR355" s="35"/>
      <c r="GS355" s="35"/>
      <c r="GT355" s="35"/>
      <c r="GU355" s="35"/>
      <c r="GV355" s="35"/>
      <c r="GW355" s="35"/>
      <c r="GX355" s="35"/>
      <c r="GY355" s="35"/>
      <c r="GZ355" s="35"/>
      <c r="HA355" s="35"/>
      <c r="HB355" s="35"/>
      <c r="HC355" s="35"/>
      <c r="HD355" s="35"/>
      <c r="HE355" s="35"/>
      <c r="HF355" s="35"/>
      <c r="HG355" s="35"/>
      <c r="HH355" s="35"/>
      <c r="HI355" s="35"/>
      <c r="HJ355" s="35"/>
      <c r="HK355" s="35"/>
      <c r="HL355" s="35"/>
      <c r="HM355" s="35"/>
      <c r="HN355" s="35"/>
      <c r="HO355" s="35"/>
      <c r="HP355" s="35"/>
      <c r="HQ355" s="35"/>
      <c r="HR355" s="35"/>
      <c r="HS355" s="35"/>
      <c r="HT355" s="35"/>
      <c r="HU355" s="35"/>
      <c r="HV355" s="35"/>
      <c r="HW355" s="35"/>
      <c r="HX355" s="35"/>
      <c r="HY355" s="35"/>
      <c r="HZ355" s="35"/>
      <c r="IA355" s="35"/>
      <c r="IB355" s="35"/>
      <c r="IC355" s="35"/>
      <c r="ID355" s="35"/>
      <c r="IE355" s="35"/>
      <c r="IF355" s="35"/>
      <c r="IG355" s="35"/>
      <c r="IH355" s="35"/>
      <c r="II355" s="35"/>
      <c r="IJ355" s="35"/>
      <c r="IK355" s="35"/>
      <c r="IL355" s="35"/>
      <c r="IM355" s="35"/>
      <c r="IN355" s="35"/>
      <c r="IO355" s="35"/>
      <c r="IP355" s="35"/>
      <c r="IQ355" s="35"/>
      <c r="IR355" s="35"/>
      <c r="IS355" s="35"/>
      <c r="IT355" s="35"/>
      <c r="IU355" s="35"/>
      <c r="IV355" s="35"/>
      <c r="IW355" s="35"/>
      <c r="IX355" s="35"/>
      <c r="IY355" s="35"/>
      <c r="IZ355" s="35"/>
      <c r="JA355" s="35"/>
      <c r="JB355" s="35"/>
      <c r="JC355" s="35"/>
      <c r="JD355" s="35"/>
      <c r="JE355" s="35"/>
      <c r="JF355" s="35"/>
      <c r="JG355" s="35"/>
      <c r="JH355" s="35"/>
      <c r="JI355" s="35"/>
      <c r="JJ355" s="35"/>
      <c r="JK355" s="35"/>
      <c r="JL355" s="35"/>
      <c r="JM355" s="35"/>
      <c r="JN355" s="35"/>
      <c r="JO355" s="35"/>
      <c r="JP355" s="35"/>
      <c r="JQ355" s="35"/>
      <c r="JR355" s="35"/>
      <c r="JS355" s="35"/>
      <c r="JT355" s="35"/>
      <c r="JU355" s="35"/>
      <c r="JV355" s="35"/>
      <c r="JW355" s="35"/>
      <c r="JX355" s="35"/>
      <c r="JY355" s="35"/>
      <c r="JZ355" s="35"/>
      <c r="KA355" s="35"/>
      <c r="KB355" s="35"/>
      <c r="KC355" s="35"/>
      <c r="KD355" s="35"/>
      <c r="KE355" s="35"/>
      <c r="KF355" s="35"/>
      <c r="KG355" s="35"/>
      <c r="KH355" s="35"/>
      <c r="KI355" s="35"/>
      <c r="KJ355" s="35"/>
      <c r="KK355" s="35"/>
      <c r="KL355" s="35"/>
      <c r="KM355" s="35"/>
      <c r="KN355" s="35"/>
      <c r="KO355" s="35"/>
      <c r="KP355" s="35"/>
      <c r="KQ355" s="35"/>
      <c r="KR355" s="35"/>
      <c r="KS355" s="35"/>
      <c r="KT355" s="35"/>
      <c r="KU355" s="35"/>
      <c r="KV355" s="35"/>
      <c r="KW355" s="35"/>
      <c r="KX355" s="35"/>
      <c r="KY355" s="35"/>
      <c r="KZ355" s="35"/>
      <c r="LA355" s="35"/>
      <c r="LB355" s="35"/>
      <c r="LC355" s="35"/>
      <c r="LD355" s="35"/>
      <c r="LE355" s="35"/>
      <c r="LF355" s="35"/>
      <c r="LG355" s="35"/>
      <c r="LH355" s="35"/>
      <c r="LI355" s="35"/>
      <c r="LJ355" s="35"/>
      <c r="LK355" s="35"/>
      <c r="LL355" s="35"/>
      <c r="LM355" s="35"/>
      <c r="LN355" s="35"/>
      <c r="LO355" s="35"/>
      <c r="LP355" s="35"/>
      <c r="LQ355" s="35"/>
      <c r="LR355" s="35"/>
      <c r="LS355" s="35"/>
      <c r="LT355" s="35"/>
      <c r="LU355" s="35"/>
      <c r="LV355" s="35"/>
      <c r="LW355" s="35"/>
      <c r="LX355" s="35"/>
      <c r="LY355" s="35"/>
      <c r="LZ355" s="35"/>
      <c r="MA355" s="35"/>
      <c r="MB355" s="35"/>
      <c r="MC355" s="35"/>
      <c r="MD355" s="35"/>
      <c r="ME355" s="35"/>
      <c r="MF355" s="35"/>
      <c r="MG355" s="35"/>
    </row>
    <row r="356" spans="1:345" s="67" customFormat="1" ht="36" hidden="1" customHeight="1" x14ac:dyDescent="0.25">
      <c r="A356" s="113"/>
      <c r="B356" s="28" t="s">
        <v>275</v>
      </c>
      <c r="C356" s="21" t="s">
        <v>38</v>
      </c>
      <c r="D356" s="19" t="s">
        <v>4522</v>
      </c>
      <c r="E356" s="18">
        <v>44077.331782407404</v>
      </c>
      <c r="F356" s="27"/>
      <c r="G356" s="34"/>
      <c r="H356" s="25"/>
      <c r="I356" s="62" t="s">
        <v>206</v>
      </c>
      <c r="J356" s="34"/>
      <c r="K356" s="22"/>
      <c r="L356" s="23">
        <v>44077</v>
      </c>
      <c r="M356" s="23"/>
      <c r="N356" s="33"/>
      <c r="O356" s="26" t="s">
        <v>4540</v>
      </c>
      <c r="P356" s="35"/>
      <c r="Q356" s="35"/>
      <c r="R356" s="20"/>
      <c r="S356" s="35"/>
      <c r="T356" s="35"/>
      <c r="U356" s="35"/>
      <c r="V356" s="35"/>
      <c r="W356" s="35"/>
      <c r="X356" s="35"/>
      <c r="Y356" s="35"/>
      <c r="Z356" s="35"/>
      <c r="AA356" s="35"/>
      <c r="AB356" s="35"/>
      <c r="AC356" s="35"/>
      <c r="AD356" s="35"/>
      <c r="AE356" s="35"/>
      <c r="AF356" s="35"/>
      <c r="AG356" s="35"/>
      <c r="AH356" s="35"/>
      <c r="AI356" s="35"/>
      <c r="AJ356" s="35"/>
      <c r="AK356" s="35"/>
      <c r="AL356" s="35"/>
      <c r="AM356" s="35"/>
      <c r="AN356" s="35"/>
      <c r="AO356" s="35"/>
      <c r="AP356" s="35"/>
      <c r="AQ356" s="35"/>
      <c r="AR356" s="35"/>
      <c r="AS356" s="35"/>
      <c r="AT356" s="35"/>
      <c r="AU356" s="35"/>
      <c r="AV356" s="35"/>
      <c r="AW356" s="35"/>
      <c r="AX356" s="35"/>
      <c r="AY356" s="35"/>
      <c r="AZ356" s="35"/>
      <c r="BA356" s="35"/>
      <c r="BB356" s="35"/>
      <c r="BC356" s="35"/>
      <c r="BD356" s="35"/>
      <c r="BE356" s="35"/>
      <c r="BF356" s="35"/>
      <c r="BG356" s="35"/>
      <c r="BH356" s="35"/>
      <c r="BI356" s="35"/>
      <c r="BJ356" s="35"/>
      <c r="BK356" s="35"/>
      <c r="BL356" s="35"/>
      <c r="BM356" s="35"/>
      <c r="BN356" s="35"/>
      <c r="BO356" s="35"/>
      <c r="BP356" s="35"/>
      <c r="BQ356" s="35"/>
      <c r="BR356" s="35"/>
      <c r="BS356" s="35"/>
      <c r="BT356" s="35"/>
      <c r="BU356" s="35"/>
      <c r="BV356" s="35"/>
      <c r="BW356" s="35"/>
      <c r="BX356" s="35"/>
      <c r="BY356" s="35"/>
      <c r="BZ356" s="35"/>
      <c r="CA356" s="35"/>
      <c r="CB356" s="35"/>
      <c r="CC356" s="35"/>
      <c r="CD356" s="35"/>
      <c r="CE356" s="35"/>
      <c r="CF356" s="35"/>
      <c r="CG356" s="35"/>
      <c r="CH356" s="35"/>
      <c r="CI356" s="35"/>
      <c r="CJ356" s="35"/>
      <c r="CK356" s="35"/>
      <c r="CL356" s="35"/>
      <c r="CM356" s="35"/>
      <c r="CN356" s="35"/>
      <c r="CO356" s="35"/>
      <c r="CP356" s="35"/>
      <c r="CQ356" s="35"/>
      <c r="CR356" s="35"/>
      <c r="CS356" s="35"/>
      <c r="CT356" s="35"/>
      <c r="CU356" s="35"/>
      <c r="CV356" s="35"/>
      <c r="CW356" s="35"/>
      <c r="CX356" s="35"/>
      <c r="CY356" s="35"/>
      <c r="CZ356" s="35"/>
      <c r="DA356" s="35"/>
      <c r="DB356" s="35"/>
      <c r="DC356" s="35"/>
      <c r="DD356" s="35"/>
      <c r="DE356" s="35"/>
      <c r="DF356" s="35"/>
      <c r="DG356" s="35"/>
      <c r="DH356" s="35"/>
      <c r="DI356" s="35"/>
      <c r="DJ356" s="35"/>
      <c r="DK356" s="35"/>
      <c r="DL356" s="35"/>
      <c r="DM356" s="35"/>
      <c r="DN356" s="35"/>
      <c r="DO356" s="35"/>
      <c r="DP356" s="35"/>
      <c r="DQ356" s="35"/>
      <c r="DR356" s="35"/>
      <c r="DS356" s="35"/>
      <c r="DT356" s="35"/>
      <c r="DU356" s="35"/>
      <c r="DV356" s="35"/>
      <c r="DW356" s="35"/>
      <c r="DX356" s="35"/>
      <c r="DY356" s="35"/>
      <c r="DZ356" s="35"/>
      <c r="EA356" s="35"/>
      <c r="EB356" s="35"/>
      <c r="EC356" s="35"/>
      <c r="ED356" s="35"/>
      <c r="EE356" s="35"/>
      <c r="EF356" s="35"/>
      <c r="EG356" s="35"/>
      <c r="EH356" s="35"/>
      <c r="EI356" s="35"/>
      <c r="EJ356" s="35"/>
      <c r="EK356" s="35"/>
      <c r="EL356" s="35"/>
      <c r="EM356" s="35"/>
      <c r="EN356" s="35"/>
      <c r="EO356" s="35"/>
      <c r="EP356" s="35"/>
      <c r="EQ356" s="35"/>
      <c r="ER356" s="35"/>
      <c r="ES356" s="35"/>
      <c r="ET356" s="35"/>
      <c r="EU356" s="35"/>
      <c r="EV356" s="35"/>
      <c r="EW356" s="35"/>
      <c r="EX356" s="35"/>
      <c r="EY356" s="35"/>
      <c r="EZ356" s="35"/>
      <c r="FA356" s="35"/>
      <c r="FB356" s="35"/>
      <c r="FC356" s="35"/>
      <c r="FD356" s="35"/>
      <c r="FE356" s="35"/>
      <c r="FF356" s="35"/>
      <c r="FG356" s="35"/>
      <c r="FH356" s="35"/>
      <c r="FI356" s="35"/>
      <c r="FJ356" s="35"/>
      <c r="FK356" s="35"/>
      <c r="FL356" s="35"/>
      <c r="FM356" s="35"/>
      <c r="FN356" s="35"/>
      <c r="FO356" s="35"/>
      <c r="FP356" s="35"/>
      <c r="FQ356" s="35"/>
      <c r="FR356" s="35"/>
      <c r="FS356" s="35"/>
      <c r="FT356" s="35"/>
      <c r="FU356" s="35"/>
      <c r="FV356" s="35"/>
      <c r="FW356" s="35"/>
      <c r="FX356" s="35"/>
      <c r="FY356" s="35"/>
      <c r="FZ356" s="35"/>
      <c r="GA356" s="35"/>
      <c r="GB356" s="35"/>
      <c r="GC356" s="35"/>
      <c r="GD356" s="35"/>
      <c r="GE356" s="35"/>
      <c r="GF356" s="35"/>
      <c r="GG356" s="35"/>
      <c r="GH356" s="35"/>
      <c r="GI356" s="35"/>
      <c r="GJ356" s="35"/>
      <c r="GK356" s="35"/>
      <c r="GL356" s="35"/>
      <c r="GM356" s="35"/>
      <c r="GN356" s="35"/>
      <c r="GO356" s="35"/>
      <c r="GP356" s="35"/>
      <c r="GQ356" s="35"/>
      <c r="GR356" s="35"/>
      <c r="GS356" s="35"/>
      <c r="GT356" s="35"/>
      <c r="GU356" s="35"/>
      <c r="GV356" s="35"/>
      <c r="GW356" s="35"/>
      <c r="GX356" s="35"/>
      <c r="GY356" s="35"/>
      <c r="GZ356" s="35"/>
      <c r="HA356" s="35"/>
      <c r="HB356" s="35"/>
      <c r="HC356" s="35"/>
      <c r="HD356" s="35"/>
      <c r="HE356" s="35"/>
      <c r="HF356" s="35"/>
      <c r="HG356" s="35"/>
      <c r="HH356" s="35"/>
      <c r="HI356" s="35"/>
      <c r="HJ356" s="35"/>
      <c r="HK356" s="35"/>
      <c r="HL356" s="35"/>
      <c r="HM356" s="35"/>
      <c r="HN356" s="35"/>
      <c r="HO356" s="35"/>
      <c r="HP356" s="35"/>
      <c r="HQ356" s="35"/>
      <c r="HR356" s="35"/>
      <c r="HS356" s="35"/>
      <c r="HT356" s="35"/>
      <c r="HU356" s="35"/>
      <c r="HV356" s="35"/>
      <c r="HW356" s="35"/>
      <c r="HX356" s="35"/>
      <c r="HY356" s="35"/>
      <c r="HZ356" s="35"/>
      <c r="IA356" s="35"/>
      <c r="IB356" s="35"/>
      <c r="IC356" s="35"/>
      <c r="ID356" s="35"/>
      <c r="IE356" s="35"/>
      <c r="IF356" s="35"/>
      <c r="IG356" s="35"/>
      <c r="IH356" s="35"/>
      <c r="II356" s="35"/>
      <c r="IJ356" s="35"/>
      <c r="IK356" s="35"/>
      <c r="IL356" s="35"/>
      <c r="IM356" s="35"/>
      <c r="IN356" s="35"/>
      <c r="IO356" s="35"/>
      <c r="IP356" s="35"/>
      <c r="IQ356" s="35"/>
      <c r="IR356" s="35"/>
      <c r="IS356" s="35"/>
      <c r="IT356" s="35"/>
      <c r="IU356" s="35"/>
      <c r="IV356" s="35"/>
      <c r="IW356" s="35"/>
      <c r="IX356" s="35"/>
      <c r="IY356" s="35"/>
      <c r="IZ356" s="35"/>
      <c r="JA356" s="35"/>
      <c r="JB356" s="35"/>
      <c r="JC356" s="35"/>
      <c r="JD356" s="35"/>
      <c r="JE356" s="35"/>
      <c r="JF356" s="35"/>
      <c r="JG356" s="35"/>
      <c r="JH356" s="35"/>
      <c r="JI356" s="35"/>
      <c r="JJ356" s="35"/>
      <c r="JK356" s="35"/>
      <c r="JL356" s="35"/>
      <c r="JM356" s="35"/>
      <c r="JN356" s="35"/>
      <c r="JO356" s="35"/>
      <c r="JP356" s="35"/>
      <c r="JQ356" s="35"/>
      <c r="JR356" s="35"/>
      <c r="JS356" s="35"/>
      <c r="JT356" s="35"/>
      <c r="JU356" s="35"/>
      <c r="JV356" s="35"/>
      <c r="JW356" s="35"/>
      <c r="JX356" s="35"/>
      <c r="JY356" s="35"/>
      <c r="JZ356" s="35"/>
      <c r="KA356" s="35"/>
      <c r="KB356" s="35"/>
      <c r="KC356" s="35"/>
      <c r="KD356" s="35"/>
      <c r="KE356" s="35"/>
      <c r="KF356" s="35"/>
      <c r="KG356" s="35"/>
      <c r="KH356" s="35"/>
      <c r="KI356" s="35"/>
      <c r="KJ356" s="35"/>
      <c r="KK356" s="35"/>
      <c r="KL356" s="35"/>
      <c r="KM356" s="35"/>
      <c r="KN356" s="35"/>
      <c r="KO356" s="35"/>
      <c r="KP356" s="35"/>
      <c r="KQ356" s="35"/>
      <c r="KR356" s="35"/>
      <c r="KS356" s="35"/>
      <c r="KT356" s="35"/>
      <c r="KU356" s="35"/>
      <c r="KV356" s="35"/>
      <c r="KW356" s="35"/>
      <c r="KX356" s="35"/>
      <c r="KY356" s="35"/>
      <c r="KZ356" s="35"/>
      <c r="LA356" s="35"/>
      <c r="LB356" s="35"/>
      <c r="LC356" s="35"/>
      <c r="LD356" s="35"/>
      <c r="LE356" s="35"/>
      <c r="LF356" s="35"/>
      <c r="LG356" s="35"/>
      <c r="LH356" s="35"/>
      <c r="LI356" s="35"/>
      <c r="LJ356" s="35"/>
      <c r="LK356" s="35"/>
      <c r="LL356" s="35"/>
      <c r="LM356" s="35"/>
      <c r="LN356" s="35"/>
      <c r="LO356" s="35"/>
      <c r="LP356" s="35"/>
      <c r="LQ356" s="35"/>
      <c r="LR356" s="35"/>
      <c r="LS356" s="35"/>
      <c r="LT356" s="35"/>
      <c r="LU356" s="35"/>
      <c r="LV356" s="35"/>
      <c r="LW356" s="35"/>
      <c r="LX356" s="35"/>
      <c r="LY356" s="35"/>
      <c r="LZ356" s="35"/>
      <c r="MA356" s="35"/>
      <c r="MB356" s="35"/>
      <c r="MC356" s="35"/>
      <c r="MD356" s="35"/>
      <c r="ME356" s="35"/>
      <c r="MF356" s="35"/>
      <c r="MG356" s="35"/>
    </row>
    <row r="357" spans="1:345" s="67" customFormat="1" ht="36" hidden="1" customHeight="1" x14ac:dyDescent="0.25">
      <c r="A357" s="113"/>
      <c r="B357" s="28" t="s">
        <v>261</v>
      </c>
      <c r="C357" s="21" t="s">
        <v>4458</v>
      </c>
      <c r="D357" s="19" t="s">
        <v>4538</v>
      </c>
      <c r="E357" s="18">
        <v>44077.796712962961</v>
      </c>
      <c r="F357" s="27"/>
      <c r="G357" s="34"/>
      <c r="H357" s="25"/>
      <c r="I357" s="62" t="s">
        <v>206</v>
      </c>
      <c r="J357" s="34"/>
      <c r="K357" s="22"/>
      <c r="L357" s="23">
        <v>44084</v>
      </c>
      <c r="M357" s="23" t="s">
        <v>4443</v>
      </c>
      <c r="N357" s="26" t="s">
        <v>153</v>
      </c>
      <c r="O357" s="26" t="s">
        <v>4545</v>
      </c>
      <c r="P357" s="35"/>
      <c r="Q357" s="35"/>
      <c r="R357" s="20"/>
      <c r="S357" s="35"/>
      <c r="T357" s="35"/>
      <c r="U357" s="35"/>
      <c r="V357" s="35"/>
      <c r="W357" s="35"/>
      <c r="X357" s="35"/>
      <c r="Y357" s="35"/>
      <c r="Z357" s="35"/>
      <c r="AA357" s="35"/>
      <c r="AB357" s="35"/>
      <c r="AC357" s="35"/>
      <c r="AD357" s="35"/>
      <c r="AE357" s="35"/>
      <c r="AF357" s="35"/>
      <c r="AG357" s="35"/>
      <c r="AH357" s="35"/>
      <c r="AI357" s="35"/>
      <c r="AJ357" s="35"/>
      <c r="AK357" s="35"/>
      <c r="AL357" s="35"/>
      <c r="AM357" s="35"/>
      <c r="AN357" s="35"/>
      <c r="AO357" s="35"/>
      <c r="AP357" s="35"/>
      <c r="AQ357" s="35"/>
      <c r="AR357" s="35"/>
      <c r="AS357" s="35"/>
      <c r="AT357" s="35"/>
      <c r="AU357" s="35"/>
      <c r="AV357" s="35"/>
      <c r="AW357" s="35"/>
      <c r="AX357" s="35"/>
      <c r="AY357" s="35"/>
      <c r="AZ357" s="35"/>
      <c r="BA357" s="35"/>
      <c r="BB357" s="35"/>
      <c r="BC357" s="35"/>
      <c r="BD357" s="35"/>
      <c r="BE357" s="35"/>
      <c r="BF357" s="35"/>
      <c r="BG357" s="35"/>
      <c r="BH357" s="35"/>
      <c r="BI357" s="35"/>
      <c r="BJ357" s="35"/>
      <c r="BK357" s="35"/>
      <c r="BL357" s="35"/>
      <c r="BM357" s="35"/>
      <c r="BN357" s="35"/>
      <c r="BO357" s="35"/>
      <c r="BP357" s="35"/>
      <c r="BQ357" s="35"/>
      <c r="BR357" s="35"/>
      <c r="BS357" s="35"/>
      <c r="BT357" s="35"/>
      <c r="BU357" s="35"/>
      <c r="BV357" s="35"/>
      <c r="BW357" s="35"/>
      <c r="BX357" s="35"/>
      <c r="BY357" s="35"/>
      <c r="BZ357" s="35"/>
      <c r="CA357" s="35"/>
      <c r="CB357" s="35"/>
      <c r="CC357" s="35"/>
      <c r="CD357" s="35"/>
      <c r="CE357" s="35"/>
      <c r="CF357" s="35"/>
      <c r="CG357" s="35"/>
      <c r="CH357" s="35"/>
      <c r="CI357" s="35"/>
      <c r="CJ357" s="35"/>
      <c r="CK357" s="35"/>
      <c r="CL357" s="35"/>
      <c r="CM357" s="35"/>
      <c r="CN357" s="35"/>
      <c r="CO357" s="35"/>
      <c r="CP357" s="35"/>
      <c r="CQ357" s="35"/>
      <c r="CR357" s="35"/>
      <c r="CS357" s="35"/>
      <c r="CT357" s="35"/>
      <c r="CU357" s="35"/>
      <c r="CV357" s="35"/>
      <c r="CW357" s="35"/>
      <c r="CX357" s="35"/>
      <c r="CY357" s="35"/>
      <c r="CZ357" s="35"/>
      <c r="DA357" s="35"/>
      <c r="DB357" s="35"/>
      <c r="DC357" s="35"/>
      <c r="DD357" s="35"/>
      <c r="DE357" s="35"/>
      <c r="DF357" s="35"/>
      <c r="DG357" s="35"/>
      <c r="DH357" s="35"/>
      <c r="DI357" s="35"/>
      <c r="DJ357" s="35"/>
      <c r="DK357" s="35"/>
      <c r="DL357" s="35"/>
      <c r="DM357" s="35"/>
      <c r="DN357" s="35"/>
      <c r="DO357" s="35"/>
      <c r="DP357" s="35"/>
      <c r="DQ357" s="35"/>
      <c r="DR357" s="35"/>
      <c r="DS357" s="35"/>
      <c r="DT357" s="35"/>
      <c r="DU357" s="35"/>
      <c r="DV357" s="35"/>
      <c r="DW357" s="35"/>
      <c r="DX357" s="35"/>
      <c r="DY357" s="35"/>
      <c r="DZ357" s="35"/>
      <c r="EA357" s="35"/>
      <c r="EB357" s="35"/>
      <c r="EC357" s="35"/>
      <c r="ED357" s="35"/>
      <c r="EE357" s="35"/>
      <c r="EF357" s="35"/>
      <c r="EG357" s="35"/>
      <c r="EH357" s="35"/>
      <c r="EI357" s="35"/>
      <c r="EJ357" s="35"/>
      <c r="EK357" s="35"/>
      <c r="EL357" s="35"/>
      <c r="EM357" s="35"/>
      <c r="EN357" s="35"/>
      <c r="EO357" s="35"/>
      <c r="EP357" s="35"/>
      <c r="EQ357" s="35"/>
      <c r="ER357" s="35"/>
      <c r="ES357" s="35"/>
      <c r="ET357" s="35"/>
      <c r="EU357" s="35"/>
      <c r="EV357" s="35"/>
      <c r="EW357" s="35"/>
      <c r="EX357" s="35"/>
      <c r="EY357" s="35"/>
      <c r="EZ357" s="35"/>
      <c r="FA357" s="35"/>
      <c r="FB357" s="35"/>
      <c r="FC357" s="35"/>
      <c r="FD357" s="35"/>
      <c r="FE357" s="35"/>
      <c r="FF357" s="35"/>
      <c r="FG357" s="35"/>
      <c r="FH357" s="35"/>
      <c r="FI357" s="35"/>
      <c r="FJ357" s="35"/>
      <c r="FK357" s="35"/>
      <c r="FL357" s="35"/>
      <c r="FM357" s="35"/>
      <c r="FN357" s="35"/>
      <c r="FO357" s="35"/>
      <c r="FP357" s="35"/>
      <c r="FQ357" s="35"/>
      <c r="FR357" s="35"/>
      <c r="FS357" s="35"/>
      <c r="FT357" s="35"/>
      <c r="FU357" s="35"/>
      <c r="FV357" s="35"/>
      <c r="FW357" s="35"/>
      <c r="FX357" s="35"/>
      <c r="FY357" s="35"/>
      <c r="FZ357" s="35"/>
      <c r="GA357" s="35"/>
      <c r="GB357" s="35"/>
      <c r="GC357" s="35"/>
      <c r="GD357" s="35"/>
      <c r="GE357" s="35"/>
      <c r="GF357" s="35"/>
      <c r="GG357" s="35"/>
      <c r="GH357" s="35"/>
      <c r="GI357" s="35"/>
      <c r="GJ357" s="35"/>
      <c r="GK357" s="35"/>
      <c r="GL357" s="35"/>
      <c r="GM357" s="35"/>
      <c r="GN357" s="35"/>
      <c r="GO357" s="35"/>
      <c r="GP357" s="35"/>
      <c r="GQ357" s="35"/>
      <c r="GR357" s="35"/>
      <c r="GS357" s="35"/>
      <c r="GT357" s="35"/>
      <c r="GU357" s="35"/>
      <c r="GV357" s="35"/>
      <c r="GW357" s="35"/>
      <c r="GX357" s="35"/>
      <c r="GY357" s="35"/>
      <c r="GZ357" s="35"/>
      <c r="HA357" s="35"/>
      <c r="HB357" s="35"/>
      <c r="HC357" s="35"/>
      <c r="HD357" s="35"/>
      <c r="HE357" s="35"/>
      <c r="HF357" s="35"/>
      <c r="HG357" s="35"/>
      <c r="HH357" s="35"/>
      <c r="HI357" s="35"/>
      <c r="HJ357" s="35"/>
      <c r="HK357" s="35"/>
      <c r="HL357" s="35"/>
      <c r="HM357" s="35"/>
      <c r="HN357" s="35"/>
      <c r="HO357" s="35"/>
      <c r="HP357" s="35"/>
      <c r="HQ357" s="35"/>
      <c r="HR357" s="35"/>
      <c r="HS357" s="35"/>
      <c r="HT357" s="35"/>
      <c r="HU357" s="35"/>
      <c r="HV357" s="35"/>
      <c r="HW357" s="35"/>
      <c r="HX357" s="35"/>
      <c r="HY357" s="35"/>
      <c r="HZ357" s="35"/>
      <c r="IA357" s="35"/>
      <c r="IB357" s="35"/>
      <c r="IC357" s="35"/>
      <c r="ID357" s="35"/>
      <c r="IE357" s="35"/>
      <c r="IF357" s="35"/>
      <c r="IG357" s="35"/>
      <c r="IH357" s="35"/>
      <c r="II357" s="35"/>
      <c r="IJ357" s="35"/>
      <c r="IK357" s="35"/>
      <c r="IL357" s="35"/>
      <c r="IM357" s="35"/>
      <c r="IN357" s="35"/>
      <c r="IO357" s="35"/>
      <c r="IP357" s="35"/>
      <c r="IQ357" s="35"/>
      <c r="IR357" s="35"/>
      <c r="IS357" s="35"/>
      <c r="IT357" s="35"/>
      <c r="IU357" s="35"/>
      <c r="IV357" s="35"/>
      <c r="IW357" s="35"/>
      <c r="IX357" s="35"/>
      <c r="IY357" s="35"/>
      <c r="IZ357" s="35"/>
      <c r="JA357" s="35"/>
      <c r="JB357" s="35"/>
      <c r="JC357" s="35"/>
      <c r="JD357" s="35"/>
      <c r="JE357" s="35"/>
      <c r="JF357" s="35"/>
      <c r="JG357" s="35"/>
      <c r="JH357" s="35"/>
      <c r="JI357" s="35"/>
      <c r="JJ357" s="35"/>
      <c r="JK357" s="35"/>
      <c r="JL357" s="35"/>
      <c r="JM357" s="35"/>
      <c r="JN357" s="35"/>
      <c r="JO357" s="35"/>
      <c r="JP357" s="35"/>
      <c r="JQ357" s="35"/>
      <c r="JR357" s="35"/>
      <c r="JS357" s="35"/>
      <c r="JT357" s="35"/>
      <c r="JU357" s="35"/>
      <c r="JV357" s="35"/>
      <c r="JW357" s="35"/>
      <c r="JX357" s="35"/>
      <c r="JY357" s="35"/>
      <c r="JZ357" s="35"/>
      <c r="KA357" s="35"/>
      <c r="KB357" s="35"/>
      <c r="KC357" s="35"/>
      <c r="KD357" s="35"/>
      <c r="KE357" s="35"/>
      <c r="KF357" s="35"/>
      <c r="KG357" s="35"/>
      <c r="KH357" s="35"/>
      <c r="KI357" s="35"/>
      <c r="KJ357" s="35"/>
      <c r="KK357" s="35"/>
      <c r="KL357" s="35"/>
      <c r="KM357" s="35"/>
      <c r="KN357" s="35"/>
      <c r="KO357" s="35"/>
      <c r="KP357" s="35"/>
      <c r="KQ357" s="35"/>
      <c r="KR357" s="35"/>
      <c r="KS357" s="35"/>
      <c r="KT357" s="35"/>
      <c r="KU357" s="35"/>
      <c r="KV357" s="35"/>
      <c r="KW357" s="35"/>
      <c r="KX357" s="35"/>
      <c r="KY357" s="35"/>
      <c r="KZ357" s="35"/>
      <c r="LA357" s="35"/>
      <c r="LB357" s="35"/>
      <c r="LC357" s="35"/>
      <c r="LD357" s="35"/>
      <c r="LE357" s="35"/>
      <c r="LF357" s="35"/>
      <c r="LG357" s="35"/>
      <c r="LH357" s="35"/>
      <c r="LI357" s="35"/>
      <c r="LJ357" s="35"/>
      <c r="LK357" s="35"/>
      <c r="LL357" s="35"/>
      <c r="LM357" s="35"/>
      <c r="LN357" s="35"/>
      <c r="LO357" s="35"/>
      <c r="LP357" s="35"/>
      <c r="LQ357" s="35"/>
      <c r="LR357" s="35"/>
      <c r="LS357" s="35"/>
      <c r="LT357" s="35"/>
      <c r="LU357" s="35"/>
      <c r="LV357" s="35"/>
      <c r="LW357" s="35"/>
      <c r="LX357" s="35"/>
      <c r="LY357" s="35"/>
      <c r="LZ357" s="35"/>
      <c r="MA357" s="35"/>
      <c r="MB357" s="35"/>
      <c r="MC357" s="35"/>
      <c r="MD357" s="35"/>
      <c r="ME357" s="35"/>
      <c r="MF357" s="35"/>
      <c r="MG357" s="35"/>
    </row>
    <row r="358" spans="1:345" s="67" customFormat="1" ht="36" hidden="1" customHeight="1" x14ac:dyDescent="0.25">
      <c r="A358" s="113"/>
      <c r="B358" s="28" t="s">
        <v>229</v>
      </c>
      <c r="C358" s="21" t="s">
        <v>4458</v>
      </c>
      <c r="D358" s="19" t="s">
        <v>4523</v>
      </c>
      <c r="E358" s="18">
        <v>44077.836041666669</v>
      </c>
      <c r="F358" s="27"/>
      <c r="G358" s="34"/>
      <c r="H358" s="25"/>
      <c r="I358" s="112"/>
      <c r="J358" s="34"/>
      <c r="K358" s="22"/>
      <c r="L358" s="23">
        <v>44082</v>
      </c>
      <c r="M358" s="23"/>
      <c r="N358" s="26" t="s">
        <v>4524</v>
      </c>
      <c r="O358" s="26" t="s">
        <v>4534</v>
      </c>
      <c r="P358" s="35"/>
      <c r="Q358" s="35"/>
      <c r="R358" s="20"/>
      <c r="S358" s="35"/>
      <c r="T358" s="35"/>
      <c r="U358" s="35"/>
      <c r="V358" s="35"/>
      <c r="W358" s="35"/>
      <c r="X358" s="35"/>
      <c r="Y358" s="35"/>
      <c r="Z358" s="35"/>
      <c r="AA358" s="35"/>
      <c r="AB358" s="35"/>
      <c r="AC358" s="35"/>
      <c r="AD358" s="35"/>
      <c r="AE358" s="35"/>
      <c r="AF358" s="35"/>
      <c r="AG358" s="35"/>
      <c r="AH358" s="35"/>
      <c r="AI358" s="35"/>
      <c r="AJ358" s="35"/>
      <c r="AK358" s="35"/>
      <c r="AL358" s="35"/>
      <c r="AM358" s="35"/>
      <c r="AN358" s="35"/>
      <c r="AO358" s="35"/>
      <c r="AP358" s="35"/>
      <c r="AQ358" s="35"/>
      <c r="AR358" s="35"/>
      <c r="AS358" s="35"/>
      <c r="AT358" s="35"/>
      <c r="AU358" s="35"/>
      <c r="AV358" s="35"/>
      <c r="AW358" s="35"/>
      <c r="AX358" s="35"/>
      <c r="AY358" s="35"/>
      <c r="AZ358" s="35"/>
      <c r="BA358" s="35"/>
      <c r="BB358" s="35"/>
      <c r="BC358" s="35"/>
      <c r="BD358" s="35"/>
      <c r="BE358" s="35"/>
      <c r="BF358" s="35"/>
      <c r="BG358" s="35"/>
      <c r="BH358" s="35"/>
      <c r="BI358" s="35"/>
      <c r="BJ358" s="35"/>
      <c r="BK358" s="35"/>
      <c r="BL358" s="35"/>
      <c r="BM358" s="35"/>
      <c r="BN358" s="35"/>
      <c r="BO358" s="35"/>
      <c r="BP358" s="35"/>
      <c r="BQ358" s="35"/>
      <c r="BR358" s="35"/>
      <c r="BS358" s="35"/>
      <c r="BT358" s="35"/>
      <c r="BU358" s="35"/>
      <c r="BV358" s="35"/>
      <c r="BW358" s="35"/>
      <c r="BX358" s="35"/>
      <c r="BY358" s="35"/>
      <c r="BZ358" s="35"/>
      <c r="CA358" s="35"/>
      <c r="CB358" s="35"/>
      <c r="CC358" s="35"/>
      <c r="CD358" s="35"/>
      <c r="CE358" s="35"/>
      <c r="CF358" s="35"/>
      <c r="CG358" s="35"/>
      <c r="CH358" s="35"/>
      <c r="CI358" s="35"/>
      <c r="CJ358" s="35"/>
      <c r="CK358" s="35"/>
      <c r="CL358" s="35"/>
      <c r="CM358" s="35"/>
      <c r="CN358" s="35"/>
      <c r="CO358" s="35"/>
      <c r="CP358" s="35"/>
      <c r="CQ358" s="35"/>
      <c r="CR358" s="35"/>
      <c r="CS358" s="35"/>
      <c r="CT358" s="35"/>
      <c r="CU358" s="35"/>
      <c r="CV358" s="35"/>
      <c r="CW358" s="35"/>
      <c r="CX358" s="35"/>
      <c r="CY358" s="35"/>
      <c r="CZ358" s="35"/>
      <c r="DA358" s="35"/>
      <c r="DB358" s="35"/>
      <c r="DC358" s="35"/>
      <c r="DD358" s="35"/>
      <c r="DE358" s="35"/>
      <c r="DF358" s="35"/>
      <c r="DG358" s="35"/>
      <c r="DH358" s="35"/>
      <c r="DI358" s="35"/>
      <c r="DJ358" s="35"/>
      <c r="DK358" s="35"/>
      <c r="DL358" s="35"/>
      <c r="DM358" s="35"/>
      <c r="DN358" s="35"/>
      <c r="DO358" s="35"/>
      <c r="DP358" s="35"/>
      <c r="DQ358" s="35"/>
      <c r="DR358" s="35"/>
      <c r="DS358" s="35"/>
      <c r="DT358" s="35"/>
      <c r="DU358" s="35"/>
      <c r="DV358" s="35"/>
      <c r="DW358" s="35"/>
      <c r="DX358" s="35"/>
      <c r="DY358" s="35"/>
      <c r="DZ358" s="35"/>
      <c r="EA358" s="35"/>
      <c r="EB358" s="35"/>
      <c r="EC358" s="35"/>
      <c r="ED358" s="35"/>
      <c r="EE358" s="35"/>
      <c r="EF358" s="35"/>
      <c r="EG358" s="35"/>
      <c r="EH358" s="35"/>
      <c r="EI358" s="35"/>
      <c r="EJ358" s="35"/>
      <c r="EK358" s="35"/>
      <c r="EL358" s="35"/>
      <c r="EM358" s="35"/>
      <c r="EN358" s="35"/>
      <c r="EO358" s="35"/>
      <c r="EP358" s="35"/>
      <c r="EQ358" s="35"/>
      <c r="ER358" s="35"/>
      <c r="ES358" s="35"/>
      <c r="ET358" s="35"/>
      <c r="EU358" s="35"/>
      <c r="EV358" s="35"/>
      <c r="EW358" s="35"/>
      <c r="EX358" s="35"/>
      <c r="EY358" s="35"/>
      <c r="EZ358" s="35"/>
      <c r="FA358" s="35"/>
      <c r="FB358" s="35"/>
      <c r="FC358" s="35"/>
      <c r="FD358" s="35"/>
      <c r="FE358" s="35"/>
      <c r="FF358" s="35"/>
      <c r="FG358" s="35"/>
      <c r="FH358" s="35"/>
      <c r="FI358" s="35"/>
      <c r="FJ358" s="35"/>
      <c r="FK358" s="35"/>
      <c r="FL358" s="35"/>
      <c r="FM358" s="35"/>
      <c r="FN358" s="35"/>
      <c r="FO358" s="35"/>
      <c r="FP358" s="35"/>
      <c r="FQ358" s="35"/>
      <c r="FR358" s="35"/>
      <c r="FS358" s="35"/>
      <c r="FT358" s="35"/>
      <c r="FU358" s="35"/>
      <c r="FV358" s="35"/>
      <c r="FW358" s="35"/>
      <c r="FX358" s="35"/>
      <c r="FY358" s="35"/>
      <c r="FZ358" s="35"/>
      <c r="GA358" s="35"/>
      <c r="GB358" s="35"/>
      <c r="GC358" s="35"/>
      <c r="GD358" s="35"/>
      <c r="GE358" s="35"/>
      <c r="GF358" s="35"/>
      <c r="GG358" s="35"/>
      <c r="GH358" s="35"/>
      <c r="GI358" s="35"/>
      <c r="GJ358" s="35"/>
      <c r="GK358" s="35"/>
      <c r="GL358" s="35"/>
      <c r="GM358" s="35"/>
      <c r="GN358" s="35"/>
      <c r="GO358" s="35"/>
      <c r="GP358" s="35"/>
      <c r="GQ358" s="35"/>
      <c r="GR358" s="35"/>
      <c r="GS358" s="35"/>
      <c r="GT358" s="35"/>
      <c r="GU358" s="35"/>
      <c r="GV358" s="35"/>
      <c r="GW358" s="35"/>
      <c r="GX358" s="35"/>
      <c r="GY358" s="35"/>
      <c r="GZ358" s="35"/>
      <c r="HA358" s="35"/>
      <c r="HB358" s="35"/>
      <c r="HC358" s="35"/>
      <c r="HD358" s="35"/>
      <c r="HE358" s="35"/>
      <c r="HF358" s="35"/>
      <c r="HG358" s="35"/>
      <c r="HH358" s="35"/>
      <c r="HI358" s="35"/>
      <c r="HJ358" s="35"/>
      <c r="HK358" s="35"/>
      <c r="HL358" s="35"/>
      <c r="HM358" s="35"/>
      <c r="HN358" s="35"/>
      <c r="HO358" s="35"/>
      <c r="HP358" s="35"/>
      <c r="HQ358" s="35"/>
      <c r="HR358" s="35"/>
      <c r="HS358" s="35"/>
      <c r="HT358" s="35"/>
      <c r="HU358" s="35"/>
      <c r="HV358" s="35"/>
      <c r="HW358" s="35"/>
      <c r="HX358" s="35"/>
      <c r="HY358" s="35"/>
      <c r="HZ358" s="35"/>
      <c r="IA358" s="35"/>
      <c r="IB358" s="35"/>
      <c r="IC358" s="35"/>
      <c r="ID358" s="35"/>
      <c r="IE358" s="35"/>
      <c r="IF358" s="35"/>
      <c r="IG358" s="35"/>
      <c r="IH358" s="35"/>
      <c r="II358" s="35"/>
      <c r="IJ358" s="35"/>
      <c r="IK358" s="35"/>
      <c r="IL358" s="35"/>
      <c r="IM358" s="35"/>
      <c r="IN358" s="35"/>
      <c r="IO358" s="35"/>
      <c r="IP358" s="35"/>
      <c r="IQ358" s="35"/>
      <c r="IR358" s="35"/>
      <c r="IS358" s="35"/>
      <c r="IT358" s="35"/>
      <c r="IU358" s="35"/>
      <c r="IV358" s="35"/>
      <c r="IW358" s="35"/>
      <c r="IX358" s="35"/>
      <c r="IY358" s="35"/>
      <c r="IZ358" s="35"/>
      <c r="JA358" s="35"/>
      <c r="JB358" s="35"/>
      <c r="JC358" s="35"/>
      <c r="JD358" s="35"/>
      <c r="JE358" s="35"/>
      <c r="JF358" s="35"/>
      <c r="JG358" s="35"/>
      <c r="JH358" s="35"/>
      <c r="JI358" s="35"/>
      <c r="JJ358" s="35"/>
      <c r="JK358" s="35"/>
      <c r="JL358" s="35"/>
      <c r="JM358" s="35"/>
      <c r="JN358" s="35"/>
      <c r="JO358" s="35"/>
      <c r="JP358" s="35"/>
      <c r="JQ358" s="35"/>
      <c r="JR358" s="35"/>
      <c r="JS358" s="35"/>
      <c r="JT358" s="35"/>
      <c r="JU358" s="35"/>
      <c r="JV358" s="35"/>
      <c r="JW358" s="35"/>
      <c r="JX358" s="35"/>
      <c r="JY358" s="35"/>
      <c r="JZ358" s="35"/>
      <c r="KA358" s="35"/>
      <c r="KB358" s="35"/>
      <c r="KC358" s="35"/>
      <c r="KD358" s="35"/>
      <c r="KE358" s="35"/>
      <c r="KF358" s="35"/>
      <c r="KG358" s="35"/>
      <c r="KH358" s="35"/>
      <c r="KI358" s="35"/>
      <c r="KJ358" s="35"/>
      <c r="KK358" s="35"/>
      <c r="KL358" s="35"/>
      <c r="KM358" s="35"/>
      <c r="KN358" s="35"/>
      <c r="KO358" s="35"/>
      <c r="KP358" s="35"/>
      <c r="KQ358" s="35"/>
      <c r="KR358" s="35"/>
      <c r="KS358" s="35"/>
      <c r="KT358" s="35"/>
      <c r="KU358" s="35"/>
      <c r="KV358" s="35"/>
      <c r="KW358" s="35"/>
      <c r="KX358" s="35"/>
      <c r="KY358" s="35"/>
      <c r="KZ358" s="35"/>
      <c r="LA358" s="35"/>
      <c r="LB358" s="35"/>
      <c r="LC358" s="35"/>
      <c r="LD358" s="35"/>
      <c r="LE358" s="35"/>
      <c r="LF358" s="35"/>
      <c r="LG358" s="35"/>
      <c r="LH358" s="35"/>
      <c r="LI358" s="35"/>
      <c r="LJ358" s="35"/>
      <c r="LK358" s="35"/>
      <c r="LL358" s="35"/>
      <c r="LM358" s="35"/>
      <c r="LN358" s="35"/>
      <c r="LO358" s="35"/>
      <c r="LP358" s="35"/>
      <c r="LQ358" s="35"/>
      <c r="LR358" s="35"/>
      <c r="LS358" s="35"/>
      <c r="LT358" s="35"/>
      <c r="LU358" s="35"/>
      <c r="LV358" s="35"/>
      <c r="LW358" s="35"/>
      <c r="LX358" s="35"/>
      <c r="LY358" s="35"/>
      <c r="LZ358" s="35"/>
      <c r="MA358" s="35"/>
      <c r="MB358" s="35"/>
      <c r="MC358" s="35"/>
      <c r="MD358" s="35"/>
      <c r="ME358" s="35"/>
      <c r="MF358" s="35"/>
      <c r="MG358" s="35"/>
    </row>
    <row r="359" spans="1:345" s="67" customFormat="1" ht="36" hidden="1" customHeight="1" x14ac:dyDescent="0.25">
      <c r="A359" s="113"/>
      <c r="B359" s="28" t="s">
        <v>266</v>
      </c>
      <c r="C359" s="21" t="s">
        <v>37</v>
      </c>
      <c r="D359" s="19" t="s">
        <v>4532</v>
      </c>
      <c r="E359" s="18">
        <v>44082</v>
      </c>
      <c r="F359" s="27"/>
      <c r="G359" s="34"/>
      <c r="H359" s="25"/>
      <c r="I359" s="62"/>
      <c r="J359" s="34"/>
      <c r="K359" s="22"/>
      <c r="L359" s="23">
        <v>44084</v>
      </c>
      <c r="M359" s="23" t="s">
        <v>4443</v>
      </c>
      <c r="N359" s="26" t="s">
        <v>153</v>
      </c>
      <c r="O359" s="26" t="s">
        <v>4546</v>
      </c>
      <c r="P359" s="35"/>
      <c r="Q359" s="35"/>
      <c r="R359" s="20"/>
      <c r="S359" s="35"/>
      <c r="T359" s="35"/>
      <c r="U359" s="35"/>
      <c r="V359" s="35"/>
      <c r="W359" s="35"/>
      <c r="X359" s="35"/>
      <c r="Y359" s="35"/>
      <c r="Z359" s="35"/>
      <c r="AA359" s="35"/>
      <c r="AB359" s="35"/>
      <c r="AC359" s="35"/>
      <c r="AD359" s="35"/>
      <c r="AE359" s="35"/>
      <c r="AF359" s="35"/>
      <c r="AG359" s="35"/>
      <c r="AH359" s="35"/>
      <c r="AI359" s="35"/>
      <c r="AJ359" s="35"/>
      <c r="AK359" s="35"/>
      <c r="AL359" s="35"/>
      <c r="AM359" s="35"/>
      <c r="AN359" s="35"/>
      <c r="AO359" s="35"/>
      <c r="AP359" s="35"/>
      <c r="AQ359" s="35"/>
      <c r="AR359" s="35"/>
      <c r="AS359" s="35"/>
      <c r="AT359" s="35"/>
      <c r="AU359" s="35"/>
      <c r="AV359" s="35"/>
      <c r="AW359" s="35"/>
      <c r="AX359" s="35"/>
      <c r="AY359" s="35"/>
      <c r="AZ359" s="35"/>
      <c r="BA359" s="35"/>
      <c r="BB359" s="35"/>
      <c r="BC359" s="35"/>
      <c r="BD359" s="35"/>
      <c r="BE359" s="35"/>
      <c r="BF359" s="35"/>
      <c r="BG359" s="35"/>
      <c r="BH359" s="35"/>
      <c r="BI359" s="35"/>
      <c r="BJ359" s="35"/>
      <c r="BK359" s="35"/>
      <c r="BL359" s="35"/>
      <c r="BM359" s="35"/>
      <c r="BN359" s="35"/>
      <c r="BO359" s="35"/>
      <c r="BP359" s="35"/>
      <c r="BQ359" s="35"/>
      <c r="BR359" s="35"/>
      <c r="BS359" s="35"/>
      <c r="BT359" s="35"/>
      <c r="BU359" s="35"/>
      <c r="BV359" s="35"/>
      <c r="BW359" s="35"/>
      <c r="BX359" s="35"/>
      <c r="BY359" s="35"/>
      <c r="BZ359" s="35"/>
      <c r="CA359" s="35"/>
      <c r="CB359" s="35"/>
      <c r="CC359" s="35"/>
      <c r="CD359" s="35"/>
      <c r="CE359" s="35"/>
      <c r="CF359" s="35"/>
      <c r="CG359" s="35"/>
      <c r="CH359" s="35"/>
      <c r="CI359" s="35"/>
      <c r="CJ359" s="35"/>
      <c r="CK359" s="35"/>
      <c r="CL359" s="35"/>
      <c r="CM359" s="35"/>
      <c r="CN359" s="35"/>
      <c r="CO359" s="35"/>
      <c r="CP359" s="35"/>
      <c r="CQ359" s="35"/>
      <c r="CR359" s="35"/>
      <c r="CS359" s="35"/>
      <c r="CT359" s="35"/>
      <c r="CU359" s="35"/>
      <c r="CV359" s="35"/>
      <c r="CW359" s="35"/>
      <c r="CX359" s="35"/>
      <c r="CY359" s="35"/>
      <c r="CZ359" s="35"/>
      <c r="DA359" s="35"/>
      <c r="DB359" s="35"/>
      <c r="DC359" s="35"/>
      <c r="DD359" s="35"/>
      <c r="DE359" s="35"/>
      <c r="DF359" s="35"/>
      <c r="DG359" s="35"/>
      <c r="DH359" s="35"/>
      <c r="DI359" s="35"/>
      <c r="DJ359" s="35"/>
      <c r="DK359" s="35"/>
      <c r="DL359" s="35"/>
      <c r="DM359" s="35"/>
      <c r="DN359" s="35"/>
      <c r="DO359" s="35"/>
      <c r="DP359" s="35"/>
      <c r="DQ359" s="35"/>
      <c r="DR359" s="35"/>
      <c r="DS359" s="35"/>
      <c r="DT359" s="35"/>
      <c r="DU359" s="35"/>
      <c r="DV359" s="35"/>
      <c r="DW359" s="35"/>
      <c r="DX359" s="35"/>
      <c r="DY359" s="35"/>
      <c r="DZ359" s="35"/>
      <c r="EA359" s="35"/>
      <c r="EB359" s="35"/>
      <c r="EC359" s="35"/>
      <c r="ED359" s="35"/>
      <c r="EE359" s="35"/>
      <c r="EF359" s="35"/>
      <c r="EG359" s="35"/>
      <c r="EH359" s="35"/>
      <c r="EI359" s="35"/>
      <c r="EJ359" s="35"/>
      <c r="EK359" s="35"/>
      <c r="EL359" s="35"/>
      <c r="EM359" s="35"/>
      <c r="EN359" s="35"/>
      <c r="EO359" s="35"/>
      <c r="EP359" s="35"/>
      <c r="EQ359" s="35"/>
      <c r="ER359" s="35"/>
      <c r="ES359" s="35"/>
      <c r="ET359" s="35"/>
      <c r="EU359" s="35"/>
      <c r="EV359" s="35"/>
      <c r="EW359" s="35"/>
      <c r="EX359" s="35"/>
      <c r="EY359" s="35"/>
      <c r="EZ359" s="35"/>
      <c r="FA359" s="35"/>
      <c r="FB359" s="35"/>
      <c r="FC359" s="35"/>
      <c r="FD359" s="35"/>
      <c r="FE359" s="35"/>
      <c r="FF359" s="35"/>
      <c r="FG359" s="35"/>
      <c r="FH359" s="35"/>
      <c r="FI359" s="35"/>
      <c r="FJ359" s="35"/>
      <c r="FK359" s="35"/>
      <c r="FL359" s="35"/>
      <c r="FM359" s="35"/>
      <c r="FN359" s="35"/>
      <c r="FO359" s="35"/>
      <c r="FP359" s="35"/>
      <c r="FQ359" s="35"/>
      <c r="FR359" s="35"/>
      <c r="FS359" s="35"/>
      <c r="FT359" s="35"/>
      <c r="FU359" s="35"/>
      <c r="FV359" s="35"/>
      <c r="FW359" s="35"/>
      <c r="FX359" s="35"/>
      <c r="FY359" s="35"/>
      <c r="FZ359" s="35"/>
      <c r="GA359" s="35"/>
      <c r="GB359" s="35"/>
      <c r="GC359" s="35"/>
      <c r="GD359" s="35"/>
      <c r="GE359" s="35"/>
      <c r="GF359" s="35"/>
      <c r="GG359" s="35"/>
      <c r="GH359" s="35"/>
      <c r="GI359" s="35"/>
      <c r="GJ359" s="35"/>
      <c r="GK359" s="35"/>
      <c r="GL359" s="35"/>
      <c r="GM359" s="35"/>
      <c r="GN359" s="35"/>
      <c r="GO359" s="35"/>
      <c r="GP359" s="35"/>
      <c r="GQ359" s="35"/>
      <c r="GR359" s="35"/>
      <c r="GS359" s="35"/>
      <c r="GT359" s="35"/>
      <c r="GU359" s="35"/>
      <c r="GV359" s="35"/>
      <c r="GW359" s="35"/>
      <c r="GX359" s="35"/>
      <c r="GY359" s="35"/>
      <c r="GZ359" s="35"/>
      <c r="HA359" s="35"/>
      <c r="HB359" s="35"/>
      <c r="HC359" s="35"/>
      <c r="HD359" s="35"/>
      <c r="HE359" s="35"/>
      <c r="HF359" s="35"/>
      <c r="HG359" s="35"/>
      <c r="HH359" s="35"/>
      <c r="HI359" s="35"/>
      <c r="HJ359" s="35"/>
      <c r="HK359" s="35"/>
      <c r="HL359" s="35"/>
      <c r="HM359" s="35"/>
      <c r="HN359" s="35"/>
      <c r="HO359" s="35"/>
      <c r="HP359" s="35"/>
      <c r="HQ359" s="35"/>
      <c r="HR359" s="35"/>
      <c r="HS359" s="35"/>
      <c r="HT359" s="35"/>
      <c r="HU359" s="35"/>
      <c r="HV359" s="35"/>
      <c r="HW359" s="35"/>
      <c r="HX359" s="35"/>
      <c r="HY359" s="35"/>
      <c r="HZ359" s="35"/>
      <c r="IA359" s="35"/>
      <c r="IB359" s="35"/>
      <c r="IC359" s="35"/>
      <c r="ID359" s="35"/>
      <c r="IE359" s="35"/>
      <c r="IF359" s="35"/>
      <c r="IG359" s="35"/>
      <c r="IH359" s="35"/>
      <c r="II359" s="35"/>
      <c r="IJ359" s="35"/>
      <c r="IK359" s="35"/>
      <c r="IL359" s="35"/>
      <c r="IM359" s="35"/>
      <c r="IN359" s="35"/>
      <c r="IO359" s="35"/>
      <c r="IP359" s="35"/>
      <c r="IQ359" s="35"/>
      <c r="IR359" s="35"/>
      <c r="IS359" s="35"/>
      <c r="IT359" s="35"/>
      <c r="IU359" s="35"/>
      <c r="IV359" s="35"/>
      <c r="IW359" s="35"/>
      <c r="IX359" s="35"/>
      <c r="IY359" s="35"/>
      <c r="IZ359" s="35"/>
      <c r="JA359" s="35"/>
      <c r="JB359" s="35"/>
      <c r="JC359" s="35"/>
      <c r="JD359" s="35"/>
      <c r="JE359" s="35"/>
      <c r="JF359" s="35"/>
      <c r="JG359" s="35"/>
      <c r="JH359" s="35"/>
      <c r="JI359" s="35"/>
      <c r="JJ359" s="35"/>
      <c r="JK359" s="35"/>
      <c r="JL359" s="35"/>
      <c r="JM359" s="35"/>
      <c r="JN359" s="35"/>
      <c r="JO359" s="35"/>
      <c r="JP359" s="35"/>
      <c r="JQ359" s="35"/>
      <c r="JR359" s="35"/>
      <c r="JS359" s="35"/>
      <c r="JT359" s="35"/>
      <c r="JU359" s="35"/>
      <c r="JV359" s="35"/>
      <c r="JW359" s="35"/>
      <c r="JX359" s="35"/>
      <c r="JY359" s="35"/>
      <c r="JZ359" s="35"/>
      <c r="KA359" s="35"/>
      <c r="KB359" s="35"/>
      <c r="KC359" s="35"/>
      <c r="KD359" s="35"/>
      <c r="KE359" s="35"/>
      <c r="KF359" s="35"/>
      <c r="KG359" s="35"/>
      <c r="KH359" s="35"/>
      <c r="KI359" s="35"/>
      <c r="KJ359" s="35"/>
      <c r="KK359" s="35"/>
      <c r="KL359" s="35"/>
      <c r="KM359" s="35"/>
      <c r="KN359" s="35"/>
      <c r="KO359" s="35"/>
      <c r="KP359" s="35"/>
      <c r="KQ359" s="35"/>
      <c r="KR359" s="35"/>
      <c r="KS359" s="35"/>
      <c r="KT359" s="35"/>
      <c r="KU359" s="35"/>
      <c r="KV359" s="35"/>
      <c r="KW359" s="35"/>
      <c r="KX359" s="35"/>
      <c r="KY359" s="35"/>
      <c r="KZ359" s="35"/>
      <c r="LA359" s="35"/>
      <c r="LB359" s="35"/>
      <c r="LC359" s="35"/>
      <c r="LD359" s="35"/>
      <c r="LE359" s="35"/>
      <c r="LF359" s="35"/>
      <c r="LG359" s="35"/>
      <c r="LH359" s="35"/>
      <c r="LI359" s="35"/>
      <c r="LJ359" s="35"/>
      <c r="LK359" s="35"/>
      <c r="LL359" s="35"/>
      <c r="LM359" s="35"/>
      <c r="LN359" s="35"/>
      <c r="LO359" s="35"/>
      <c r="LP359" s="35"/>
      <c r="LQ359" s="35"/>
      <c r="LR359" s="35"/>
      <c r="LS359" s="35"/>
      <c r="LT359" s="35"/>
      <c r="LU359" s="35"/>
      <c r="LV359" s="35"/>
      <c r="LW359" s="35"/>
      <c r="LX359" s="35"/>
      <c r="LY359" s="35"/>
      <c r="LZ359" s="35"/>
      <c r="MA359" s="35"/>
      <c r="MB359" s="35"/>
      <c r="MC359" s="35"/>
      <c r="MD359" s="35"/>
      <c r="ME359" s="35"/>
      <c r="MF359" s="35"/>
      <c r="MG359" s="35"/>
    </row>
    <row r="360" spans="1:345" s="67" customFormat="1" ht="36" customHeight="1" x14ac:dyDescent="0.25">
      <c r="A360" s="113"/>
      <c r="B360" s="28" t="s">
        <v>259</v>
      </c>
      <c r="C360" s="21" t="s">
        <v>40</v>
      </c>
      <c r="D360" s="19" t="s">
        <v>4533</v>
      </c>
      <c r="E360" s="18">
        <v>44082.199560185189</v>
      </c>
      <c r="F360" s="27"/>
      <c r="G360" s="34"/>
      <c r="H360" s="25"/>
      <c r="I360" s="62" t="s">
        <v>206</v>
      </c>
      <c r="J360" s="34"/>
      <c r="K360" s="22"/>
      <c r="L360" s="23"/>
      <c r="M360" s="23"/>
      <c r="N360" s="26" t="s">
        <v>4564</v>
      </c>
      <c r="O360" s="26"/>
      <c r="P360" s="35"/>
      <c r="Q360" s="35"/>
      <c r="R360" s="20"/>
      <c r="S360" s="35"/>
      <c r="T360" s="35"/>
      <c r="U360" s="35"/>
      <c r="V360" s="35"/>
      <c r="W360" s="35"/>
      <c r="X360" s="35"/>
      <c r="Y360" s="35"/>
      <c r="Z360" s="35"/>
      <c r="AA360" s="35"/>
      <c r="AB360" s="35"/>
      <c r="AC360" s="35"/>
      <c r="AD360" s="35"/>
      <c r="AE360" s="35"/>
      <c r="AF360" s="35"/>
      <c r="AG360" s="35"/>
      <c r="AH360" s="35"/>
      <c r="AI360" s="35"/>
      <c r="AJ360" s="35"/>
      <c r="AK360" s="35"/>
      <c r="AL360" s="35"/>
      <c r="AM360" s="35"/>
      <c r="AN360" s="35"/>
      <c r="AO360" s="35"/>
      <c r="AP360" s="35"/>
      <c r="AQ360" s="35"/>
      <c r="AR360" s="35"/>
      <c r="AS360" s="35"/>
      <c r="AT360" s="35"/>
      <c r="AU360" s="35"/>
      <c r="AV360" s="35"/>
      <c r="AW360" s="35"/>
      <c r="AX360" s="35"/>
      <c r="AY360" s="35"/>
      <c r="AZ360" s="35"/>
      <c r="BA360" s="35"/>
      <c r="BB360" s="35"/>
      <c r="BC360" s="35"/>
      <c r="BD360" s="35"/>
      <c r="BE360" s="35"/>
      <c r="BF360" s="35"/>
      <c r="BG360" s="35"/>
      <c r="BH360" s="35"/>
      <c r="BI360" s="35"/>
      <c r="BJ360" s="35"/>
      <c r="BK360" s="35"/>
      <c r="BL360" s="35"/>
      <c r="BM360" s="35"/>
      <c r="BN360" s="35"/>
      <c r="BO360" s="35"/>
      <c r="BP360" s="35"/>
      <c r="BQ360" s="35"/>
      <c r="BR360" s="35"/>
      <c r="BS360" s="35"/>
      <c r="BT360" s="35"/>
      <c r="BU360" s="35"/>
      <c r="BV360" s="35"/>
      <c r="BW360" s="35"/>
      <c r="BX360" s="35"/>
      <c r="BY360" s="35"/>
      <c r="BZ360" s="35"/>
      <c r="CA360" s="35"/>
      <c r="CB360" s="35"/>
      <c r="CC360" s="35"/>
      <c r="CD360" s="35"/>
      <c r="CE360" s="35"/>
      <c r="CF360" s="35"/>
      <c r="CG360" s="35"/>
      <c r="CH360" s="35"/>
      <c r="CI360" s="35"/>
      <c r="CJ360" s="35"/>
      <c r="CK360" s="35"/>
      <c r="CL360" s="35"/>
      <c r="CM360" s="35"/>
      <c r="CN360" s="35"/>
      <c r="CO360" s="35"/>
      <c r="CP360" s="35"/>
      <c r="CQ360" s="35"/>
      <c r="CR360" s="35"/>
      <c r="CS360" s="35"/>
      <c r="CT360" s="35"/>
      <c r="CU360" s="35"/>
      <c r="CV360" s="35"/>
      <c r="CW360" s="35"/>
      <c r="CX360" s="35"/>
      <c r="CY360" s="35"/>
      <c r="CZ360" s="35"/>
      <c r="DA360" s="35"/>
      <c r="DB360" s="35"/>
      <c r="DC360" s="35"/>
      <c r="DD360" s="35"/>
      <c r="DE360" s="35"/>
      <c r="DF360" s="35"/>
      <c r="DG360" s="35"/>
      <c r="DH360" s="35"/>
      <c r="DI360" s="35"/>
      <c r="DJ360" s="35"/>
      <c r="DK360" s="35"/>
      <c r="DL360" s="35"/>
      <c r="DM360" s="35"/>
      <c r="DN360" s="35"/>
      <c r="DO360" s="35"/>
      <c r="DP360" s="35"/>
      <c r="DQ360" s="35"/>
      <c r="DR360" s="35"/>
      <c r="DS360" s="35"/>
      <c r="DT360" s="35"/>
      <c r="DU360" s="35"/>
      <c r="DV360" s="35"/>
      <c r="DW360" s="35"/>
      <c r="DX360" s="35"/>
      <c r="DY360" s="35"/>
      <c r="DZ360" s="35"/>
      <c r="EA360" s="35"/>
      <c r="EB360" s="35"/>
      <c r="EC360" s="35"/>
      <c r="ED360" s="35"/>
      <c r="EE360" s="35"/>
      <c r="EF360" s="35"/>
      <c r="EG360" s="35"/>
      <c r="EH360" s="35"/>
      <c r="EI360" s="35"/>
      <c r="EJ360" s="35"/>
      <c r="EK360" s="35"/>
      <c r="EL360" s="35"/>
      <c r="EM360" s="35"/>
      <c r="EN360" s="35"/>
      <c r="EO360" s="35"/>
      <c r="EP360" s="35"/>
      <c r="EQ360" s="35"/>
      <c r="ER360" s="35"/>
      <c r="ES360" s="35"/>
      <c r="ET360" s="35"/>
      <c r="EU360" s="35"/>
      <c r="EV360" s="35"/>
      <c r="EW360" s="35"/>
      <c r="EX360" s="35"/>
      <c r="EY360" s="35"/>
      <c r="EZ360" s="35"/>
      <c r="FA360" s="35"/>
      <c r="FB360" s="35"/>
      <c r="FC360" s="35"/>
      <c r="FD360" s="35"/>
      <c r="FE360" s="35"/>
      <c r="FF360" s="35"/>
      <c r="FG360" s="35"/>
      <c r="FH360" s="35"/>
      <c r="FI360" s="35"/>
      <c r="FJ360" s="35"/>
      <c r="FK360" s="35"/>
      <c r="FL360" s="35"/>
      <c r="FM360" s="35"/>
      <c r="FN360" s="35"/>
      <c r="FO360" s="35"/>
      <c r="FP360" s="35"/>
      <c r="FQ360" s="35"/>
      <c r="FR360" s="35"/>
      <c r="FS360" s="35"/>
      <c r="FT360" s="35"/>
      <c r="FU360" s="35"/>
      <c r="FV360" s="35"/>
      <c r="FW360" s="35"/>
      <c r="FX360" s="35"/>
      <c r="FY360" s="35"/>
      <c r="FZ360" s="35"/>
      <c r="GA360" s="35"/>
      <c r="GB360" s="35"/>
      <c r="GC360" s="35"/>
      <c r="GD360" s="35"/>
      <c r="GE360" s="35"/>
      <c r="GF360" s="35"/>
      <c r="GG360" s="35"/>
      <c r="GH360" s="35"/>
      <c r="GI360" s="35"/>
      <c r="GJ360" s="35"/>
      <c r="GK360" s="35"/>
      <c r="GL360" s="35"/>
      <c r="GM360" s="35"/>
      <c r="GN360" s="35"/>
      <c r="GO360" s="35"/>
      <c r="GP360" s="35"/>
      <c r="GQ360" s="35"/>
      <c r="GR360" s="35"/>
      <c r="GS360" s="35"/>
      <c r="GT360" s="35"/>
      <c r="GU360" s="35"/>
      <c r="GV360" s="35"/>
      <c r="GW360" s="35"/>
      <c r="GX360" s="35"/>
      <c r="GY360" s="35"/>
      <c r="GZ360" s="35"/>
      <c r="HA360" s="35"/>
      <c r="HB360" s="35"/>
      <c r="HC360" s="35"/>
      <c r="HD360" s="35"/>
      <c r="HE360" s="35"/>
      <c r="HF360" s="35"/>
      <c r="HG360" s="35"/>
      <c r="HH360" s="35"/>
      <c r="HI360" s="35"/>
      <c r="HJ360" s="35"/>
      <c r="HK360" s="35"/>
      <c r="HL360" s="35"/>
      <c r="HM360" s="35"/>
      <c r="HN360" s="35"/>
      <c r="HO360" s="35"/>
      <c r="HP360" s="35"/>
      <c r="HQ360" s="35"/>
      <c r="HR360" s="35"/>
      <c r="HS360" s="35"/>
      <c r="HT360" s="35"/>
      <c r="HU360" s="35"/>
      <c r="HV360" s="35"/>
      <c r="HW360" s="35"/>
      <c r="HX360" s="35"/>
      <c r="HY360" s="35"/>
      <c r="HZ360" s="35"/>
      <c r="IA360" s="35"/>
      <c r="IB360" s="35"/>
      <c r="IC360" s="35"/>
      <c r="ID360" s="35"/>
      <c r="IE360" s="35"/>
      <c r="IF360" s="35"/>
      <c r="IG360" s="35"/>
      <c r="IH360" s="35"/>
      <c r="II360" s="35"/>
      <c r="IJ360" s="35"/>
      <c r="IK360" s="35"/>
      <c r="IL360" s="35"/>
      <c r="IM360" s="35"/>
      <c r="IN360" s="35"/>
      <c r="IO360" s="35"/>
      <c r="IP360" s="35"/>
      <c r="IQ360" s="35"/>
      <c r="IR360" s="35"/>
      <c r="IS360" s="35"/>
      <c r="IT360" s="35"/>
      <c r="IU360" s="35"/>
      <c r="IV360" s="35"/>
      <c r="IW360" s="35"/>
      <c r="IX360" s="35"/>
      <c r="IY360" s="35"/>
      <c r="IZ360" s="35"/>
      <c r="JA360" s="35"/>
      <c r="JB360" s="35"/>
      <c r="JC360" s="35"/>
      <c r="JD360" s="35"/>
      <c r="JE360" s="35"/>
      <c r="JF360" s="35"/>
      <c r="JG360" s="35"/>
      <c r="JH360" s="35"/>
      <c r="JI360" s="35"/>
      <c r="JJ360" s="35"/>
      <c r="JK360" s="35"/>
      <c r="JL360" s="35"/>
      <c r="JM360" s="35"/>
      <c r="JN360" s="35"/>
      <c r="JO360" s="35"/>
      <c r="JP360" s="35"/>
      <c r="JQ360" s="35"/>
      <c r="JR360" s="35"/>
      <c r="JS360" s="35"/>
      <c r="JT360" s="35"/>
      <c r="JU360" s="35"/>
      <c r="JV360" s="35"/>
      <c r="JW360" s="35"/>
      <c r="JX360" s="35"/>
      <c r="JY360" s="35"/>
      <c r="JZ360" s="35"/>
      <c r="KA360" s="35"/>
      <c r="KB360" s="35"/>
      <c r="KC360" s="35"/>
      <c r="KD360" s="35"/>
      <c r="KE360" s="35"/>
      <c r="KF360" s="35"/>
      <c r="KG360" s="35"/>
      <c r="KH360" s="35"/>
      <c r="KI360" s="35"/>
      <c r="KJ360" s="35"/>
      <c r="KK360" s="35"/>
      <c r="KL360" s="35"/>
      <c r="KM360" s="35"/>
      <c r="KN360" s="35"/>
      <c r="KO360" s="35"/>
      <c r="KP360" s="35"/>
      <c r="KQ360" s="35"/>
      <c r="KR360" s="35"/>
      <c r="KS360" s="35"/>
      <c r="KT360" s="35"/>
      <c r="KU360" s="35"/>
      <c r="KV360" s="35"/>
      <c r="KW360" s="35"/>
      <c r="KX360" s="35"/>
      <c r="KY360" s="35"/>
      <c r="KZ360" s="35"/>
      <c r="LA360" s="35"/>
      <c r="LB360" s="35"/>
      <c r="LC360" s="35"/>
      <c r="LD360" s="35"/>
      <c r="LE360" s="35"/>
      <c r="LF360" s="35"/>
      <c r="LG360" s="35"/>
      <c r="LH360" s="35"/>
      <c r="LI360" s="35"/>
      <c r="LJ360" s="35"/>
      <c r="LK360" s="35"/>
      <c r="LL360" s="35"/>
      <c r="LM360" s="35"/>
      <c r="LN360" s="35"/>
      <c r="LO360" s="35"/>
      <c r="LP360" s="35"/>
      <c r="LQ360" s="35"/>
      <c r="LR360" s="35"/>
      <c r="LS360" s="35"/>
      <c r="LT360" s="35"/>
      <c r="LU360" s="35"/>
      <c r="LV360" s="35"/>
      <c r="LW360" s="35"/>
      <c r="LX360" s="35"/>
      <c r="LY360" s="35"/>
      <c r="LZ360" s="35"/>
      <c r="MA360" s="35"/>
      <c r="MB360" s="35"/>
      <c r="MC360" s="35"/>
      <c r="MD360" s="35"/>
      <c r="ME360" s="35"/>
      <c r="MF360" s="35"/>
      <c r="MG360" s="35"/>
    </row>
    <row r="361" spans="1:345" s="67" customFormat="1" ht="36" hidden="1" customHeight="1" x14ac:dyDescent="0.25">
      <c r="A361" s="113"/>
      <c r="B361" s="28" t="s">
        <v>243</v>
      </c>
      <c r="C361" s="21" t="s">
        <v>23</v>
      </c>
      <c r="D361" s="19" t="s">
        <v>4553</v>
      </c>
      <c r="E361" s="18">
        <v>44082.292430555557</v>
      </c>
      <c r="F361" s="27"/>
      <c r="G361" s="34"/>
      <c r="H361" s="25"/>
      <c r="I361" s="62" t="s">
        <v>206</v>
      </c>
      <c r="J361" s="34"/>
      <c r="K361" s="22"/>
      <c r="L361" s="23">
        <v>44086</v>
      </c>
      <c r="M361" s="23"/>
      <c r="N361" s="33" t="s">
        <v>153</v>
      </c>
      <c r="O361" s="26" t="s">
        <v>4560</v>
      </c>
      <c r="P361" s="35"/>
      <c r="Q361" s="35"/>
      <c r="R361" s="20"/>
      <c r="S361" s="35"/>
      <c r="T361" s="35"/>
      <c r="U361" s="35"/>
      <c r="V361" s="35"/>
      <c r="W361" s="35"/>
      <c r="X361" s="35"/>
      <c r="Y361" s="35"/>
      <c r="Z361" s="35"/>
      <c r="AA361" s="35"/>
      <c r="AB361" s="35"/>
      <c r="AC361" s="35"/>
      <c r="AD361" s="35"/>
      <c r="AE361" s="35"/>
      <c r="AF361" s="35"/>
      <c r="AG361" s="35"/>
      <c r="AH361" s="35"/>
      <c r="AI361" s="35"/>
      <c r="AJ361" s="35"/>
      <c r="AK361" s="35"/>
      <c r="AL361" s="35"/>
      <c r="AM361" s="35"/>
      <c r="AN361" s="35"/>
      <c r="AO361" s="35"/>
      <c r="AP361" s="35"/>
      <c r="AQ361" s="35"/>
      <c r="AR361" s="35"/>
      <c r="AS361" s="35"/>
      <c r="AT361" s="35"/>
      <c r="AU361" s="35"/>
      <c r="AV361" s="35"/>
      <c r="AW361" s="35"/>
      <c r="AX361" s="35"/>
      <c r="AY361" s="35"/>
      <c r="AZ361" s="35"/>
      <c r="BA361" s="35"/>
      <c r="BB361" s="35"/>
      <c r="BC361" s="35"/>
      <c r="BD361" s="35"/>
      <c r="BE361" s="35"/>
      <c r="BF361" s="35"/>
      <c r="BG361" s="35"/>
      <c r="BH361" s="35"/>
      <c r="BI361" s="35"/>
      <c r="BJ361" s="35"/>
      <c r="BK361" s="35"/>
      <c r="BL361" s="35"/>
      <c r="BM361" s="35"/>
      <c r="BN361" s="35"/>
      <c r="BO361" s="35"/>
      <c r="BP361" s="35"/>
      <c r="BQ361" s="35"/>
      <c r="BR361" s="35"/>
      <c r="BS361" s="35"/>
      <c r="BT361" s="35"/>
      <c r="BU361" s="35"/>
      <c r="BV361" s="35"/>
      <c r="BW361" s="35"/>
      <c r="BX361" s="35"/>
      <c r="BY361" s="35"/>
      <c r="BZ361" s="35"/>
      <c r="CA361" s="35"/>
      <c r="CB361" s="35"/>
      <c r="CC361" s="35"/>
      <c r="CD361" s="35"/>
      <c r="CE361" s="35"/>
      <c r="CF361" s="35"/>
      <c r="CG361" s="35"/>
      <c r="CH361" s="35"/>
      <c r="CI361" s="35"/>
      <c r="CJ361" s="35"/>
      <c r="CK361" s="35"/>
      <c r="CL361" s="35"/>
      <c r="CM361" s="35"/>
      <c r="CN361" s="35"/>
      <c r="CO361" s="35"/>
      <c r="CP361" s="35"/>
      <c r="CQ361" s="35"/>
      <c r="CR361" s="35"/>
      <c r="CS361" s="35"/>
      <c r="CT361" s="35"/>
      <c r="CU361" s="35"/>
      <c r="CV361" s="35"/>
      <c r="CW361" s="35"/>
      <c r="CX361" s="35"/>
      <c r="CY361" s="35"/>
      <c r="CZ361" s="35"/>
      <c r="DA361" s="35"/>
      <c r="DB361" s="35"/>
      <c r="DC361" s="35"/>
      <c r="DD361" s="35"/>
      <c r="DE361" s="35"/>
      <c r="DF361" s="35"/>
      <c r="DG361" s="35"/>
      <c r="DH361" s="35"/>
      <c r="DI361" s="35"/>
      <c r="DJ361" s="35"/>
      <c r="DK361" s="35"/>
      <c r="DL361" s="35"/>
      <c r="DM361" s="35"/>
      <c r="DN361" s="35"/>
      <c r="DO361" s="35"/>
      <c r="DP361" s="35"/>
      <c r="DQ361" s="35"/>
      <c r="DR361" s="35"/>
      <c r="DS361" s="35"/>
      <c r="DT361" s="35"/>
      <c r="DU361" s="35"/>
      <c r="DV361" s="35"/>
      <c r="DW361" s="35"/>
      <c r="DX361" s="35"/>
      <c r="DY361" s="35"/>
      <c r="DZ361" s="35"/>
      <c r="EA361" s="35"/>
      <c r="EB361" s="35"/>
      <c r="EC361" s="35"/>
      <c r="ED361" s="35"/>
      <c r="EE361" s="35"/>
      <c r="EF361" s="35"/>
      <c r="EG361" s="35"/>
      <c r="EH361" s="35"/>
      <c r="EI361" s="35"/>
      <c r="EJ361" s="35"/>
      <c r="EK361" s="35"/>
      <c r="EL361" s="35"/>
      <c r="EM361" s="35"/>
      <c r="EN361" s="35"/>
      <c r="EO361" s="35"/>
      <c r="EP361" s="35"/>
      <c r="EQ361" s="35"/>
      <c r="ER361" s="35"/>
      <c r="ES361" s="35"/>
      <c r="ET361" s="35"/>
      <c r="EU361" s="35"/>
      <c r="EV361" s="35"/>
      <c r="EW361" s="35"/>
      <c r="EX361" s="35"/>
      <c r="EY361" s="35"/>
      <c r="EZ361" s="35"/>
      <c r="FA361" s="35"/>
      <c r="FB361" s="35"/>
      <c r="FC361" s="35"/>
      <c r="FD361" s="35"/>
      <c r="FE361" s="35"/>
      <c r="FF361" s="35"/>
      <c r="FG361" s="35"/>
      <c r="FH361" s="35"/>
      <c r="FI361" s="35"/>
      <c r="FJ361" s="35"/>
      <c r="FK361" s="35"/>
      <c r="FL361" s="35"/>
      <c r="FM361" s="35"/>
      <c r="FN361" s="35"/>
      <c r="FO361" s="35"/>
      <c r="FP361" s="35"/>
      <c r="FQ361" s="35"/>
      <c r="FR361" s="35"/>
      <c r="FS361" s="35"/>
      <c r="FT361" s="35"/>
      <c r="FU361" s="35"/>
      <c r="FV361" s="35"/>
      <c r="FW361" s="35"/>
      <c r="FX361" s="35"/>
      <c r="FY361" s="35"/>
      <c r="FZ361" s="35"/>
      <c r="GA361" s="35"/>
      <c r="GB361" s="35"/>
      <c r="GC361" s="35"/>
      <c r="GD361" s="35"/>
      <c r="GE361" s="35"/>
      <c r="GF361" s="35"/>
      <c r="GG361" s="35"/>
      <c r="GH361" s="35"/>
      <c r="GI361" s="35"/>
      <c r="GJ361" s="35"/>
      <c r="GK361" s="35"/>
      <c r="GL361" s="35"/>
      <c r="GM361" s="35"/>
      <c r="GN361" s="35"/>
      <c r="GO361" s="35"/>
      <c r="GP361" s="35"/>
      <c r="GQ361" s="35"/>
      <c r="GR361" s="35"/>
      <c r="GS361" s="35"/>
      <c r="GT361" s="35"/>
      <c r="GU361" s="35"/>
      <c r="GV361" s="35"/>
      <c r="GW361" s="35"/>
      <c r="GX361" s="35"/>
      <c r="GY361" s="35"/>
      <c r="GZ361" s="35"/>
      <c r="HA361" s="35"/>
      <c r="HB361" s="35"/>
      <c r="HC361" s="35"/>
      <c r="HD361" s="35"/>
      <c r="HE361" s="35"/>
      <c r="HF361" s="35"/>
      <c r="HG361" s="35"/>
      <c r="HH361" s="35"/>
      <c r="HI361" s="35"/>
      <c r="HJ361" s="35"/>
      <c r="HK361" s="35"/>
      <c r="HL361" s="35"/>
      <c r="HM361" s="35"/>
      <c r="HN361" s="35"/>
      <c r="HO361" s="35"/>
      <c r="HP361" s="35"/>
      <c r="HQ361" s="35"/>
      <c r="HR361" s="35"/>
      <c r="HS361" s="35"/>
      <c r="HT361" s="35"/>
      <c r="HU361" s="35"/>
      <c r="HV361" s="35"/>
      <c r="HW361" s="35"/>
      <c r="HX361" s="35"/>
      <c r="HY361" s="35"/>
      <c r="HZ361" s="35"/>
      <c r="IA361" s="35"/>
      <c r="IB361" s="35"/>
      <c r="IC361" s="35"/>
      <c r="ID361" s="35"/>
      <c r="IE361" s="35"/>
      <c r="IF361" s="35"/>
      <c r="IG361" s="35"/>
      <c r="IH361" s="35"/>
      <c r="II361" s="35"/>
      <c r="IJ361" s="35"/>
      <c r="IK361" s="35"/>
      <c r="IL361" s="35"/>
      <c r="IM361" s="35"/>
      <c r="IN361" s="35"/>
      <c r="IO361" s="35"/>
      <c r="IP361" s="35"/>
      <c r="IQ361" s="35"/>
      <c r="IR361" s="35"/>
      <c r="IS361" s="35"/>
      <c r="IT361" s="35"/>
      <c r="IU361" s="35"/>
      <c r="IV361" s="35"/>
      <c r="IW361" s="35"/>
      <c r="IX361" s="35"/>
      <c r="IY361" s="35"/>
      <c r="IZ361" s="35"/>
      <c r="JA361" s="35"/>
      <c r="JB361" s="35"/>
      <c r="JC361" s="35"/>
      <c r="JD361" s="35"/>
      <c r="JE361" s="35"/>
      <c r="JF361" s="35"/>
      <c r="JG361" s="35"/>
      <c r="JH361" s="35"/>
      <c r="JI361" s="35"/>
      <c r="JJ361" s="35"/>
      <c r="JK361" s="35"/>
      <c r="JL361" s="35"/>
      <c r="JM361" s="35"/>
      <c r="JN361" s="35"/>
      <c r="JO361" s="35"/>
      <c r="JP361" s="35"/>
      <c r="JQ361" s="35"/>
      <c r="JR361" s="35"/>
      <c r="JS361" s="35"/>
      <c r="JT361" s="35"/>
      <c r="JU361" s="35"/>
      <c r="JV361" s="35"/>
      <c r="JW361" s="35"/>
      <c r="JX361" s="35"/>
      <c r="JY361" s="35"/>
      <c r="JZ361" s="35"/>
      <c r="KA361" s="35"/>
      <c r="KB361" s="35"/>
      <c r="KC361" s="35"/>
      <c r="KD361" s="35"/>
      <c r="KE361" s="35"/>
      <c r="KF361" s="35"/>
      <c r="KG361" s="35"/>
      <c r="KH361" s="35"/>
      <c r="KI361" s="35"/>
      <c r="KJ361" s="35"/>
      <c r="KK361" s="35"/>
      <c r="KL361" s="35"/>
      <c r="KM361" s="35"/>
      <c r="KN361" s="35"/>
      <c r="KO361" s="35"/>
      <c r="KP361" s="35"/>
      <c r="KQ361" s="35"/>
      <c r="KR361" s="35"/>
      <c r="KS361" s="35"/>
      <c r="KT361" s="35"/>
      <c r="KU361" s="35"/>
      <c r="KV361" s="35"/>
      <c r="KW361" s="35"/>
      <c r="KX361" s="35"/>
      <c r="KY361" s="35"/>
      <c r="KZ361" s="35"/>
      <c r="LA361" s="35"/>
      <c r="LB361" s="35"/>
      <c r="LC361" s="35"/>
      <c r="LD361" s="35"/>
      <c r="LE361" s="35"/>
      <c r="LF361" s="35"/>
      <c r="LG361" s="35"/>
      <c r="LH361" s="35"/>
      <c r="LI361" s="35"/>
      <c r="LJ361" s="35"/>
      <c r="LK361" s="35"/>
      <c r="LL361" s="35"/>
      <c r="LM361" s="35"/>
      <c r="LN361" s="35"/>
      <c r="LO361" s="35"/>
      <c r="LP361" s="35"/>
      <c r="LQ361" s="35"/>
      <c r="LR361" s="35"/>
      <c r="LS361" s="35"/>
      <c r="LT361" s="35"/>
      <c r="LU361" s="35"/>
      <c r="LV361" s="35"/>
      <c r="LW361" s="35"/>
      <c r="LX361" s="35"/>
      <c r="LY361" s="35"/>
      <c r="LZ361" s="35"/>
      <c r="MA361" s="35"/>
      <c r="MB361" s="35"/>
      <c r="MC361" s="35"/>
      <c r="MD361" s="35"/>
      <c r="ME361" s="35"/>
      <c r="MF361" s="35"/>
      <c r="MG361" s="35"/>
    </row>
    <row r="362" spans="1:345" s="67" customFormat="1" ht="36" hidden="1" customHeight="1" x14ac:dyDescent="0.25">
      <c r="A362" s="113"/>
      <c r="B362" s="28" t="s">
        <v>227</v>
      </c>
      <c r="C362" s="21" t="s">
        <v>19</v>
      </c>
      <c r="D362" s="19" t="s">
        <v>1435</v>
      </c>
      <c r="E362" s="18">
        <v>44083.755046296297</v>
      </c>
      <c r="F362" s="27"/>
      <c r="G362" s="34"/>
      <c r="H362" s="25"/>
      <c r="I362" s="62" t="s">
        <v>206</v>
      </c>
      <c r="J362" s="34"/>
      <c r="K362" s="22"/>
      <c r="L362" s="23">
        <v>44089</v>
      </c>
      <c r="M362" s="23" t="s">
        <v>4443</v>
      </c>
      <c r="N362" s="26" t="s">
        <v>4576</v>
      </c>
      <c r="O362" s="26" t="s">
        <v>4575</v>
      </c>
      <c r="P362" s="35"/>
      <c r="Q362" s="35"/>
      <c r="R362" s="20"/>
      <c r="S362" s="35"/>
      <c r="T362" s="35"/>
      <c r="U362" s="35"/>
      <c r="V362" s="35"/>
      <c r="W362" s="35"/>
      <c r="X362" s="35"/>
      <c r="Y362" s="35"/>
      <c r="Z362" s="35"/>
      <c r="AA362" s="35"/>
      <c r="AB362" s="35"/>
      <c r="AC362" s="35"/>
      <c r="AD362" s="35"/>
      <c r="AE362" s="35"/>
      <c r="AF362" s="35"/>
      <c r="AG362" s="35"/>
      <c r="AH362" s="35"/>
      <c r="AI362" s="35"/>
      <c r="AJ362" s="35"/>
      <c r="AK362" s="35"/>
      <c r="AL362" s="35"/>
      <c r="AM362" s="35"/>
      <c r="AN362" s="35"/>
      <c r="AO362" s="35"/>
      <c r="AP362" s="35"/>
      <c r="AQ362" s="35"/>
      <c r="AR362" s="35"/>
      <c r="AS362" s="35"/>
      <c r="AT362" s="35"/>
      <c r="AU362" s="35"/>
      <c r="AV362" s="35"/>
      <c r="AW362" s="35"/>
      <c r="AX362" s="35"/>
      <c r="AY362" s="35"/>
      <c r="AZ362" s="35"/>
      <c r="BA362" s="35"/>
      <c r="BB362" s="35"/>
      <c r="BC362" s="35"/>
      <c r="BD362" s="35"/>
      <c r="BE362" s="35"/>
      <c r="BF362" s="35"/>
      <c r="BG362" s="35"/>
      <c r="BH362" s="35"/>
      <c r="BI362" s="35"/>
      <c r="BJ362" s="35"/>
      <c r="BK362" s="35"/>
      <c r="BL362" s="35"/>
      <c r="BM362" s="35"/>
      <c r="BN362" s="35"/>
      <c r="BO362" s="35"/>
      <c r="BP362" s="35"/>
      <c r="BQ362" s="35"/>
      <c r="BR362" s="35"/>
      <c r="BS362" s="35"/>
      <c r="BT362" s="35"/>
      <c r="BU362" s="35"/>
      <c r="BV362" s="35"/>
      <c r="BW362" s="35"/>
      <c r="BX362" s="35"/>
      <c r="BY362" s="35"/>
      <c r="BZ362" s="35"/>
      <c r="CA362" s="35"/>
      <c r="CB362" s="35"/>
      <c r="CC362" s="35"/>
      <c r="CD362" s="35"/>
      <c r="CE362" s="35"/>
      <c r="CF362" s="35"/>
      <c r="CG362" s="35"/>
      <c r="CH362" s="35"/>
      <c r="CI362" s="35"/>
      <c r="CJ362" s="35"/>
      <c r="CK362" s="35"/>
      <c r="CL362" s="35"/>
      <c r="CM362" s="35"/>
      <c r="CN362" s="35"/>
      <c r="CO362" s="35"/>
      <c r="CP362" s="35"/>
      <c r="CQ362" s="35"/>
      <c r="CR362" s="35"/>
      <c r="CS362" s="35"/>
      <c r="CT362" s="35"/>
      <c r="CU362" s="35"/>
      <c r="CV362" s="35"/>
      <c r="CW362" s="35"/>
      <c r="CX362" s="35"/>
      <c r="CY362" s="35"/>
      <c r="CZ362" s="35"/>
      <c r="DA362" s="35"/>
      <c r="DB362" s="35"/>
      <c r="DC362" s="35"/>
      <c r="DD362" s="35"/>
      <c r="DE362" s="35"/>
      <c r="DF362" s="35"/>
      <c r="DG362" s="35"/>
      <c r="DH362" s="35"/>
      <c r="DI362" s="35"/>
      <c r="DJ362" s="35"/>
      <c r="DK362" s="35"/>
      <c r="DL362" s="35"/>
      <c r="DM362" s="35"/>
      <c r="DN362" s="35"/>
      <c r="DO362" s="35"/>
      <c r="DP362" s="35"/>
      <c r="DQ362" s="35"/>
      <c r="DR362" s="35"/>
      <c r="DS362" s="35"/>
      <c r="DT362" s="35"/>
      <c r="DU362" s="35"/>
      <c r="DV362" s="35"/>
      <c r="DW362" s="35"/>
      <c r="DX362" s="35"/>
      <c r="DY362" s="35"/>
      <c r="DZ362" s="35"/>
      <c r="EA362" s="35"/>
      <c r="EB362" s="35"/>
      <c r="EC362" s="35"/>
      <c r="ED362" s="35"/>
      <c r="EE362" s="35"/>
      <c r="EF362" s="35"/>
      <c r="EG362" s="35"/>
      <c r="EH362" s="35"/>
      <c r="EI362" s="35"/>
      <c r="EJ362" s="35"/>
      <c r="EK362" s="35"/>
      <c r="EL362" s="35"/>
      <c r="EM362" s="35"/>
      <c r="EN362" s="35"/>
      <c r="EO362" s="35"/>
      <c r="EP362" s="35"/>
      <c r="EQ362" s="35"/>
      <c r="ER362" s="35"/>
      <c r="ES362" s="35"/>
      <c r="ET362" s="35"/>
      <c r="EU362" s="35"/>
      <c r="EV362" s="35"/>
      <c r="EW362" s="35"/>
      <c r="EX362" s="35"/>
      <c r="EY362" s="35"/>
      <c r="EZ362" s="35"/>
      <c r="FA362" s="35"/>
      <c r="FB362" s="35"/>
      <c r="FC362" s="35"/>
      <c r="FD362" s="35"/>
      <c r="FE362" s="35"/>
      <c r="FF362" s="35"/>
      <c r="FG362" s="35"/>
      <c r="FH362" s="35"/>
      <c r="FI362" s="35"/>
      <c r="FJ362" s="35"/>
      <c r="FK362" s="35"/>
      <c r="FL362" s="35"/>
      <c r="FM362" s="35"/>
      <c r="FN362" s="35"/>
      <c r="FO362" s="35"/>
      <c r="FP362" s="35"/>
      <c r="FQ362" s="35"/>
      <c r="FR362" s="35"/>
      <c r="FS362" s="35"/>
      <c r="FT362" s="35"/>
      <c r="FU362" s="35"/>
      <c r="FV362" s="35"/>
      <c r="FW362" s="35"/>
      <c r="FX362" s="35"/>
      <c r="FY362" s="35"/>
      <c r="FZ362" s="35"/>
      <c r="GA362" s="35"/>
      <c r="GB362" s="35"/>
      <c r="GC362" s="35"/>
      <c r="GD362" s="35"/>
      <c r="GE362" s="35"/>
      <c r="GF362" s="35"/>
      <c r="GG362" s="35"/>
      <c r="GH362" s="35"/>
      <c r="GI362" s="35"/>
      <c r="GJ362" s="35"/>
      <c r="GK362" s="35"/>
      <c r="GL362" s="35"/>
      <c r="GM362" s="35"/>
      <c r="GN362" s="35"/>
      <c r="GO362" s="35"/>
      <c r="GP362" s="35"/>
      <c r="GQ362" s="35"/>
      <c r="GR362" s="35"/>
      <c r="GS362" s="35"/>
      <c r="GT362" s="35"/>
      <c r="GU362" s="35"/>
      <c r="GV362" s="35"/>
      <c r="GW362" s="35"/>
      <c r="GX362" s="35"/>
      <c r="GY362" s="35"/>
      <c r="GZ362" s="35"/>
      <c r="HA362" s="35"/>
      <c r="HB362" s="35"/>
      <c r="HC362" s="35"/>
      <c r="HD362" s="35"/>
      <c r="HE362" s="35"/>
      <c r="HF362" s="35"/>
      <c r="HG362" s="35"/>
      <c r="HH362" s="35"/>
      <c r="HI362" s="35"/>
      <c r="HJ362" s="35"/>
      <c r="HK362" s="35"/>
      <c r="HL362" s="35"/>
      <c r="HM362" s="35"/>
      <c r="HN362" s="35"/>
      <c r="HO362" s="35"/>
      <c r="HP362" s="35"/>
      <c r="HQ362" s="35"/>
      <c r="HR362" s="35"/>
      <c r="HS362" s="35"/>
      <c r="HT362" s="35"/>
      <c r="HU362" s="35"/>
      <c r="HV362" s="35"/>
      <c r="HW362" s="35"/>
      <c r="HX362" s="35"/>
      <c r="HY362" s="35"/>
      <c r="HZ362" s="35"/>
      <c r="IA362" s="35"/>
      <c r="IB362" s="35"/>
      <c r="IC362" s="35"/>
      <c r="ID362" s="35"/>
      <c r="IE362" s="35"/>
      <c r="IF362" s="35"/>
      <c r="IG362" s="35"/>
      <c r="IH362" s="35"/>
      <c r="II362" s="35"/>
      <c r="IJ362" s="35"/>
      <c r="IK362" s="35"/>
      <c r="IL362" s="35"/>
      <c r="IM362" s="35"/>
      <c r="IN362" s="35"/>
      <c r="IO362" s="35"/>
      <c r="IP362" s="35"/>
      <c r="IQ362" s="35"/>
      <c r="IR362" s="35"/>
      <c r="IS362" s="35"/>
      <c r="IT362" s="35"/>
      <c r="IU362" s="35"/>
      <c r="IV362" s="35"/>
      <c r="IW362" s="35"/>
      <c r="IX362" s="35"/>
      <c r="IY362" s="35"/>
      <c r="IZ362" s="35"/>
      <c r="JA362" s="35"/>
      <c r="JB362" s="35"/>
      <c r="JC362" s="35"/>
      <c r="JD362" s="35"/>
      <c r="JE362" s="35"/>
      <c r="JF362" s="35"/>
      <c r="JG362" s="35"/>
      <c r="JH362" s="35"/>
      <c r="JI362" s="35"/>
      <c r="JJ362" s="35"/>
      <c r="JK362" s="35"/>
      <c r="JL362" s="35"/>
      <c r="JM362" s="35"/>
      <c r="JN362" s="35"/>
      <c r="JO362" s="35"/>
      <c r="JP362" s="35"/>
      <c r="JQ362" s="35"/>
      <c r="JR362" s="35"/>
      <c r="JS362" s="35"/>
      <c r="JT362" s="35"/>
      <c r="JU362" s="35"/>
      <c r="JV362" s="35"/>
      <c r="JW362" s="35"/>
      <c r="JX362" s="35"/>
      <c r="JY362" s="35"/>
      <c r="JZ362" s="35"/>
      <c r="KA362" s="35"/>
      <c r="KB362" s="35"/>
      <c r="KC362" s="35"/>
      <c r="KD362" s="35"/>
      <c r="KE362" s="35"/>
      <c r="KF362" s="35"/>
      <c r="KG362" s="35"/>
      <c r="KH362" s="35"/>
      <c r="KI362" s="35"/>
      <c r="KJ362" s="35"/>
      <c r="KK362" s="35"/>
      <c r="KL362" s="35"/>
      <c r="KM362" s="35"/>
      <c r="KN362" s="35"/>
      <c r="KO362" s="35"/>
      <c r="KP362" s="35"/>
      <c r="KQ362" s="35"/>
      <c r="KR362" s="35"/>
      <c r="KS362" s="35"/>
      <c r="KT362" s="35"/>
      <c r="KU362" s="35"/>
      <c r="KV362" s="35"/>
      <c r="KW362" s="35"/>
      <c r="KX362" s="35"/>
      <c r="KY362" s="35"/>
      <c r="KZ362" s="35"/>
      <c r="LA362" s="35"/>
      <c r="LB362" s="35"/>
      <c r="LC362" s="35"/>
      <c r="LD362" s="35"/>
      <c r="LE362" s="35"/>
      <c r="LF362" s="35"/>
      <c r="LG362" s="35"/>
      <c r="LH362" s="35"/>
      <c r="LI362" s="35"/>
      <c r="LJ362" s="35"/>
      <c r="LK362" s="35"/>
      <c r="LL362" s="35"/>
      <c r="LM362" s="35"/>
      <c r="LN362" s="35"/>
      <c r="LO362" s="35"/>
      <c r="LP362" s="35"/>
      <c r="LQ362" s="35"/>
      <c r="LR362" s="35"/>
      <c r="LS362" s="35"/>
      <c r="LT362" s="35"/>
      <c r="LU362" s="35"/>
      <c r="LV362" s="35"/>
      <c r="LW362" s="35"/>
      <c r="LX362" s="35"/>
      <c r="LY362" s="35"/>
      <c r="LZ362" s="35"/>
      <c r="MA362" s="35"/>
      <c r="MB362" s="35"/>
      <c r="MC362" s="35"/>
      <c r="MD362" s="35"/>
      <c r="ME362" s="35"/>
      <c r="MF362" s="35"/>
      <c r="MG362" s="35"/>
    </row>
    <row r="363" spans="1:345" s="67" customFormat="1" ht="36" hidden="1" customHeight="1" x14ac:dyDescent="0.25">
      <c r="A363" s="113"/>
      <c r="B363" s="28" t="s">
        <v>250</v>
      </c>
      <c r="C363" s="21" t="s">
        <v>4458</v>
      </c>
      <c r="D363" s="19" t="s">
        <v>4541</v>
      </c>
      <c r="E363" s="18">
        <v>44084.340613425928</v>
      </c>
      <c r="F363" s="27"/>
      <c r="G363" s="34"/>
      <c r="H363" s="25"/>
      <c r="I363" s="112" t="s">
        <v>278</v>
      </c>
      <c r="J363" s="34"/>
      <c r="K363" s="22"/>
      <c r="L363" s="23">
        <v>44084</v>
      </c>
      <c r="M363" s="23" t="s">
        <v>4443</v>
      </c>
      <c r="N363" s="26" t="s">
        <v>153</v>
      </c>
      <c r="O363" s="26" t="s">
        <v>4544</v>
      </c>
      <c r="P363" s="35"/>
      <c r="Q363" s="35"/>
      <c r="R363" s="20"/>
      <c r="S363" s="35"/>
      <c r="T363" s="35"/>
      <c r="U363" s="35"/>
      <c r="V363" s="35"/>
      <c r="W363" s="35"/>
      <c r="X363" s="35"/>
      <c r="Y363" s="35"/>
      <c r="Z363" s="35"/>
      <c r="AA363" s="35"/>
      <c r="AB363" s="35"/>
      <c r="AC363" s="35"/>
      <c r="AD363" s="35"/>
      <c r="AE363" s="35"/>
      <c r="AF363" s="35"/>
      <c r="AG363" s="35"/>
      <c r="AH363" s="35"/>
      <c r="AI363" s="35"/>
      <c r="AJ363" s="35"/>
      <c r="AK363" s="35"/>
      <c r="AL363" s="35"/>
      <c r="AM363" s="35"/>
      <c r="AN363" s="35"/>
      <c r="AO363" s="35"/>
      <c r="AP363" s="35"/>
      <c r="AQ363" s="35"/>
      <c r="AR363" s="35"/>
      <c r="AS363" s="35"/>
      <c r="AT363" s="35"/>
      <c r="AU363" s="35"/>
      <c r="AV363" s="35"/>
      <c r="AW363" s="35"/>
      <c r="AX363" s="35"/>
      <c r="AY363" s="35"/>
      <c r="AZ363" s="35"/>
      <c r="BA363" s="35"/>
      <c r="BB363" s="35"/>
      <c r="BC363" s="35"/>
      <c r="BD363" s="35"/>
      <c r="BE363" s="35"/>
      <c r="BF363" s="35"/>
      <c r="BG363" s="35"/>
      <c r="BH363" s="35"/>
      <c r="BI363" s="35"/>
      <c r="BJ363" s="35"/>
      <c r="BK363" s="35"/>
      <c r="BL363" s="35"/>
      <c r="BM363" s="35"/>
      <c r="BN363" s="35"/>
      <c r="BO363" s="35"/>
      <c r="BP363" s="35"/>
      <c r="BQ363" s="35"/>
      <c r="BR363" s="35"/>
      <c r="BS363" s="35"/>
      <c r="BT363" s="35"/>
      <c r="BU363" s="35"/>
      <c r="BV363" s="35"/>
      <c r="BW363" s="35"/>
      <c r="BX363" s="35"/>
      <c r="BY363" s="35"/>
      <c r="BZ363" s="35"/>
      <c r="CA363" s="35"/>
      <c r="CB363" s="35"/>
      <c r="CC363" s="35"/>
      <c r="CD363" s="35"/>
      <c r="CE363" s="35"/>
      <c r="CF363" s="35"/>
      <c r="CG363" s="35"/>
      <c r="CH363" s="35"/>
      <c r="CI363" s="35"/>
      <c r="CJ363" s="35"/>
      <c r="CK363" s="35"/>
      <c r="CL363" s="35"/>
      <c r="CM363" s="35"/>
      <c r="CN363" s="35"/>
      <c r="CO363" s="35"/>
      <c r="CP363" s="35"/>
      <c r="CQ363" s="35"/>
      <c r="CR363" s="35"/>
      <c r="CS363" s="35"/>
      <c r="CT363" s="35"/>
      <c r="CU363" s="35"/>
      <c r="CV363" s="35"/>
      <c r="CW363" s="35"/>
      <c r="CX363" s="35"/>
      <c r="CY363" s="35"/>
      <c r="CZ363" s="35"/>
      <c r="DA363" s="35"/>
      <c r="DB363" s="35"/>
      <c r="DC363" s="35"/>
      <c r="DD363" s="35"/>
      <c r="DE363" s="35"/>
      <c r="DF363" s="35"/>
      <c r="DG363" s="35"/>
      <c r="DH363" s="35"/>
      <c r="DI363" s="35"/>
      <c r="DJ363" s="35"/>
      <c r="DK363" s="35"/>
      <c r="DL363" s="35"/>
      <c r="DM363" s="35"/>
      <c r="DN363" s="35"/>
      <c r="DO363" s="35"/>
      <c r="DP363" s="35"/>
      <c r="DQ363" s="35"/>
      <c r="DR363" s="35"/>
      <c r="DS363" s="35"/>
      <c r="DT363" s="35"/>
      <c r="DU363" s="35"/>
      <c r="DV363" s="35"/>
      <c r="DW363" s="35"/>
      <c r="DX363" s="35"/>
      <c r="DY363" s="35"/>
      <c r="DZ363" s="35"/>
      <c r="EA363" s="35"/>
      <c r="EB363" s="35"/>
      <c r="EC363" s="35"/>
      <c r="ED363" s="35"/>
      <c r="EE363" s="35"/>
      <c r="EF363" s="35"/>
      <c r="EG363" s="35"/>
      <c r="EH363" s="35"/>
      <c r="EI363" s="35"/>
      <c r="EJ363" s="35"/>
      <c r="EK363" s="35"/>
      <c r="EL363" s="35"/>
      <c r="EM363" s="35"/>
      <c r="EN363" s="35"/>
      <c r="EO363" s="35"/>
      <c r="EP363" s="35"/>
      <c r="EQ363" s="35"/>
      <c r="ER363" s="35"/>
      <c r="ES363" s="35"/>
      <c r="ET363" s="35"/>
      <c r="EU363" s="35"/>
      <c r="EV363" s="35"/>
      <c r="EW363" s="35"/>
      <c r="EX363" s="35"/>
      <c r="EY363" s="35"/>
      <c r="EZ363" s="35"/>
      <c r="FA363" s="35"/>
      <c r="FB363" s="35"/>
      <c r="FC363" s="35"/>
      <c r="FD363" s="35"/>
      <c r="FE363" s="35"/>
      <c r="FF363" s="35"/>
      <c r="FG363" s="35"/>
      <c r="FH363" s="35"/>
      <c r="FI363" s="35"/>
      <c r="FJ363" s="35"/>
      <c r="FK363" s="35"/>
      <c r="FL363" s="35"/>
      <c r="FM363" s="35"/>
      <c r="FN363" s="35"/>
      <c r="FO363" s="35"/>
      <c r="FP363" s="35"/>
      <c r="FQ363" s="35"/>
      <c r="FR363" s="35"/>
      <c r="FS363" s="35"/>
      <c r="FT363" s="35"/>
      <c r="FU363" s="35"/>
      <c r="FV363" s="35"/>
      <c r="FW363" s="35"/>
      <c r="FX363" s="35"/>
      <c r="FY363" s="35"/>
      <c r="FZ363" s="35"/>
      <c r="GA363" s="35"/>
      <c r="GB363" s="35"/>
      <c r="GC363" s="35"/>
      <c r="GD363" s="35"/>
      <c r="GE363" s="35"/>
      <c r="GF363" s="35"/>
      <c r="GG363" s="35"/>
      <c r="GH363" s="35"/>
      <c r="GI363" s="35"/>
      <c r="GJ363" s="35"/>
      <c r="GK363" s="35"/>
      <c r="GL363" s="35"/>
      <c r="GM363" s="35"/>
      <c r="GN363" s="35"/>
      <c r="GO363" s="35"/>
      <c r="GP363" s="35"/>
      <c r="GQ363" s="35"/>
      <c r="GR363" s="35"/>
      <c r="GS363" s="35"/>
      <c r="GT363" s="35"/>
      <c r="GU363" s="35"/>
      <c r="GV363" s="35"/>
      <c r="GW363" s="35"/>
      <c r="GX363" s="35"/>
      <c r="GY363" s="35"/>
      <c r="GZ363" s="35"/>
      <c r="HA363" s="35"/>
      <c r="HB363" s="35"/>
      <c r="HC363" s="35"/>
      <c r="HD363" s="35"/>
      <c r="HE363" s="35"/>
      <c r="HF363" s="35"/>
      <c r="HG363" s="35"/>
      <c r="HH363" s="35"/>
      <c r="HI363" s="35"/>
      <c r="HJ363" s="35"/>
      <c r="HK363" s="35"/>
      <c r="HL363" s="35"/>
      <c r="HM363" s="35"/>
      <c r="HN363" s="35"/>
      <c r="HO363" s="35"/>
      <c r="HP363" s="35"/>
      <c r="HQ363" s="35"/>
      <c r="HR363" s="35"/>
      <c r="HS363" s="35"/>
      <c r="HT363" s="35"/>
      <c r="HU363" s="35"/>
      <c r="HV363" s="35"/>
      <c r="HW363" s="35"/>
      <c r="HX363" s="35"/>
      <c r="HY363" s="35"/>
      <c r="HZ363" s="35"/>
      <c r="IA363" s="35"/>
      <c r="IB363" s="35"/>
      <c r="IC363" s="35"/>
      <c r="ID363" s="35"/>
      <c r="IE363" s="35"/>
      <c r="IF363" s="35"/>
      <c r="IG363" s="35"/>
      <c r="IH363" s="35"/>
      <c r="II363" s="35"/>
      <c r="IJ363" s="35"/>
      <c r="IK363" s="35"/>
      <c r="IL363" s="35"/>
      <c r="IM363" s="35"/>
      <c r="IN363" s="35"/>
      <c r="IO363" s="35"/>
      <c r="IP363" s="35"/>
      <c r="IQ363" s="35"/>
      <c r="IR363" s="35"/>
      <c r="IS363" s="35"/>
      <c r="IT363" s="35"/>
      <c r="IU363" s="35"/>
      <c r="IV363" s="35"/>
      <c r="IW363" s="35"/>
      <c r="IX363" s="35"/>
      <c r="IY363" s="35"/>
      <c r="IZ363" s="35"/>
      <c r="JA363" s="35"/>
      <c r="JB363" s="35"/>
      <c r="JC363" s="35"/>
      <c r="JD363" s="35"/>
      <c r="JE363" s="35"/>
      <c r="JF363" s="35"/>
      <c r="JG363" s="35"/>
      <c r="JH363" s="35"/>
      <c r="JI363" s="35"/>
      <c r="JJ363" s="35"/>
      <c r="JK363" s="35"/>
      <c r="JL363" s="35"/>
      <c r="JM363" s="35"/>
      <c r="JN363" s="35"/>
      <c r="JO363" s="35"/>
      <c r="JP363" s="35"/>
      <c r="JQ363" s="35"/>
      <c r="JR363" s="35"/>
      <c r="JS363" s="35"/>
      <c r="JT363" s="35"/>
      <c r="JU363" s="35"/>
      <c r="JV363" s="35"/>
      <c r="JW363" s="35"/>
      <c r="JX363" s="35"/>
      <c r="JY363" s="35"/>
      <c r="JZ363" s="35"/>
      <c r="KA363" s="35"/>
      <c r="KB363" s="35"/>
      <c r="KC363" s="35"/>
      <c r="KD363" s="35"/>
      <c r="KE363" s="35"/>
      <c r="KF363" s="35"/>
      <c r="KG363" s="35"/>
      <c r="KH363" s="35"/>
      <c r="KI363" s="35"/>
      <c r="KJ363" s="35"/>
      <c r="KK363" s="35"/>
      <c r="KL363" s="35"/>
      <c r="KM363" s="35"/>
      <c r="KN363" s="35"/>
      <c r="KO363" s="35"/>
      <c r="KP363" s="35"/>
      <c r="KQ363" s="35"/>
      <c r="KR363" s="35"/>
      <c r="KS363" s="35"/>
      <c r="KT363" s="35"/>
      <c r="KU363" s="35"/>
      <c r="KV363" s="35"/>
      <c r="KW363" s="35"/>
      <c r="KX363" s="35"/>
      <c r="KY363" s="35"/>
      <c r="KZ363" s="35"/>
      <c r="LA363" s="35"/>
      <c r="LB363" s="35"/>
      <c r="LC363" s="35"/>
      <c r="LD363" s="35"/>
      <c r="LE363" s="35"/>
      <c r="LF363" s="35"/>
      <c r="LG363" s="35"/>
      <c r="LH363" s="35"/>
      <c r="LI363" s="35"/>
      <c r="LJ363" s="35"/>
      <c r="LK363" s="35"/>
      <c r="LL363" s="35"/>
      <c r="LM363" s="35"/>
      <c r="LN363" s="35"/>
      <c r="LO363" s="35"/>
      <c r="LP363" s="35"/>
      <c r="LQ363" s="35"/>
      <c r="LR363" s="35"/>
      <c r="LS363" s="35"/>
      <c r="LT363" s="35"/>
      <c r="LU363" s="35"/>
      <c r="LV363" s="35"/>
      <c r="LW363" s="35"/>
      <c r="LX363" s="35"/>
      <c r="LY363" s="35"/>
      <c r="LZ363" s="35"/>
      <c r="MA363" s="35"/>
      <c r="MB363" s="35"/>
      <c r="MC363" s="35"/>
      <c r="MD363" s="35"/>
      <c r="ME363" s="35"/>
      <c r="MF363" s="35"/>
      <c r="MG363" s="35"/>
    </row>
    <row r="364" spans="1:345" s="67" customFormat="1" ht="36" customHeight="1" x14ac:dyDescent="0.25">
      <c r="A364" s="110"/>
      <c r="B364" s="84" t="s">
        <v>229</v>
      </c>
      <c r="C364" s="83" t="s">
        <v>23</v>
      </c>
      <c r="D364" s="82" t="s">
        <v>4548</v>
      </c>
      <c r="E364" s="81">
        <v>44084.74046296296</v>
      </c>
      <c r="F364" s="27"/>
      <c r="G364" s="34"/>
      <c r="H364" s="25"/>
      <c r="I364" s="62" t="s">
        <v>206</v>
      </c>
      <c r="J364" s="34"/>
      <c r="K364" s="22"/>
      <c r="L364" s="23"/>
      <c r="M364" s="23" t="s">
        <v>4443</v>
      </c>
      <c r="N364" s="26" t="s">
        <v>4564</v>
      </c>
      <c r="O364" s="26"/>
      <c r="P364" s="35"/>
      <c r="Q364" s="35"/>
      <c r="R364" s="20"/>
      <c r="S364" s="35"/>
      <c r="T364" s="35"/>
      <c r="U364" s="35"/>
      <c r="V364" s="35"/>
      <c r="W364" s="35"/>
      <c r="X364" s="35"/>
      <c r="Y364" s="35"/>
      <c r="Z364" s="35"/>
      <c r="AA364" s="35"/>
      <c r="AB364" s="35"/>
      <c r="AC364" s="35"/>
      <c r="AD364" s="35"/>
      <c r="AE364" s="35"/>
      <c r="AF364" s="35"/>
      <c r="AG364" s="35"/>
      <c r="AH364" s="35"/>
      <c r="AI364" s="35"/>
      <c r="AJ364" s="35"/>
      <c r="AK364" s="35"/>
      <c r="AL364" s="35"/>
      <c r="AM364" s="35"/>
      <c r="AN364" s="35"/>
      <c r="AO364" s="35"/>
      <c r="AP364" s="35"/>
      <c r="AQ364" s="35"/>
      <c r="AR364" s="35"/>
      <c r="AS364" s="35"/>
      <c r="AT364" s="35"/>
      <c r="AU364" s="35"/>
      <c r="AV364" s="35"/>
      <c r="AW364" s="35"/>
      <c r="AX364" s="35"/>
      <c r="AY364" s="35"/>
      <c r="AZ364" s="35"/>
      <c r="BA364" s="35"/>
      <c r="BB364" s="35"/>
      <c r="BC364" s="35"/>
      <c r="BD364" s="35"/>
      <c r="BE364" s="35"/>
      <c r="BF364" s="35"/>
      <c r="BG364" s="35"/>
      <c r="BH364" s="35"/>
      <c r="BI364" s="35"/>
      <c r="BJ364" s="35"/>
      <c r="BK364" s="35"/>
      <c r="BL364" s="35"/>
      <c r="BM364" s="35"/>
      <c r="BN364" s="35"/>
      <c r="BO364" s="35"/>
      <c r="BP364" s="35"/>
      <c r="BQ364" s="35"/>
      <c r="BR364" s="35"/>
      <c r="BS364" s="35"/>
      <c r="BT364" s="35"/>
      <c r="BU364" s="35"/>
      <c r="BV364" s="35"/>
      <c r="BW364" s="35"/>
      <c r="BX364" s="35"/>
      <c r="BY364" s="35"/>
      <c r="BZ364" s="35"/>
      <c r="CA364" s="35"/>
      <c r="CB364" s="35"/>
      <c r="CC364" s="35"/>
      <c r="CD364" s="35"/>
      <c r="CE364" s="35"/>
      <c r="CF364" s="35"/>
      <c r="CG364" s="35"/>
      <c r="CH364" s="35"/>
      <c r="CI364" s="35"/>
      <c r="CJ364" s="35"/>
      <c r="CK364" s="35"/>
      <c r="CL364" s="35"/>
      <c r="CM364" s="35"/>
      <c r="CN364" s="35"/>
      <c r="CO364" s="35"/>
      <c r="CP364" s="35"/>
      <c r="CQ364" s="35"/>
      <c r="CR364" s="35"/>
      <c r="CS364" s="35"/>
      <c r="CT364" s="35"/>
      <c r="CU364" s="35"/>
      <c r="CV364" s="35"/>
      <c r="CW364" s="35"/>
      <c r="CX364" s="35"/>
      <c r="CY364" s="35"/>
      <c r="CZ364" s="35"/>
      <c r="DA364" s="35"/>
      <c r="DB364" s="35"/>
      <c r="DC364" s="35"/>
      <c r="DD364" s="35"/>
      <c r="DE364" s="35"/>
      <c r="DF364" s="35"/>
      <c r="DG364" s="35"/>
      <c r="DH364" s="35"/>
      <c r="DI364" s="35"/>
      <c r="DJ364" s="35"/>
      <c r="DK364" s="35"/>
      <c r="DL364" s="35"/>
      <c r="DM364" s="35"/>
      <c r="DN364" s="35"/>
      <c r="DO364" s="35"/>
      <c r="DP364" s="35"/>
      <c r="DQ364" s="35"/>
      <c r="DR364" s="35"/>
      <c r="DS364" s="35"/>
      <c r="DT364" s="35"/>
      <c r="DU364" s="35"/>
      <c r="DV364" s="35"/>
      <c r="DW364" s="35"/>
      <c r="DX364" s="35"/>
      <c r="DY364" s="35"/>
      <c r="DZ364" s="35"/>
      <c r="EA364" s="35"/>
      <c r="EB364" s="35"/>
      <c r="EC364" s="35"/>
      <c r="ED364" s="35"/>
      <c r="EE364" s="35"/>
      <c r="EF364" s="35"/>
      <c r="EG364" s="35"/>
      <c r="EH364" s="35"/>
      <c r="EI364" s="35"/>
      <c r="EJ364" s="35"/>
      <c r="EK364" s="35"/>
      <c r="EL364" s="35"/>
      <c r="EM364" s="35"/>
      <c r="EN364" s="35"/>
      <c r="EO364" s="35"/>
      <c r="EP364" s="35"/>
      <c r="EQ364" s="35"/>
      <c r="ER364" s="35"/>
      <c r="ES364" s="35"/>
      <c r="ET364" s="35"/>
      <c r="EU364" s="35"/>
      <c r="EV364" s="35"/>
      <c r="EW364" s="35"/>
      <c r="EX364" s="35"/>
      <c r="EY364" s="35"/>
      <c r="EZ364" s="35"/>
      <c r="FA364" s="35"/>
      <c r="FB364" s="35"/>
      <c r="FC364" s="35"/>
      <c r="FD364" s="35"/>
      <c r="FE364" s="35"/>
      <c r="FF364" s="35"/>
      <c r="FG364" s="35"/>
      <c r="FH364" s="35"/>
      <c r="FI364" s="35"/>
      <c r="FJ364" s="35"/>
      <c r="FK364" s="35"/>
      <c r="FL364" s="35"/>
      <c r="FM364" s="35"/>
      <c r="FN364" s="35"/>
      <c r="FO364" s="35"/>
      <c r="FP364" s="35"/>
      <c r="FQ364" s="35"/>
      <c r="FR364" s="35"/>
      <c r="FS364" s="35"/>
      <c r="FT364" s="35"/>
      <c r="FU364" s="35"/>
      <c r="FV364" s="35"/>
      <c r="FW364" s="35"/>
      <c r="FX364" s="35"/>
      <c r="FY364" s="35"/>
      <c r="FZ364" s="35"/>
      <c r="GA364" s="35"/>
      <c r="GB364" s="35"/>
      <c r="GC364" s="35"/>
      <c r="GD364" s="35"/>
      <c r="GE364" s="35"/>
      <c r="GF364" s="35"/>
      <c r="GG364" s="35"/>
      <c r="GH364" s="35"/>
      <c r="GI364" s="35"/>
      <c r="GJ364" s="35"/>
      <c r="GK364" s="35"/>
      <c r="GL364" s="35"/>
      <c r="GM364" s="35"/>
      <c r="GN364" s="35"/>
      <c r="GO364" s="35"/>
      <c r="GP364" s="35"/>
      <c r="GQ364" s="35"/>
      <c r="GR364" s="35"/>
      <c r="GS364" s="35"/>
      <c r="GT364" s="35"/>
      <c r="GU364" s="35"/>
      <c r="GV364" s="35"/>
      <c r="GW364" s="35"/>
      <c r="GX364" s="35"/>
      <c r="GY364" s="35"/>
      <c r="GZ364" s="35"/>
      <c r="HA364" s="35"/>
      <c r="HB364" s="35"/>
      <c r="HC364" s="35"/>
      <c r="HD364" s="35"/>
      <c r="HE364" s="35"/>
      <c r="HF364" s="35"/>
      <c r="HG364" s="35"/>
      <c r="HH364" s="35"/>
      <c r="HI364" s="35"/>
      <c r="HJ364" s="35"/>
      <c r="HK364" s="35"/>
      <c r="HL364" s="35"/>
      <c r="HM364" s="35"/>
      <c r="HN364" s="35"/>
      <c r="HO364" s="35"/>
      <c r="HP364" s="35"/>
      <c r="HQ364" s="35"/>
      <c r="HR364" s="35"/>
      <c r="HS364" s="35"/>
      <c r="HT364" s="35"/>
      <c r="HU364" s="35"/>
      <c r="HV364" s="35"/>
      <c r="HW364" s="35"/>
      <c r="HX364" s="35"/>
      <c r="HY364" s="35"/>
      <c r="HZ364" s="35"/>
      <c r="IA364" s="35"/>
      <c r="IB364" s="35"/>
      <c r="IC364" s="35"/>
      <c r="ID364" s="35"/>
      <c r="IE364" s="35"/>
      <c r="IF364" s="35"/>
      <c r="IG364" s="35"/>
      <c r="IH364" s="35"/>
      <c r="II364" s="35"/>
      <c r="IJ364" s="35"/>
      <c r="IK364" s="35"/>
      <c r="IL364" s="35"/>
      <c r="IM364" s="35"/>
      <c r="IN364" s="35"/>
      <c r="IO364" s="35"/>
      <c r="IP364" s="35"/>
      <c r="IQ364" s="35"/>
      <c r="IR364" s="35"/>
      <c r="IS364" s="35"/>
      <c r="IT364" s="35"/>
      <c r="IU364" s="35"/>
      <c r="IV364" s="35"/>
      <c r="IW364" s="35"/>
      <c r="IX364" s="35"/>
      <c r="IY364" s="35"/>
      <c r="IZ364" s="35"/>
      <c r="JA364" s="35"/>
      <c r="JB364" s="35"/>
      <c r="JC364" s="35"/>
      <c r="JD364" s="35"/>
      <c r="JE364" s="35"/>
      <c r="JF364" s="35"/>
      <c r="JG364" s="35"/>
      <c r="JH364" s="35"/>
      <c r="JI364" s="35"/>
      <c r="JJ364" s="35"/>
      <c r="JK364" s="35"/>
      <c r="JL364" s="35"/>
      <c r="JM364" s="35"/>
      <c r="JN364" s="35"/>
      <c r="JO364" s="35"/>
      <c r="JP364" s="35"/>
      <c r="JQ364" s="35"/>
      <c r="JR364" s="35"/>
      <c r="JS364" s="35"/>
      <c r="JT364" s="35"/>
      <c r="JU364" s="35"/>
      <c r="JV364" s="35"/>
      <c r="JW364" s="35"/>
      <c r="JX364" s="35"/>
      <c r="JY364" s="35"/>
      <c r="JZ364" s="35"/>
      <c r="KA364" s="35"/>
      <c r="KB364" s="35"/>
      <c r="KC364" s="35"/>
      <c r="KD364" s="35"/>
      <c r="KE364" s="35"/>
      <c r="KF364" s="35"/>
      <c r="KG364" s="35"/>
      <c r="KH364" s="35"/>
      <c r="KI364" s="35"/>
      <c r="KJ364" s="35"/>
      <c r="KK364" s="35"/>
      <c r="KL364" s="35"/>
      <c r="KM364" s="35"/>
      <c r="KN364" s="35"/>
      <c r="KO364" s="35"/>
      <c r="KP364" s="35"/>
      <c r="KQ364" s="35"/>
      <c r="KR364" s="35"/>
      <c r="KS364" s="35"/>
      <c r="KT364" s="35"/>
      <c r="KU364" s="35"/>
      <c r="KV364" s="35"/>
      <c r="KW364" s="35"/>
      <c r="KX364" s="35"/>
      <c r="KY364" s="35"/>
      <c r="KZ364" s="35"/>
      <c r="LA364" s="35"/>
      <c r="LB364" s="35"/>
      <c r="LC364" s="35"/>
      <c r="LD364" s="35"/>
      <c r="LE364" s="35"/>
      <c r="LF364" s="35"/>
      <c r="LG364" s="35"/>
      <c r="LH364" s="35"/>
      <c r="LI364" s="35"/>
      <c r="LJ364" s="35"/>
      <c r="LK364" s="35"/>
      <c r="LL364" s="35"/>
      <c r="LM364" s="35"/>
      <c r="LN364" s="35"/>
      <c r="LO364" s="35"/>
      <c r="LP364" s="35"/>
      <c r="LQ364" s="35"/>
      <c r="LR364" s="35"/>
      <c r="LS364" s="35"/>
      <c r="LT364" s="35"/>
      <c r="LU364" s="35"/>
      <c r="LV364" s="35"/>
      <c r="LW364" s="35"/>
      <c r="LX364" s="35"/>
      <c r="LY364" s="35"/>
      <c r="LZ364" s="35"/>
      <c r="MA364" s="35"/>
      <c r="MB364" s="35"/>
      <c r="MC364" s="35"/>
      <c r="MD364" s="35"/>
      <c r="ME364" s="35"/>
      <c r="MF364" s="35"/>
      <c r="MG364" s="35"/>
    </row>
    <row r="365" spans="1:345" s="67" customFormat="1" ht="36" customHeight="1" x14ac:dyDescent="0.25">
      <c r="A365" s="113"/>
      <c r="B365" s="28" t="s">
        <v>271</v>
      </c>
      <c r="C365" s="21" t="s">
        <v>4434</v>
      </c>
      <c r="D365" s="19" t="s">
        <v>4552</v>
      </c>
      <c r="E365" s="18">
        <v>44085</v>
      </c>
      <c r="F365" s="27"/>
      <c r="G365" s="34"/>
      <c r="H365" s="25"/>
      <c r="I365" s="112"/>
      <c r="J365" s="34"/>
      <c r="K365" s="22"/>
      <c r="L365" s="23"/>
      <c r="M365" s="23" t="s">
        <v>4443</v>
      </c>
      <c r="N365" s="26" t="s">
        <v>4564</v>
      </c>
      <c r="O365" s="26"/>
      <c r="P365" s="35"/>
      <c r="Q365" s="35"/>
      <c r="R365" s="20"/>
      <c r="S365" s="35"/>
      <c r="T365" s="35"/>
      <c r="U365" s="35"/>
      <c r="V365" s="35"/>
      <c r="W365" s="35"/>
      <c r="X365" s="35"/>
      <c r="Y365" s="35"/>
      <c r="Z365" s="35"/>
      <c r="AA365" s="35"/>
      <c r="AB365" s="35"/>
      <c r="AC365" s="35"/>
      <c r="AD365" s="35"/>
      <c r="AE365" s="35"/>
      <c r="AF365" s="35"/>
      <c r="AG365" s="35"/>
      <c r="AH365" s="35"/>
      <c r="AI365" s="35"/>
      <c r="AJ365" s="35"/>
      <c r="AK365" s="35"/>
      <c r="AL365" s="35"/>
      <c r="AM365" s="35"/>
      <c r="AN365" s="35"/>
      <c r="AO365" s="35"/>
      <c r="AP365" s="35"/>
      <c r="AQ365" s="35"/>
      <c r="AR365" s="35"/>
      <c r="AS365" s="35"/>
      <c r="AT365" s="35"/>
      <c r="AU365" s="35"/>
      <c r="AV365" s="35"/>
      <c r="AW365" s="35"/>
      <c r="AX365" s="35"/>
      <c r="AY365" s="35"/>
      <c r="AZ365" s="35"/>
      <c r="BA365" s="35"/>
      <c r="BB365" s="35"/>
      <c r="BC365" s="35"/>
      <c r="BD365" s="35"/>
      <c r="BE365" s="35"/>
      <c r="BF365" s="35"/>
      <c r="BG365" s="35"/>
      <c r="BH365" s="35"/>
      <c r="BI365" s="35"/>
      <c r="BJ365" s="35"/>
      <c r="BK365" s="35"/>
      <c r="BL365" s="35"/>
      <c r="BM365" s="35"/>
      <c r="BN365" s="35"/>
      <c r="BO365" s="35"/>
      <c r="BP365" s="35"/>
      <c r="BQ365" s="35"/>
      <c r="BR365" s="35"/>
      <c r="BS365" s="35"/>
      <c r="BT365" s="35"/>
      <c r="BU365" s="35"/>
      <c r="BV365" s="35"/>
      <c r="BW365" s="35"/>
      <c r="BX365" s="35"/>
      <c r="BY365" s="35"/>
      <c r="BZ365" s="35"/>
      <c r="CA365" s="35"/>
      <c r="CB365" s="35"/>
      <c r="CC365" s="35"/>
      <c r="CD365" s="35"/>
      <c r="CE365" s="35"/>
      <c r="CF365" s="35"/>
      <c r="CG365" s="35"/>
      <c r="CH365" s="35"/>
      <c r="CI365" s="35"/>
      <c r="CJ365" s="35"/>
      <c r="CK365" s="35"/>
      <c r="CL365" s="35"/>
      <c r="CM365" s="35"/>
      <c r="CN365" s="35"/>
      <c r="CO365" s="35"/>
      <c r="CP365" s="35"/>
      <c r="CQ365" s="35"/>
      <c r="CR365" s="35"/>
      <c r="CS365" s="35"/>
      <c r="CT365" s="35"/>
      <c r="CU365" s="35"/>
      <c r="CV365" s="35"/>
      <c r="CW365" s="35"/>
      <c r="CX365" s="35"/>
      <c r="CY365" s="35"/>
      <c r="CZ365" s="35"/>
      <c r="DA365" s="35"/>
      <c r="DB365" s="35"/>
      <c r="DC365" s="35"/>
      <c r="DD365" s="35"/>
      <c r="DE365" s="35"/>
      <c r="DF365" s="35"/>
      <c r="DG365" s="35"/>
      <c r="DH365" s="35"/>
      <c r="DI365" s="35"/>
      <c r="DJ365" s="35"/>
      <c r="DK365" s="35"/>
      <c r="DL365" s="35"/>
      <c r="DM365" s="35"/>
      <c r="DN365" s="35"/>
      <c r="DO365" s="35"/>
      <c r="DP365" s="35"/>
      <c r="DQ365" s="35"/>
      <c r="DR365" s="35"/>
      <c r="DS365" s="35"/>
      <c r="DT365" s="35"/>
      <c r="DU365" s="35"/>
      <c r="DV365" s="35"/>
      <c r="DW365" s="35"/>
      <c r="DX365" s="35"/>
      <c r="DY365" s="35"/>
      <c r="DZ365" s="35"/>
      <c r="EA365" s="35"/>
      <c r="EB365" s="35"/>
      <c r="EC365" s="35"/>
      <c r="ED365" s="35"/>
      <c r="EE365" s="35"/>
      <c r="EF365" s="35"/>
      <c r="EG365" s="35"/>
      <c r="EH365" s="35"/>
      <c r="EI365" s="35"/>
      <c r="EJ365" s="35"/>
      <c r="EK365" s="35"/>
      <c r="EL365" s="35"/>
      <c r="EM365" s="35"/>
      <c r="EN365" s="35"/>
      <c r="EO365" s="35"/>
      <c r="EP365" s="35"/>
      <c r="EQ365" s="35"/>
      <c r="ER365" s="35"/>
      <c r="ES365" s="35"/>
      <c r="ET365" s="35"/>
      <c r="EU365" s="35"/>
      <c r="EV365" s="35"/>
      <c r="EW365" s="35"/>
      <c r="EX365" s="35"/>
      <c r="EY365" s="35"/>
      <c r="EZ365" s="35"/>
      <c r="FA365" s="35"/>
      <c r="FB365" s="35"/>
      <c r="FC365" s="35"/>
      <c r="FD365" s="35"/>
      <c r="FE365" s="35"/>
      <c r="FF365" s="35"/>
      <c r="FG365" s="35"/>
      <c r="FH365" s="35"/>
      <c r="FI365" s="35"/>
      <c r="FJ365" s="35"/>
      <c r="FK365" s="35"/>
      <c r="FL365" s="35"/>
      <c r="FM365" s="35"/>
      <c r="FN365" s="35"/>
      <c r="FO365" s="35"/>
      <c r="FP365" s="35"/>
      <c r="FQ365" s="35"/>
      <c r="FR365" s="35"/>
      <c r="FS365" s="35"/>
      <c r="FT365" s="35"/>
      <c r="FU365" s="35"/>
      <c r="FV365" s="35"/>
      <c r="FW365" s="35"/>
      <c r="FX365" s="35"/>
      <c r="FY365" s="35"/>
      <c r="FZ365" s="35"/>
      <c r="GA365" s="35"/>
      <c r="GB365" s="35"/>
      <c r="GC365" s="35"/>
      <c r="GD365" s="35"/>
      <c r="GE365" s="35"/>
      <c r="GF365" s="35"/>
      <c r="GG365" s="35"/>
      <c r="GH365" s="35"/>
      <c r="GI365" s="35"/>
      <c r="GJ365" s="35"/>
      <c r="GK365" s="35"/>
      <c r="GL365" s="35"/>
      <c r="GM365" s="35"/>
      <c r="GN365" s="35"/>
      <c r="GO365" s="35"/>
      <c r="GP365" s="35"/>
      <c r="GQ365" s="35"/>
      <c r="GR365" s="35"/>
      <c r="GS365" s="35"/>
      <c r="GT365" s="35"/>
      <c r="GU365" s="35"/>
      <c r="GV365" s="35"/>
      <c r="GW365" s="35"/>
      <c r="GX365" s="35"/>
      <c r="GY365" s="35"/>
      <c r="GZ365" s="35"/>
      <c r="HA365" s="35"/>
      <c r="HB365" s="35"/>
      <c r="HC365" s="35"/>
      <c r="HD365" s="35"/>
      <c r="HE365" s="35"/>
      <c r="HF365" s="35"/>
      <c r="HG365" s="35"/>
      <c r="HH365" s="35"/>
      <c r="HI365" s="35"/>
      <c r="HJ365" s="35"/>
      <c r="HK365" s="35"/>
      <c r="HL365" s="35"/>
      <c r="HM365" s="35"/>
      <c r="HN365" s="35"/>
      <c r="HO365" s="35"/>
      <c r="HP365" s="35"/>
      <c r="HQ365" s="35"/>
      <c r="HR365" s="35"/>
      <c r="HS365" s="35"/>
      <c r="HT365" s="35"/>
      <c r="HU365" s="35"/>
      <c r="HV365" s="35"/>
      <c r="HW365" s="35"/>
      <c r="HX365" s="35"/>
      <c r="HY365" s="35"/>
      <c r="HZ365" s="35"/>
      <c r="IA365" s="35"/>
      <c r="IB365" s="35"/>
      <c r="IC365" s="35"/>
      <c r="ID365" s="35"/>
      <c r="IE365" s="35"/>
      <c r="IF365" s="35"/>
      <c r="IG365" s="35"/>
      <c r="IH365" s="35"/>
      <c r="II365" s="35"/>
      <c r="IJ365" s="35"/>
      <c r="IK365" s="35"/>
      <c r="IL365" s="35"/>
      <c r="IM365" s="35"/>
      <c r="IN365" s="35"/>
      <c r="IO365" s="35"/>
      <c r="IP365" s="35"/>
      <c r="IQ365" s="35"/>
      <c r="IR365" s="35"/>
      <c r="IS365" s="35"/>
      <c r="IT365" s="35"/>
      <c r="IU365" s="35"/>
      <c r="IV365" s="35"/>
      <c r="IW365" s="35"/>
      <c r="IX365" s="35"/>
      <c r="IY365" s="35"/>
      <c r="IZ365" s="35"/>
      <c r="JA365" s="35"/>
      <c r="JB365" s="35"/>
      <c r="JC365" s="35"/>
      <c r="JD365" s="35"/>
      <c r="JE365" s="35"/>
      <c r="JF365" s="35"/>
      <c r="JG365" s="35"/>
      <c r="JH365" s="35"/>
      <c r="JI365" s="35"/>
      <c r="JJ365" s="35"/>
      <c r="JK365" s="35"/>
      <c r="JL365" s="35"/>
      <c r="JM365" s="35"/>
      <c r="JN365" s="35"/>
      <c r="JO365" s="35"/>
      <c r="JP365" s="35"/>
      <c r="JQ365" s="35"/>
      <c r="JR365" s="35"/>
      <c r="JS365" s="35"/>
      <c r="JT365" s="35"/>
      <c r="JU365" s="35"/>
      <c r="JV365" s="35"/>
      <c r="JW365" s="35"/>
      <c r="JX365" s="35"/>
      <c r="JY365" s="35"/>
      <c r="JZ365" s="35"/>
      <c r="KA365" s="35"/>
      <c r="KB365" s="35"/>
      <c r="KC365" s="35"/>
      <c r="KD365" s="35"/>
      <c r="KE365" s="35"/>
      <c r="KF365" s="35"/>
      <c r="KG365" s="35"/>
      <c r="KH365" s="35"/>
      <c r="KI365" s="35"/>
      <c r="KJ365" s="35"/>
      <c r="KK365" s="35"/>
      <c r="KL365" s="35"/>
      <c r="KM365" s="35"/>
      <c r="KN365" s="35"/>
      <c r="KO365" s="35"/>
      <c r="KP365" s="35"/>
      <c r="KQ365" s="35"/>
      <c r="KR365" s="35"/>
      <c r="KS365" s="35"/>
      <c r="KT365" s="35"/>
      <c r="KU365" s="35"/>
      <c r="KV365" s="35"/>
      <c r="KW365" s="35"/>
      <c r="KX365" s="35"/>
      <c r="KY365" s="35"/>
      <c r="KZ365" s="35"/>
      <c r="LA365" s="35"/>
      <c r="LB365" s="35"/>
      <c r="LC365" s="35"/>
      <c r="LD365" s="35"/>
      <c r="LE365" s="35"/>
      <c r="LF365" s="35"/>
      <c r="LG365" s="35"/>
      <c r="LH365" s="35"/>
      <c r="LI365" s="35"/>
      <c r="LJ365" s="35"/>
      <c r="LK365" s="35"/>
      <c r="LL365" s="35"/>
      <c r="LM365" s="35"/>
      <c r="LN365" s="35"/>
      <c r="LO365" s="35"/>
      <c r="LP365" s="35"/>
      <c r="LQ365" s="35"/>
      <c r="LR365" s="35"/>
      <c r="LS365" s="35"/>
      <c r="LT365" s="35"/>
      <c r="LU365" s="35"/>
      <c r="LV365" s="35"/>
      <c r="LW365" s="35"/>
      <c r="LX365" s="35"/>
      <c r="LY365" s="35"/>
      <c r="LZ365" s="35"/>
      <c r="MA365" s="35"/>
      <c r="MB365" s="35"/>
      <c r="MC365" s="35"/>
      <c r="MD365" s="35"/>
      <c r="ME365" s="35"/>
      <c r="MF365" s="35"/>
      <c r="MG365" s="35"/>
    </row>
    <row r="366" spans="1:345" s="67" customFormat="1" ht="36" customHeight="1" x14ac:dyDescent="0.25">
      <c r="A366" s="113"/>
      <c r="B366" s="28" t="s">
        <v>259</v>
      </c>
      <c r="C366" s="21" t="s">
        <v>4434</v>
      </c>
      <c r="D366" s="19" t="s">
        <v>4552</v>
      </c>
      <c r="E366" s="18">
        <v>44085</v>
      </c>
      <c r="F366" s="27"/>
      <c r="G366" s="34"/>
      <c r="H366" s="25"/>
      <c r="I366" s="112"/>
      <c r="J366" s="34"/>
      <c r="K366" s="22"/>
      <c r="L366" s="23"/>
      <c r="M366" s="23"/>
      <c r="N366" s="26" t="s">
        <v>4564</v>
      </c>
      <c r="O366" s="26"/>
      <c r="P366" s="35"/>
      <c r="Q366" s="35"/>
      <c r="R366" s="20"/>
      <c r="S366" s="35"/>
      <c r="T366" s="35"/>
      <c r="U366" s="35"/>
      <c r="V366" s="35"/>
      <c r="W366" s="35"/>
      <c r="X366" s="35"/>
      <c r="Y366" s="35"/>
      <c r="Z366" s="35"/>
      <c r="AA366" s="35"/>
      <c r="AB366" s="35"/>
      <c r="AC366" s="35"/>
      <c r="AD366" s="35"/>
      <c r="AE366" s="35"/>
      <c r="AF366" s="35"/>
      <c r="AG366" s="35"/>
      <c r="AH366" s="35"/>
      <c r="AI366" s="35"/>
      <c r="AJ366" s="35"/>
      <c r="AK366" s="35"/>
      <c r="AL366" s="35"/>
      <c r="AM366" s="35"/>
      <c r="AN366" s="35"/>
      <c r="AO366" s="35"/>
      <c r="AP366" s="35"/>
      <c r="AQ366" s="35"/>
      <c r="AR366" s="35"/>
      <c r="AS366" s="35"/>
      <c r="AT366" s="35"/>
      <c r="AU366" s="35"/>
      <c r="AV366" s="35"/>
      <c r="AW366" s="35"/>
      <c r="AX366" s="35"/>
      <c r="AY366" s="35"/>
      <c r="AZ366" s="35"/>
      <c r="BA366" s="35"/>
      <c r="BB366" s="35"/>
      <c r="BC366" s="35"/>
      <c r="BD366" s="35"/>
      <c r="BE366" s="35"/>
      <c r="BF366" s="35"/>
      <c r="BG366" s="35"/>
      <c r="BH366" s="35"/>
      <c r="BI366" s="35"/>
      <c r="BJ366" s="35"/>
      <c r="BK366" s="35"/>
      <c r="BL366" s="35"/>
      <c r="BM366" s="35"/>
      <c r="BN366" s="35"/>
      <c r="BO366" s="35"/>
      <c r="BP366" s="35"/>
      <c r="BQ366" s="35"/>
      <c r="BR366" s="35"/>
      <c r="BS366" s="35"/>
      <c r="BT366" s="35"/>
      <c r="BU366" s="35"/>
      <c r="BV366" s="35"/>
      <c r="BW366" s="35"/>
      <c r="BX366" s="35"/>
      <c r="BY366" s="35"/>
      <c r="BZ366" s="35"/>
      <c r="CA366" s="35"/>
      <c r="CB366" s="35"/>
      <c r="CC366" s="35"/>
      <c r="CD366" s="35"/>
      <c r="CE366" s="35"/>
      <c r="CF366" s="35"/>
      <c r="CG366" s="35"/>
      <c r="CH366" s="35"/>
      <c r="CI366" s="35"/>
      <c r="CJ366" s="35"/>
      <c r="CK366" s="35"/>
      <c r="CL366" s="35"/>
      <c r="CM366" s="35"/>
      <c r="CN366" s="35"/>
      <c r="CO366" s="35"/>
      <c r="CP366" s="35"/>
      <c r="CQ366" s="35"/>
      <c r="CR366" s="35"/>
      <c r="CS366" s="35"/>
      <c r="CT366" s="35"/>
      <c r="CU366" s="35"/>
      <c r="CV366" s="35"/>
      <c r="CW366" s="35"/>
      <c r="CX366" s="35"/>
      <c r="CY366" s="35"/>
      <c r="CZ366" s="35"/>
      <c r="DA366" s="35"/>
      <c r="DB366" s="35"/>
      <c r="DC366" s="35"/>
      <c r="DD366" s="35"/>
      <c r="DE366" s="35"/>
      <c r="DF366" s="35"/>
      <c r="DG366" s="35"/>
      <c r="DH366" s="35"/>
      <c r="DI366" s="35"/>
      <c r="DJ366" s="35"/>
      <c r="DK366" s="35"/>
      <c r="DL366" s="35"/>
      <c r="DM366" s="35"/>
      <c r="DN366" s="35"/>
      <c r="DO366" s="35"/>
      <c r="DP366" s="35"/>
      <c r="DQ366" s="35"/>
      <c r="DR366" s="35"/>
      <c r="DS366" s="35"/>
      <c r="DT366" s="35"/>
      <c r="DU366" s="35"/>
      <c r="DV366" s="35"/>
      <c r="DW366" s="35"/>
      <c r="DX366" s="35"/>
      <c r="DY366" s="35"/>
      <c r="DZ366" s="35"/>
      <c r="EA366" s="35"/>
      <c r="EB366" s="35"/>
      <c r="EC366" s="35"/>
      <c r="ED366" s="35"/>
      <c r="EE366" s="35"/>
      <c r="EF366" s="35"/>
      <c r="EG366" s="35"/>
      <c r="EH366" s="35"/>
      <c r="EI366" s="35"/>
      <c r="EJ366" s="35"/>
      <c r="EK366" s="35"/>
      <c r="EL366" s="35"/>
      <c r="EM366" s="35"/>
      <c r="EN366" s="35"/>
      <c r="EO366" s="35"/>
      <c r="EP366" s="35"/>
      <c r="EQ366" s="35"/>
      <c r="ER366" s="35"/>
      <c r="ES366" s="35"/>
      <c r="ET366" s="35"/>
      <c r="EU366" s="35"/>
      <c r="EV366" s="35"/>
      <c r="EW366" s="35"/>
      <c r="EX366" s="35"/>
      <c r="EY366" s="35"/>
      <c r="EZ366" s="35"/>
      <c r="FA366" s="35"/>
      <c r="FB366" s="35"/>
      <c r="FC366" s="35"/>
      <c r="FD366" s="35"/>
      <c r="FE366" s="35"/>
      <c r="FF366" s="35"/>
      <c r="FG366" s="35"/>
      <c r="FH366" s="35"/>
      <c r="FI366" s="35"/>
      <c r="FJ366" s="35"/>
      <c r="FK366" s="35"/>
      <c r="FL366" s="35"/>
      <c r="FM366" s="35"/>
      <c r="FN366" s="35"/>
      <c r="FO366" s="35"/>
      <c r="FP366" s="35"/>
      <c r="FQ366" s="35"/>
      <c r="FR366" s="35"/>
      <c r="FS366" s="35"/>
      <c r="FT366" s="35"/>
      <c r="FU366" s="35"/>
      <c r="FV366" s="35"/>
      <c r="FW366" s="35"/>
      <c r="FX366" s="35"/>
      <c r="FY366" s="35"/>
      <c r="FZ366" s="35"/>
      <c r="GA366" s="35"/>
      <c r="GB366" s="35"/>
      <c r="GC366" s="35"/>
      <c r="GD366" s="35"/>
      <c r="GE366" s="35"/>
      <c r="GF366" s="35"/>
      <c r="GG366" s="35"/>
      <c r="GH366" s="35"/>
      <c r="GI366" s="35"/>
      <c r="GJ366" s="35"/>
      <c r="GK366" s="35"/>
      <c r="GL366" s="35"/>
      <c r="GM366" s="35"/>
      <c r="GN366" s="35"/>
      <c r="GO366" s="35"/>
      <c r="GP366" s="35"/>
      <c r="GQ366" s="35"/>
      <c r="GR366" s="35"/>
      <c r="GS366" s="35"/>
      <c r="GT366" s="35"/>
      <c r="GU366" s="35"/>
      <c r="GV366" s="35"/>
      <c r="GW366" s="35"/>
      <c r="GX366" s="35"/>
      <c r="GY366" s="35"/>
      <c r="GZ366" s="35"/>
      <c r="HA366" s="35"/>
      <c r="HB366" s="35"/>
      <c r="HC366" s="35"/>
      <c r="HD366" s="35"/>
      <c r="HE366" s="35"/>
      <c r="HF366" s="35"/>
      <c r="HG366" s="35"/>
      <c r="HH366" s="35"/>
      <c r="HI366" s="35"/>
      <c r="HJ366" s="35"/>
      <c r="HK366" s="35"/>
      <c r="HL366" s="35"/>
      <c r="HM366" s="35"/>
      <c r="HN366" s="35"/>
      <c r="HO366" s="35"/>
      <c r="HP366" s="35"/>
      <c r="HQ366" s="35"/>
      <c r="HR366" s="35"/>
      <c r="HS366" s="35"/>
      <c r="HT366" s="35"/>
      <c r="HU366" s="35"/>
      <c r="HV366" s="35"/>
      <c r="HW366" s="35"/>
      <c r="HX366" s="35"/>
      <c r="HY366" s="35"/>
      <c r="HZ366" s="35"/>
      <c r="IA366" s="35"/>
      <c r="IB366" s="35"/>
      <c r="IC366" s="35"/>
      <c r="ID366" s="35"/>
      <c r="IE366" s="35"/>
      <c r="IF366" s="35"/>
      <c r="IG366" s="35"/>
      <c r="IH366" s="35"/>
      <c r="II366" s="35"/>
      <c r="IJ366" s="35"/>
      <c r="IK366" s="35"/>
      <c r="IL366" s="35"/>
      <c r="IM366" s="35"/>
      <c r="IN366" s="35"/>
      <c r="IO366" s="35"/>
      <c r="IP366" s="35"/>
      <c r="IQ366" s="35"/>
      <c r="IR366" s="35"/>
      <c r="IS366" s="35"/>
      <c r="IT366" s="35"/>
      <c r="IU366" s="35"/>
      <c r="IV366" s="35"/>
      <c r="IW366" s="35"/>
      <c r="IX366" s="35"/>
      <c r="IY366" s="35"/>
      <c r="IZ366" s="35"/>
      <c r="JA366" s="35"/>
      <c r="JB366" s="35"/>
      <c r="JC366" s="35"/>
      <c r="JD366" s="35"/>
      <c r="JE366" s="35"/>
      <c r="JF366" s="35"/>
      <c r="JG366" s="35"/>
      <c r="JH366" s="35"/>
      <c r="JI366" s="35"/>
      <c r="JJ366" s="35"/>
      <c r="JK366" s="35"/>
      <c r="JL366" s="35"/>
      <c r="JM366" s="35"/>
      <c r="JN366" s="35"/>
      <c r="JO366" s="35"/>
      <c r="JP366" s="35"/>
      <c r="JQ366" s="35"/>
      <c r="JR366" s="35"/>
      <c r="JS366" s="35"/>
      <c r="JT366" s="35"/>
      <c r="JU366" s="35"/>
      <c r="JV366" s="35"/>
      <c r="JW366" s="35"/>
      <c r="JX366" s="35"/>
      <c r="JY366" s="35"/>
      <c r="JZ366" s="35"/>
      <c r="KA366" s="35"/>
      <c r="KB366" s="35"/>
      <c r="KC366" s="35"/>
      <c r="KD366" s="35"/>
      <c r="KE366" s="35"/>
      <c r="KF366" s="35"/>
      <c r="KG366" s="35"/>
      <c r="KH366" s="35"/>
      <c r="KI366" s="35"/>
      <c r="KJ366" s="35"/>
      <c r="KK366" s="35"/>
      <c r="KL366" s="35"/>
      <c r="KM366" s="35"/>
      <c r="KN366" s="35"/>
      <c r="KO366" s="35"/>
      <c r="KP366" s="35"/>
      <c r="KQ366" s="35"/>
      <c r="KR366" s="35"/>
      <c r="KS366" s="35"/>
      <c r="KT366" s="35"/>
      <c r="KU366" s="35"/>
      <c r="KV366" s="35"/>
      <c r="KW366" s="35"/>
      <c r="KX366" s="35"/>
      <c r="KY366" s="35"/>
      <c r="KZ366" s="35"/>
      <c r="LA366" s="35"/>
      <c r="LB366" s="35"/>
      <c r="LC366" s="35"/>
      <c r="LD366" s="35"/>
      <c r="LE366" s="35"/>
      <c r="LF366" s="35"/>
      <c r="LG366" s="35"/>
      <c r="LH366" s="35"/>
      <c r="LI366" s="35"/>
      <c r="LJ366" s="35"/>
      <c r="LK366" s="35"/>
      <c r="LL366" s="35"/>
      <c r="LM366" s="35"/>
      <c r="LN366" s="35"/>
      <c r="LO366" s="35"/>
      <c r="LP366" s="35"/>
      <c r="LQ366" s="35"/>
      <c r="LR366" s="35"/>
      <c r="LS366" s="35"/>
      <c r="LT366" s="35"/>
      <c r="LU366" s="35"/>
      <c r="LV366" s="35"/>
      <c r="LW366" s="35"/>
      <c r="LX366" s="35"/>
      <c r="LY366" s="35"/>
      <c r="LZ366" s="35"/>
      <c r="MA366" s="35"/>
      <c r="MB366" s="35"/>
      <c r="MC366" s="35"/>
      <c r="MD366" s="35"/>
      <c r="ME366" s="35"/>
      <c r="MF366" s="35"/>
      <c r="MG366" s="35"/>
    </row>
    <row r="367" spans="1:345" s="67" customFormat="1" ht="36" customHeight="1" x14ac:dyDescent="0.25">
      <c r="A367" s="113"/>
      <c r="B367" s="28" t="s">
        <v>266</v>
      </c>
      <c r="C367" s="21" t="s">
        <v>4434</v>
      </c>
      <c r="D367" s="19" t="s">
        <v>4552</v>
      </c>
      <c r="E367" s="18">
        <v>44085</v>
      </c>
      <c r="F367" s="27"/>
      <c r="G367" s="34"/>
      <c r="H367" s="25"/>
      <c r="I367" s="112"/>
      <c r="J367" s="34"/>
      <c r="K367" s="22"/>
      <c r="L367" s="23"/>
      <c r="M367" s="23"/>
      <c r="N367" s="26" t="s">
        <v>4572</v>
      </c>
      <c r="O367" s="26"/>
      <c r="P367" s="35"/>
      <c r="Q367" s="35"/>
      <c r="R367" s="20"/>
      <c r="S367" s="35"/>
      <c r="T367" s="35"/>
      <c r="U367" s="35"/>
      <c r="V367" s="35"/>
      <c r="W367" s="35"/>
      <c r="X367" s="35"/>
      <c r="Y367" s="35"/>
      <c r="Z367" s="35"/>
      <c r="AA367" s="35"/>
      <c r="AB367" s="35"/>
      <c r="AC367" s="35"/>
      <c r="AD367" s="35"/>
      <c r="AE367" s="35"/>
      <c r="AF367" s="35"/>
      <c r="AG367" s="35"/>
      <c r="AH367" s="35"/>
      <c r="AI367" s="35"/>
      <c r="AJ367" s="35"/>
      <c r="AK367" s="35"/>
      <c r="AL367" s="35"/>
      <c r="AM367" s="35"/>
      <c r="AN367" s="35"/>
      <c r="AO367" s="35"/>
      <c r="AP367" s="35"/>
      <c r="AQ367" s="35"/>
      <c r="AR367" s="35"/>
      <c r="AS367" s="35"/>
      <c r="AT367" s="35"/>
      <c r="AU367" s="35"/>
      <c r="AV367" s="35"/>
      <c r="AW367" s="35"/>
      <c r="AX367" s="35"/>
      <c r="AY367" s="35"/>
      <c r="AZ367" s="35"/>
      <c r="BA367" s="35"/>
      <c r="BB367" s="35"/>
      <c r="BC367" s="35"/>
      <c r="BD367" s="35"/>
      <c r="BE367" s="35"/>
      <c r="BF367" s="35"/>
      <c r="BG367" s="35"/>
      <c r="BH367" s="35"/>
      <c r="BI367" s="35"/>
      <c r="BJ367" s="35"/>
      <c r="BK367" s="35"/>
      <c r="BL367" s="35"/>
      <c r="BM367" s="35"/>
      <c r="BN367" s="35"/>
      <c r="BO367" s="35"/>
      <c r="BP367" s="35"/>
      <c r="BQ367" s="35"/>
      <c r="BR367" s="35"/>
      <c r="BS367" s="35"/>
      <c r="BT367" s="35"/>
      <c r="BU367" s="35"/>
      <c r="BV367" s="35"/>
      <c r="BW367" s="35"/>
      <c r="BX367" s="35"/>
      <c r="BY367" s="35"/>
      <c r="BZ367" s="35"/>
      <c r="CA367" s="35"/>
      <c r="CB367" s="35"/>
      <c r="CC367" s="35"/>
      <c r="CD367" s="35"/>
      <c r="CE367" s="35"/>
      <c r="CF367" s="35"/>
      <c r="CG367" s="35"/>
      <c r="CH367" s="35"/>
      <c r="CI367" s="35"/>
      <c r="CJ367" s="35"/>
      <c r="CK367" s="35"/>
      <c r="CL367" s="35"/>
      <c r="CM367" s="35"/>
      <c r="CN367" s="35"/>
      <c r="CO367" s="35"/>
      <c r="CP367" s="35"/>
      <c r="CQ367" s="35"/>
      <c r="CR367" s="35"/>
      <c r="CS367" s="35"/>
      <c r="CT367" s="35"/>
      <c r="CU367" s="35"/>
      <c r="CV367" s="35"/>
      <c r="CW367" s="35"/>
      <c r="CX367" s="35"/>
      <c r="CY367" s="35"/>
      <c r="CZ367" s="35"/>
      <c r="DA367" s="35"/>
      <c r="DB367" s="35"/>
      <c r="DC367" s="35"/>
      <c r="DD367" s="35"/>
      <c r="DE367" s="35"/>
      <c r="DF367" s="35"/>
      <c r="DG367" s="35"/>
      <c r="DH367" s="35"/>
      <c r="DI367" s="35"/>
      <c r="DJ367" s="35"/>
      <c r="DK367" s="35"/>
      <c r="DL367" s="35"/>
      <c r="DM367" s="35"/>
      <c r="DN367" s="35"/>
      <c r="DO367" s="35"/>
      <c r="DP367" s="35"/>
      <c r="DQ367" s="35"/>
      <c r="DR367" s="35"/>
      <c r="DS367" s="35"/>
      <c r="DT367" s="35"/>
      <c r="DU367" s="35"/>
      <c r="DV367" s="35"/>
      <c r="DW367" s="35"/>
      <c r="DX367" s="35"/>
      <c r="DY367" s="35"/>
      <c r="DZ367" s="35"/>
      <c r="EA367" s="35"/>
      <c r="EB367" s="35"/>
      <c r="EC367" s="35"/>
      <c r="ED367" s="35"/>
      <c r="EE367" s="35"/>
      <c r="EF367" s="35"/>
      <c r="EG367" s="35"/>
      <c r="EH367" s="35"/>
      <c r="EI367" s="35"/>
      <c r="EJ367" s="35"/>
      <c r="EK367" s="35"/>
      <c r="EL367" s="35"/>
      <c r="EM367" s="35"/>
      <c r="EN367" s="35"/>
      <c r="EO367" s="35"/>
      <c r="EP367" s="35"/>
      <c r="EQ367" s="35"/>
      <c r="ER367" s="35"/>
      <c r="ES367" s="35"/>
      <c r="ET367" s="35"/>
      <c r="EU367" s="35"/>
      <c r="EV367" s="35"/>
      <c r="EW367" s="35"/>
      <c r="EX367" s="35"/>
      <c r="EY367" s="35"/>
      <c r="EZ367" s="35"/>
      <c r="FA367" s="35"/>
      <c r="FB367" s="35"/>
      <c r="FC367" s="35"/>
      <c r="FD367" s="35"/>
      <c r="FE367" s="35"/>
      <c r="FF367" s="35"/>
      <c r="FG367" s="35"/>
      <c r="FH367" s="35"/>
      <c r="FI367" s="35"/>
      <c r="FJ367" s="35"/>
      <c r="FK367" s="35"/>
      <c r="FL367" s="35"/>
      <c r="FM367" s="35"/>
      <c r="FN367" s="35"/>
      <c r="FO367" s="35"/>
      <c r="FP367" s="35"/>
      <c r="FQ367" s="35"/>
      <c r="FR367" s="35"/>
      <c r="FS367" s="35"/>
      <c r="FT367" s="35"/>
      <c r="FU367" s="35"/>
      <c r="FV367" s="35"/>
      <c r="FW367" s="35"/>
      <c r="FX367" s="35"/>
      <c r="FY367" s="35"/>
      <c r="FZ367" s="35"/>
      <c r="GA367" s="35"/>
      <c r="GB367" s="35"/>
      <c r="GC367" s="35"/>
      <c r="GD367" s="35"/>
      <c r="GE367" s="35"/>
      <c r="GF367" s="35"/>
      <c r="GG367" s="35"/>
      <c r="GH367" s="35"/>
      <c r="GI367" s="35"/>
      <c r="GJ367" s="35"/>
      <c r="GK367" s="35"/>
      <c r="GL367" s="35"/>
      <c r="GM367" s="35"/>
      <c r="GN367" s="35"/>
      <c r="GO367" s="35"/>
      <c r="GP367" s="35"/>
      <c r="GQ367" s="35"/>
      <c r="GR367" s="35"/>
      <c r="GS367" s="35"/>
      <c r="GT367" s="35"/>
      <c r="GU367" s="35"/>
      <c r="GV367" s="35"/>
      <c r="GW367" s="35"/>
      <c r="GX367" s="35"/>
      <c r="GY367" s="35"/>
      <c r="GZ367" s="35"/>
      <c r="HA367" s="35"/>
      <c r="HB367" s="35"/>
      <c r="HC367" s="35"/>
      <c r="HD367" s="35"/>
      <c r="HE367" s="35"/>
      <c r="HF367" s="35"/>
      <c r="HG367" s="35"/>
      <c r="HH367" s="35"/>
      <c r="HI367" s="35"/>
      <c r="HJ367" s="35"/>
      <c r="HK367" s="35"/>
      <c r="HL367" s="35"/>
      <c r="HM367" s="35"/>
      <c r="HN367" s="35"/>
      <c r="HO367" s="35"/>
      <c r="HP367" s="35"/>
      <c r="HQ367" s="35"/>
      <c r="HR367" s="35"/>
      <c r="HS367" s="35"/>
      <c r="HT367" s="35"/>
      <c r="HU367" s="35"/>
      <c r="HV367" s="35"/>
      <c r="HW367" s="35"/>
      <c r="HX367" s="35"/>
      <c r="HY367" s="35"/>
      <c r="HZ367" s="35"/>
      <c r="IA367" s="35"/>
      <c r="IB367" s="35"/>
      <c r="IC367" s="35"/>
      <c r="ID367" s="35"/>
      <c r="IE367" s="35"/>
      <c r="IF367" s="35"/>
      <c r="IG367" s="35"/>
      <c r="IH367" s="35"/>
      <c r="II367" s="35"/>
      <c r="IJ367" s="35"/>
      <c r="IK367" s="35"/>
      <c r="IL367" s="35"/>
      <c r="IM367" s="35"/>
      <c r="IN367" s="35"/>
      <c r="IO367" s="35"/>
      <c r="IP367" s="35"/>
      <c r="IQ367" s="35"/>
      <c r="IR367" s="35"/>
      <c r="IS367" s="35"/>
      <c r="IT367" s="35"/>
      <c r="IU367" s="35"/>
      <c r="IV367" s="35"/>
      <c r="IW367" s="35"/>
      <c r="IX367" s="35"/>
      <c r="IY367" s="35"/>
      <c r="IZ367" s="35"/>
      <c r="JA367" s="35"/>
      <c r="JB367" s="35"/>
      <c r="JC367" s="35"/>
      <c r="JD367" s="35"/>
      <c r="JE367" s="35"/>
      <c r="JF367" s="35"/>
      <c r="JG367" s="35"/>
      <c r="JH367" s="35"/>
      <c r="JI367" s="35"/>
      <c r="JJ367" s="35"/>
      <c r="JK367" s="35"/>
      <c r="JL367" s="35"/>
      <c r="JM367" s="35"/>
      <c r="JN367" s="35"/>
      <c r="JO367" s="35"/>
      <c r="JP367" s="35"/>
      <c r="JQ367" s="35"/>
      <c r="JR367" s="35"/>
      <c r="JS367" s="35"/>
      <c r="JT367" s="35"/>
      <c r="JU367" s="35"/>
      <c r="JV367" s="35"/>
      <c r="JW367" s="35"/>
      <c r="JX367" s="35"/>
      <c r="JY367" s="35"/>
      <c r="JZ367" s="35"/>
      <c r="KA367" s="35"/>
      <c r="KB367" s="35"/>
      <c r="KC367" s="35"/>
      <c r="KD367" s="35"/>
      <c r="KE367" s="35"/>
      <c r="KF367" s="35"/>
      <c r="KG367" s="35"/>
      <c r="KH367" s="35"/>
      <c r="KI367" s="35"/>
      <c r="KJ367" s="35"/>
      <c r="KK367" s="35"/>
      <c r="KL367" s="35"/>
      <c r="KM367" s="35"/>
      <c r="KN367" s="35"/>
      <c r="KO367" s="35"/>
      <c r="KP367" s="35"/>
      <c r="KQ367" s="35"/>
      <c r="KR367" s="35"/>
      <c r="KS367" s="35"/>
      <c r="KT367" s="35"/>
      <c r="KU367" s="35"/>
      <c r="KV367" s="35"/>
      <c r="KW367" s="35"/>
      <c r="KX367" s="35"/>
      <c r="KY367" s="35"/>
      <c r="KZ367" s="35"/>
      <c r="LA367" s="35"/>
      <c r="LB367" s="35"/>
      <c r="LC367" s="35"/>
      <c r="LD367" s="35"/>
      <c r="LE367" s="35"/>
      <c r="LF367" s="35"/>
      <c r="LG367" s="35"/>
      <c r="LH367" s="35"/>
      <c r="LI367" s="35"/>
      <c r="LJ367" s="35"/>
      <c r="LK367" s="35"/>
      <c r="LL367" s="35"/>
      <c r="LM367" s="35"/>
      <c r="LN367" s="35"/>
      <c r="LO367" s="35"/>
      <c r="LP367" s="35"/>
      <c r="LQ367" s="35"/>
      <c r="LR367" s="35"/>
      <c r="LS367" s="35"/>
      <c r="LT367" s="35"/>
      <c r="LU367" s="35"/>
      <c r="LV367" s="35"/>
      <c r="LW367" s="35"/>
      <c r="LX367" s="35"/>
      <c r="LY367" s="35"/>
      <c r="LZ367" s="35"/>
      <c r="MA367" s="35"/>
      <c r="MB367" s="35"/>
      <c r="MC367" s="35"/>
      <c r="MD367" s="35"/>
      <c r="ME367" s="35"/>
      <c r="MF367" s="35"/>
      <c r="MG367" s="35"/>
    </row>
    <row r="368" spans="1:345" s="67" customFormat="1" ht="36" hidden="1" customHeight="1" x14ac:dyDescent="0.25">
      <c r="A368" s="113"/>
      <c r="B368" s="28" t="s">
        <v>266</v>
      </c>
      <c r="C368" s="21" t="s">
        <v>31</v>
      </c>
      <c r="D368" s="19" t="s">
        <v>4562</v>
      </c>
      <c r="E368" s="18">
        <v>44088</v>
      </c>
      <c r="F368" s="27"/>
      <c r="G368" s="34"/>
      <c r="H368" s="25"/>
      <c r="I368" s="112"/>
      <c r="J368" s="34"/>
      <c r="K368" s="22"/>
      <c r="L368" s="23">
        <v>44088</v>
      </c>
      <c r="M368" s="23"/>
      <c r="N368" s="26" t="s">
        <v>4569</v>
      </c>
      <c r="O368" s="26" t="s">
        <v>4570</v>
      </c>
      <c r="P368" s="35"/>
      <c r="Q368" s="35"/>
      <c r="R368" s="20"/>
      <c r="S368" s="35"/>
      <c r="T368" s="35"/>
      <c r="U368" s="35"/>
      <c r="V368" s="35"/>
      <c r="W368" s="35"/>
      <c r="X368" s="35"/>
      <c r="Y368" s="35"/>
      <c r="Z368" s="35"/>
      <c r="AA368" s="35"/>
      <c r="AB368" s="35"/>
      <c r="AC368" s="35"/>
      <c r="AD368" s="35"/>
      <c r="AE368" s="35"/>
      <c r="AF368" s="35"/>
      <c r="AG368" s="35"/>
      <c r="AH368" s="35"/>
      <c r="AI368" s="35"/>
      <c r="AJ368" s="35"/>
      <c r="AK368" s="35"/>
      <c r="AL368" s="35"/>
      <c r="AM368" s="35"/>
      <c r="AN368" s="35"/>
      <c r="AO368" s="35"/>
      <c r="AP368" s="35"/>
      <c r="AQ368" s="35"/>
      <c r="AR368" s="35"/>
      <c r="AS368" s="35"/>
      <c r="AT368" s="35"/>
      <c r="AU368" s="35"/>
      <c r="AV368" s="35"/>
      <c r="AW368" s="35"/>
      <c r="AX368" s="35"/>
      <c r="AY368" s="35"/>
      <c r="AZ368" s="35"/>
      <c r="BA368" s="35"/>
      <c r="BB368" s="35"/>
      <c r="BC368" s="35"/>
      <c r="BD368" s="35"/>
      <c r="BE368" s="35"/>
      <c r="BF368" s="35"/>
      <c r="BG368" s="35"/>
      <c r="BH368" s="35"/>
      <c r="BI368" s="35"/>
      <c r="BJ368" s="35"/>
      <c r="BK368" s="35"/>
      <c r="BL368" s="35"/>
      <c r="BM368" s="35"/>
      <c r="BN368" s="35"/>
      <c r="BO368" s="35"/>
      <c r="BP368" s="35"/>
      <c r="BQ368" s="35"/>
      <c r="BR368" s="35"/>
      <c r="BS368" s="35"/>
      <c r="BT368" s="35"/>
      <c r="BU368" s="35"/>
      <c r="BV368" s="35"/>
      <c r="BW368" s="35"/>
      <c r="BX368" s="35"/>
      <c r="BY368" s="35"/>
      <c r="BZ368" s="35"/>
      <c r="CA368" s="35"/>
      <c r="CB368" s="35"/>
      <c r="CC368" s="35"/>
      <c r="CD368" s="35"/>
      <c r="CE368" s="35"/>
      <c r="CF368" s="35"/>
      <c r="CG368" s="35"/>
      <c r="CH368" s="35"/>
      <c r="CI368" s="35"/>
      <c r="CJ368" s="35"/>
      <c r="CK368" s="35"/>
      <c r="CL368" s="35"/>
      <c r="CM368" s="35"/>
      <c r="CN368" s="35"/>
      <c r="CO368" s="35"/>
      <c r="CP368" s="35"/>
      <c r="CQ368" s="35"/>
      <c r="CR368" s="35"/>
      <c r="CS368" s="35"/>
      <c r="CT368" s="35"/>
      <c r="CU368" s="35"/>
      <c r="CV368" s="35"/>
      <c r="CW368" s="35"/>
      <c r="CX368" s="35"/>
      <c r="CY368" s="35"/>
      <c r="CZ368" s="35"/>
      <c r="DA368" s="35"/>
      <c r="DB368" s="35"/>
      <c r="DC368" s="35"/>
      <c r="DD368" s="35"/>
      <c r="DE368" s="35"/>
      <c r="DF368" s="35"/>
      <c r="DG368" s="35"/>
      <c r="DH368" s="35"/>
      <c r="DI368" s="35"/>
      <c r="DJ368" s="35"/>
      <c r="DK368" s="35"/>
      <c r="DL368" s="35"/>
      <c r="DM368" s="35"/>
      <c r="DN368" s="35"/>
      <c r="DO368" s="35"/>
      <c r="DP368" s="35"/>
      <c r="DQ368" s="35"/>
      <c r="DR368" s="35"/>
      <c r="DS368" s="35"/>
      <c r="DT368" s="35"/>
      <c r="DU368" s="35"/>
      <c r="DV368" s="35"/>
      <c r="DW368" s="35"/>
      <c r="DX368" s="35"/>
      <c r="DY368" s="35"/>
      <c r="DZ368" s="35"/>
      <c r="EA368" s="35"/>
      <c r="EB368" s="35"/>
      <c r="EC368" s="35"/>
      <c r="ED368" s="35"/>
      <c r="EE368" s="35"/>
      <c r="EF368" s="35"/>
      <c r="EG368" s="35"/>
      <c r="EH368" s="35"/>
      <c r="EI368" s="35"/>
      <c r="EJ368" s="35"/>
      <c r="EK368" s="35"/>
      <c r="EL368" s="35"/>
      <c r="EM368" s="35"/>
      <c r="EN368" s="35"/>
      <c r="EO368" s="35"/>
      <c r="EP368" s="35"/>
      <c r="EQ368" s="35"/>
      <c r="ER368" s="35"/>
      <c r="ES368" s="35"/>
      <c r="ET368" s="35"/>
      <c r="EU368" s="35"/>
      <c r="EV368" s="35"/>
      <c r="EW368" s="35"/>
      <c r="EX368" s="35"/>
      <c r="EY368" s="35"/>
      <c r="EZ368" s="35"/>
      <c r="FA368" s="35"/>
      <c r="FB368" s="35"/>
      <c r="FC368" s="35"/>
      <c r="FD368" s="35"/>
      <c r="FE368" s="35"/>
      <c r="FF368" s="35"/>
      <c r="FG368" s="35"/>
      <c r="FH368" s="35"/>
      <c r="FI368" s="35"/>
      <c r="FJ368" s="35"/>
      <c r="FK368" s="35"/>
      <c r="FL368" s="35"/>
      <c r="FM368" s="35"/>
      <c r="FN368" s="35"/>
      <c r="FO368" s="35"/>
      <c r="FP368" s="35"/>
      <c r="FQ368" s="35"/>
      <c r="FR368" s="35"/>
      <c r="FS368" s="35"/>
      <c r="FT368" s="35"/>
      <c r="FU368" s="35"/>
      <c r="FV368" s="35"/>
      <c r="FW368" s="35"/>
      <c r="FX368" s="35"/>
      <c r="FY368" s="35"/>
      <c r="FZ368" s="35"/>
      <c r="GA368" s="35"/>
      <c r="GB368" s="35"/>
      <c r="GC368" s="35"/>
      <c r="GD368" s="35"/>
      <c r="GE368" s="35"/>
      <c r="GF368" s="35"/>
      <c r="GG368" s="35"/>
      <c r="GH368" s="35"/>
      <c r="GI368" s="35"/>
      <c r="GJ368" s="35"/>
      <c r="GK368" s="35"/>
      <c r="GL368" s="35"/>
      <c r="GM368" s="35"/>
      <c r="GN368" s="35"/>
      <c r="GO368" s="35"/>
      <c r="GP368" s="35"/>
      <c r="GQ368" s="35"/>
      <c r="GR368" s="35"/>
      <c r="GS368" s="35"/>
      <c r="GT368" s="35"/>
      <c r="GU368" s="35"/>
      <c r="GV368" s="35"/>
      <c r="GW368" s="35"/>
      <c r="GX368" s="35"/>
      <c r="GY368" s="35"/>
      <c r="GZ368" s="35"/>
      <c r="HA368" s="35"/>
      <c r="HB368" s="35"/>
      <c r="HC368" s="35"/>
      <c r="HD368" s="35"/>
      <c r="HE368" s="35"/>
      <c r="HF368" s="35"/>
      <c r="HG368" s="35"/>
      <c r="HH368" s="35"/>
      <c r="HI368" s="35"/>
      <c r="HJ368" s="35"/>
      <c r="HK368" s="35"/>
      <c r="HL368" s="35"/>
      <c r="HM368" s="35"/>
      <c r="HN368" s="35"/>
      <c r="HO368" s="35"/>
      <c r="HP368" s="35"/>
      <c r="HQ368" s="35"/>
      <c r="HR368" s="35"/>
      <c r="HS368" s="35"/>
      <c r="HT368" s="35"/>
      <c r="HU368" s="35"/>
      <c r="HV368" s="35"/>
      <c r="HW368" s="35"/>
      <c r="HX368" s="35"/>
      <c r="HY368" s="35"/>
      <c r="HZ368" s="35"/>
      <c r="IA368" s="35"/>
      <c r="IB368" s="35"/>
      <c r="IC368" s="35"/>
      <c r="ID368" s="35"/>
      <c r="IE368" s="35"/>
      <c r="IF368" s="35"/>
      <c r="IG368" s="35"/>
      <c r="IH368" s="35"/>
      <c r="II368" s="35"/>
      <c r="IJ368" s="35"/>
      <c r="IK368" s="35"/>
      <c r="IL368" s="35"/>
      <c r="IM368" s="35"/>
      <c r="IN368" s="35"/>
      <c r="IO368" s="35"/>
      <c r="IP368" s="35"/>
      <c r="IQ368" s="35"/>
      <c r="IR368" s="35"/>
      <c r="IS368" s="35"/>
      <c r="IT368" s="35"/>
      <c r="IU368" s="35"/>
      <c r="IV368" s="35"/>
      <c r="IW368" s="35"/>
      <c r="IX368" s="35"/>
      <c r="IY368" s="35"/>
      <c r="IZ368" s="35"/>
      <c r="JA368" s="35"/>
      <c r="JB368" s="35"/>
      <c r="JC368" s="35"/>
      <c r="JD368" s="35"/>
      <c r="JE368" s="35"/>
      <c r="JF368" s="35"/>
      <c r="JG368" s="35"/>
      <c r="JH368" s="35"/>
      <c r="JI368" s="35"/>
      <c r="JJ368" s="35"/>
      <c r="JK368" s="35"/>
      <c r="JL368" s="35"/>
      <c r="JM368" s="35"/>
      <c r="JN368" s="35"/>
      <c r="JO368" s="35"/>
      <c r="JP368" s="35"/>
      <c r="JQ368" s="35"/>
      <c r="JR368" s="35"/>
      <c r="JS368" s="35"/>
      <c r="JT368" s="35"/>
      <c r="JU368" s="35"/>
      <c r="JV368" s="35"/>
      <c r="JW368" s="35"/>
      <c r="JX368" s="35"/>
      <c r="JY368" s="35"/>
      <c r="JZ368" s="35"/>
      <c r="KA368" s="35"/>
      <c r="KB368" s="35"/>
      <c r="KC368" s="35"/>
      <c r="KD368" s="35"/>
      <c r="KE368" s="35"/>
      <c r="KF368" s="35"/>
      <c r="KG368" s="35"/>
      <c r="KH368" s="35"/>
      <c r="KI368" s="35"/>
      <c r="KJ368" s="35"/>
      <c r="KK368" s="35"/>
      <c r="KL368" s="35"/>
      <c r="KM368" s="35"/>
      <c r="KN368" s="35"/>
      <c r="KO368" s="35"/>
      <c r="KP368" s="35"/>
      <c r="KQ368" s="35"/>
      <c r="KR368" s="35"/>
      <c r="KS368" s="35"/>
      <c r="KT368" s="35"/>
      <c r="KU368" s="35"/>
      <c r="KV368" s="35"/>
      <c r="KW368" s="35"/>
      <c r="KX368" s="35"/>
      <c r="KY368" s="35"/>
      <c r="KZ368" s="35"/>
      <c r="LA368" s="35"/>
      <c r="LB368" s="35"/>
      <c r="LC368" s="35"/>
      <c r="LD368" s="35"/>
      <c r="LE368" s="35"/>
      <c r="LF368" s="35"/>
      <c r="LG368" s="35"/>
      <c r="LH368" s="35"/>
      <c r="LI368" s="35"/>
      <c r="LJ368" s="35"/>
      <c r="LK368" s="35"/>
      <c r="LL368" s="35"/>
      <c r="LM368" s="35"/>
      <c r="LN368" s="35"/>
      <c r="LO368" s="35"/>
      <c r="LP368" s="35"/>
      <c r="LQ368" s="35"/>
      <c r="LR368" s="35"/>
      <c r="LS368" s="35"/>
      <c r="LT368" s="35"/>
      <c r="LU368" s="35"/>
      <c r="LV368" s="35"/>
      <c r="LW368" s="35"/>
      <c r="LX368" s="35"/>
      <c r="LY368" s="35"/>
      <c r="LZ368" s="35"/>
      <c r="MA368" s="35"/>
      <c r="MB368" s="35"/>
      <c r="MC368" s="35"/>
      <c r="MD368" s="35"/>
      <c r="ME368" s="35"/>
      <c r="MF368" s="35"/>
      <c r="MG368" s="35"/>
    </row>
    <row r="369" spans="1:345" s="67" customFormat="1" ht="36" customHeight="1" x14ac:dyDescent="0.25">
      <c r="A369" s="113"/>
      <c r="B369" s="28" t="s">
        <v>274</v>
      </c>
      <c r="C369" s="21" t="s">
        <v>11</v>
      </c>
      <c r="D369" s="19" t="s">
        <v>4561</v>
      </c>
      <c r="E369" s="18">
        <v>44088</v>
      </c>
      <c r="F369" s="27"/>
      <c r="G369" s="34"/>
      <c r="H369" s="25"/>
      <c r="I369" s="112"/>
      <c r="J369" s="34"/>
      <c r="K369" s="22"/>
      <c r="L369" s="23"/>
      <c r="M369" s="23"/>
      <c r="N369" s="26" t="s">
        <v>4564</v>
      </c>
      <c r="O369" s="26"/>
      <c r="P369" s="35"/>
      <c r="Q369" s="35"/>
      <c r="R369" s="20"/>
      <c r="S369" s="35"/>
      <c r="T369" s="35"/>
      <c r="U369" s="35"/>
      <c r="V369" s="35"/>
      <c r="W369" s="35"/>
      <c r="X369" s="35"/>
      <c r="Y369" s="35"/>
      <c r="Z369" s="35"/>
      <c r="AA369" s="35"/>
      <c r="AB369" s="35"/>
      <c r="AC369" s="35"/>
      <c r="AD369" s="35"/>
      <c r="AE369" s="35"/>
      <c r="AF369" s="35"/>
      <c r="AG369" s="35"/>
      <c r="AH369" s="35"/>
      <c r="AI369" s="35"/>
      <c r="AJ369" s="35"/>
      <c r="AK369" s="35"/>
      <c r="AL369" s="35"/>
      <c r="AM369" s="35"/>
      <c r="AN369" s="35"/>
      <c r="AO369" s="35"/>
      <c r="AP369" s="35"/>
      <c r="AQ369" s="35"/>
      <c r="AR369" s="35"/>
      <c r="AS369" s="35"/>
      <c r="AT369" s="35"/>
      <c r="AU369" s="35"/>
      <c r="AV369" s="35"/>
      <c r="AW369" s="35"/>
      <c r="AX369" s="35"/>
      <c r="AY369" s="35"/>
      <c r="AZ369" s="35"/>
      <c r="BA369" s="35"/>
      <c r="BB369" s="35"/>
      <c r="BC369" s="35"/>
      <c r="BD369" s="35"/>
      <c r="BE369" s="35"/>
      <c r="BF369" s="35"/>
      <c r="BG369" s="35"/>
      <c r="BH369" s="35"/>
      <c r="BI369" s="35"/>
      <c r="BJ369" s="35"/>
      <c r="BK369" s="35"/>
      <c r="BL369" s="35"/>
      <c r="BM369" s="35"/>
      <c r="BN369" s="35"/>
      <c r="BO369" s="35"/>
      <c r="BP369" s="35"/>
      <c r="BQ369" s="35"/>
      <c r="BR369" s="35"/>
      <c r="BS369" s="35"/>
      <c r="BT369" s="35"/>
      <c r="BU369" s="35"/>
      <c r="BV369" s="35"/>
      <c r="BW369" s="35"/>
      <c r="BX369" s="35"/>
      <c r="BY369" s="35"/>
      <c r="BZ369" s="35"/>
      <c r="CA369" s="35"/>
      <c r="CB369" s="35"/>
      <c r="CC369" s="35"/>
      <c r="CD369" s="35"/>
      <c r="CE369" s="35"/>
      <c r="CF369" s="35"/>
      <c r="CG369" s="35"/>
      <c r="CH369" s="35"/>
      <c r="CI369" s="35"/>
      <c r="CJ369" s="35"/>
      <c r="CK369" s="35"/>
      <c r="CL369" s="35"/>
      <c r="CM369" s="35"/>
      <c r="CN369" s="35"/>
      <c r="CO369" s="35"/>
      <c r="CP369" s="35"/>
      <c r="CQ369" s="35"/>
      <c r="CR369" s="35"/>
      <c r="CS369" s="35"/>
      <c r="CT369" s="35"/>
      <c r="CU369" s="35"/>
      <c r="CV369" s="35"/>
      <c r="CW369" s="35"/>
      <c r="CX369" s="35"/>
      <c r="CY369" s="35"/>
      <c r="CZ369" s="35"/>
      <c r="DA369" s="35"/>
      <c r="DB369" s="35"/>
      <c r="DC369" s="35"/>
      <c r="DD369" s="35"/>
      <c r="DE369" s="35"/>
      <c r="DF369" s="35"/>
      <c r="DG369" s="35"/>
      <c r="DH369" s="35"/>
      <c r="DI369" s="35"/>
      <c r="DJ369" s="35"/>
      <c r="DK369" s="35"/>
      <c r="DL369" s="35"/>
      <c r="DM369" s="35"/>
      <c r="DN369" s="35"/>
      <c r="DO369" s="35"/>
      <c r="DP369" s="35"/>
      <c r="DQ369" s="35"/>
      <c r="DR369" s="35"/>
      <c r="DS369" s="35"/>
      <c r="DT369" s="35"/>
      <c r="DU369" s="35"/>
      <c r="DV369" s="35"/>
      <c r="DW369" s="35"/>
      <c r="DX369" s="35"/>
      <c r="DY369" s="35"/>
      <c r="DZ369" s="35"/>
      <c r="EA369" s="35"/>
      <c r="EB369" s="35"/>
      <c r="EC369" s="35"/>
      <c r="ED369" s="35"/>
      <c r="EE369" s="35"/>
      <c r="EF369" s="35"/>
      <c r="EG369" s="35"/>
      <c r="EH369" s="35"/>
      <c r="EI369" s="35"/>
      <c r="EJ369" s="35"/>
      <c r="EK369" s="35"/>
      <c r="EL369" s="35"/>
      <c r="EM369" s="35"/>
      <c r="EN369" s="35"/>
      <c r="EO369" s="35"/>
      <c r="EP369" s="35"/>
      <c r="EQ369" s="35"/>
      <c r="ER369" s="35"/>
      <c r="ES369" s="35"/>
      <c r="ET369" s="35"/>
      <c r="EU369" s="35"/>
      <c r="EV369" s="35"/>
      <c r="EW369" s="35"/>
      <c r="EX369" s="35"/>
      <c r="EY369" s="35"/>
      <c r="EZ369" s="35"/>
      <c r="FA369" s="35"/>
      <c r="FB369" s="35"/>
      <c r="FC369" s="35"/>
      <c r="FD369" s="35"/>
      <c r="FE369" s="35"/>
      <c r="FF369" s="35"/>
      <c r="FG369" s="35"/>
      <c r="FH369" s="35"/>
      <c r="FI369" s="35"/>
      <c r="FJ369" s="35"/>
      <c r="FK369" s="35"/>
      <c r="FL369" s="35"/>
      <c r="FM369" s="35"/>
      <c r="FN369" s="35"/>
      <c r="FO369" s="35"/>
      <c r="FP369" s="35"/>
      <c r="FQ369" s="35"/>
      <c r="FR369" s="35"/>
      <c r="FS369" s="35"/>
      <c r="FT369" s="35"/>
      <c r="FU369" s="35"/>
      <c r="FV369" s="35"/>
      <c r="FW369" s="35"/>
      <c r="FX369" s="35"/>
      <c r="FY369" s="35"/>
      <c r="FZ369" s="35"/>
      <c r="GA369" s="35"/>
      <c r="GB369" s="35"/>
      <c r="GC369" s="35"/>
      <c r="GD369" s="35"/>
      <c r="GE369" s="35"/>
      <c r="GF369" s="35"/>
      <c r="GG369" s="35"/>
      <c r="GH369" s="35"/>
      <c r="GI369" s="35"/>
      <c r="GJ369" s="35"/>
      <c r="GK369" s="35"/>
      <c r="GL369" s="35"/>
      <c r="GM369" s="35"/>
      <c r="GN369" s="35"/>
      <c r="GO369" s="35"/>
      <c r="GP369" s="35"/>
      <c r="GQ369" s="35"/>
      <c r="GR369" s="35"/>
      <c r="GS369" s="35"/>
      <c r="GT369" s="35"/>
      <c r="GU369" s="35"/>
      <c r="GV369" s="35"/>
      <c r="GW369" s="35"/>
      <c r="GX369" s="35"/>
      <c r="GY369" s="35"/>
      <c r="GZ369" s="35"/>
      <c r="HA369" s="35"/>
      <c r="HB369" s="35"/>
      <c r="HC369" s="35"/>
      <c r="HD369" s="35"/>
      <c r="HE369" s="35"/>
      <c r="HF369" s="35"/>
      <c r="HG369" s="35"/>
      <c r="HH369" s="35"/>
      <c r="HI369" s="35"/>
      <c r="HJ369" s="35"/>
      <c r="HK369" s="35"/>
      <c r="HL369" s="35"/>
      <c r="HM369" s="35"/>
      <c r="HN369" s="35"/>
      <c r="HO369" s="35"/>
      <c r="HP369" s="35"/>
      <c r="HQ369" s="35"/>
      <c r="HR369" s="35"/>
      <c r="HS369" s="35"/>
      <c r="HT369" s="35"/>
      <c r="HU369" s="35"/>
      <c r="HV369" s="35"/>
      <c r="HW369" s="35"/>
      <c r="HX369" s="35"/>
      <c r="HY369" s="35"/>
      <c r="HZ369" s="35"/>
      <c r="IA369" s="35"/>
      <c r="IB369" s="35"/>
      <c r="IC369" s="35"/>
      <c r="ID369" s="35"/>
      <c r="IE369" s="35"/>
      <c r="IF369" s="35"/>
      <c r="IG369" s="35"/>
      <c r="IH369" s="35"/>
      <c r="II369" s="35"/>
      <c r="IJ369" s="35"/>
      <c r="IK369" s="35"/>
      <c r="IL369" s="35"/>
      <c r="IM369" s="35"/>
      <c r="IN369" s="35"/>
      <c r="IO369" s="35"/>
      <c r="IP369" s="35"/>
      <c r="IQ369" s="35"/>
      <c r="IR369" s="35"/>
      <c r="IS369" s="35"/>
      <c r="IT369" s="35"/>
      <c r="IU369" s="35"/>
      <c r="IV369" s="35"/>
      <c r="IW369" s="35"/>
      <c r="IX369" s="35"/>
      <c r="IY369" s="35"/>
      <c r="IZ369" s="35"/>
      <c r="JA369" s="35"/>
      <c r="JB369" s="35"/>
      <c r="JC369" s="35"/>
      <c r="JD369" s="35"/>
      <c r="JE369" s="35"/>
      <c r="JF369" s="35"/>
      <c r="JG369" s="35"/>
      <c r="JH369" s="35"/>
      <c r="JI369" s="35"/>
      <c r="JJ369" s="35"/>
      <c r="JK369" s="35"/>
      <c r="JL369" s="35"/>
      <c r="JM369" s="35"/>
      <c r="JN369" s="35"/>
      <c r="JO369" s="35"/>
      <c r="JP369" s="35"/>
      <c r="JQ369" s="35"/>
      <c r="JR369" s="35"/>
      <c r="JS369" s="35"/>
      <c r="JT369" s="35"/>
      <c r="JU369" s="35"/>
      <c r="JV369" s="35"/>
      <c r="JW369" s="35"/>
      <c r="JX369" s="35"/>
      <c r="JY369" s="35"/>
      <c r="JZ369" s="35"/>
      <c r="KA369" s="35"/>
      <c r="KB369" s="35"/>
      <c r="KC369" s="35"/>
      <c r="KD369" s="35"/>
      <c r="KE369" s="35"/>
      <c r="KF369" s="35"/>
      <c r="KG369" s="35"/>
      <c r="KH369" s="35"/>
      <c r="KI369" s="35"/>
      <c r="KJ369" s="35"/>
      <c r="KK369" s="35"/>
      <c r="KL369" s="35"/>
      <c r="KM369" s="35"/>
      <c r="KN369" s="35"/>
      <c r="KO369" s="35"/>
      <c r="KP369" s="35"/>
      <c r="KQ369" s="35"/>
      <c r="KR369" s="35"/>
      <c r="KS369" s="35"/>
      <c r="KT369" s="35"/>
      <c r="KU369" s="35"/>
      <c r="KV369" s="35"/>
      <c r="KW369" s="35"/>
      <c r="KX369" s="35"/>
      <c r="KY369" s="35"/>
      <c r="KZ369" s="35"/>
      <c r="LA369" s="35"/>
      <c r="LB369" s="35"/>
      <c r="LC369" s="35"/>
      <c r="LD369" s="35"/>
      <c r="LE369" s="35"/>
      <c r="LF369" s="35"/>
      <c r="LG369" s="35"/>
      <c r="LH369" s="35"/>
      <c r="LI369" s="35"/>
      <c r="LJ369" s="35"/>
      <c r="LK369" s="35"/>
      <c r="LL369" s="35"/>
      <c r="LM369" s="35"/>
      <c r="LN369" s="35"/>
      <c r="LO369" s="35"/>
      <c r="LP369" s="35"/>
      <c r="LQ369" s="35"/>
      <c r="LR369" s="35"/>
      <c r="LS369" s="35"/>
      <c r="LT369" s="35"/>
      <c r="LU369" s="35"/>
      <c r="LV369" s="35"/>
      <c r="LW369" s="35"/>
      <c r="LX369" s="35"/>
      <c r="LY369" s="35"/>
      <c r="LZ369" s="35"/>
      <c r="MA369" s="35"/>
      <c r="MB369" s="35"/>
      <c r="MC369" s="35"/>
      <c r="MD369" s="35"/>
      <c r="ME369" s="35"/>
      <c r="MF369" s="35"/>
      <c r="MG369" s="35"/>
    </row>
    <row r="370" spans="1:345" s="67" customFormat="1" ht="36" customHeight="1" x14ac:dyDescent="0.25">
      <c r="A370" s="110"/>
      <c r="B370" s="28" t="s">
        <v>337</v>
      </c>
      <c r="C370" s="21" t="s">
        <v>4475</v>
      </c>
      <c r="D370" s="19" t="s">
        <v>4563</v>
      </c>
      <c r="E370" s="18">
        <v>44088.691527777781</v>
      </c>
      <c r="F370" s="27"/>
      <c r="G370" s="34"/>
      <c r="H370" s="25"/>
      <c r="I370" s="62" t="s">
        <v>206</v>
      </c>
      <c r="J370" s="34"/>
      <c r="K370" s="22"/>
      <c r="L370" s="23"/>
      <c r="M370" s="23"/>
      <c r="N370" s="26" t="s">
        <v>4572</v>
      </c>
      <c r="O370" s="26"/>
      <c r="P370" s="35"/>
      <c r="Q370" s="35"/>
      <c r="R370" s="20"/>
      <c r="S370" s="35"/>
      <c r="T370" s="35"/>
      <c r="U370" s="35"/>
      <c r="V370" s="35"/>
      <c r="W370" s="35"/>
      <c r="X370" s="35"/>
      <c r="Y370" s="35"/>
      <c r="Z370" s="35"/>
      <c r="AA370" s="35"/>
      <c r="AB370" s="35"/>
      <c r="AC370" s="35"/>
      <c r="AD370" s="35"/>
      <c r="AE370" s="35"/>
      <c r="AF370" s="35"/>
      <c r="AG370" s="35"/>
      <c r="AH370" s="35"/>
      <c r="AI370" s="35"/>
      <c r="AJ370" s="35"/>
      <c r="AK370" s="35"/>
      <c r="AL370" s="35"/>
      <c r="AM370" s="35"/>
      <c r="AN370" s="35"/>
      <c r="AO370" s="35"/>
      <c r="AP370" s="35"/>
      <c r="AQ370" s="35"/>
      <c r="AR370" s="35"/>
      <c r="AS370" s="35"/>
      <c r="AT370" s="35"/>
      <c r="AU370" s="35"/>
      <c r="AV370" s="35"/>
      <c r="AW370" s="35"/>
      <c r="AX370" s="35"/>
      <c r="AY370" s="35"/>
      <c r="AZ370" s="35"/>
      <c r="BA370" s="35"/>
      <c r="BB370" s="35"/>
      <c r="BC370" s="35"/>
      <c r="BD370" s="35"/>
      <c r="BE370" s="35"/>
      <c r="BF370" s="35"/>
      <c r="BG370" s="35"/>
      <c r="BH370" s="35"/>
      <c r="BI370" s="35"/>
      <c r="BJ370" s="35"/>
      <c r="BK370" s="35"/>
      <c r="BL370" s="35"/>
      <c r="BM370" s="35"/>
      <c r="BN370" s="35"/>
      <c r="BO370" s="35"/>
      <c r="BP370" s="35"/>
      <c r="BQ370" s="35"/>
      <c r="BR370" s="35"/>
      <c r="BS370" s="35"/>
      <c r="BT370" s="35"/>
      <c r="BU370" s="35"/>
      <c r="BV370" s="35"/>
      <c r="BW370" s="35"/>
      <c r="BX370" s="35"/>
      <c r="BY370" s="35"/>
      <c r="BZ370" s="35"/>
      <c r="CA370" s="35"/>
      <c r="CB370" s="35"/>
      <c r="CC370" s="35"/>
      <c r="CD370" s="35"/>
      <c r="CE370" s="35"/>
      <c r="CF370" s="35"/>
      <c r="CG370" s="35"/>
      <c r="CH370" s="35"/>
      <c r="CI370" s="35"/>
      <c r="CJ370" s="35"/>
      <c r="CK370" s="35"/>
      <c r="CL370" s="35"/>
      <c r="CM370" s="35"/>
      <c r="CN370" s="35"/>
      <c r="CO370" s="35"/>
      <c r="CP370" s="35"/>
      <c r="CQ370" s="35"/>
      <c r="CR370" s="35"/>
      <c r="CS370" s="35"/>
      <c r="CT370" s="35"/>
      <c r="CU370" s="35"/>
      <c r="CV370" s="35"/>
      <c r="CW370" s="35"/>
      <c r="CX370" s="35"/>
      <c r="CY370" s="35"/>
      <c r="CZ370" s="35"/>
      <c r="DA370" s="35"/>
      <c r="DB370" s="35"/>
      <c r="DC370" s="35"/>
      <c r="DD370" s="35"/>
      <c r="DE370" s="35"/>
      <c r="DF370" s="35"/>
      <c r="DG370" s="35"/>
      <c r="DH370" s="35"/>
      <c r="DI370" s="35"/>
      <c r="DJ370" s="35"/>
      <c r="DK370" s="35"/>
      <c r="DL370" s="35"/>
      <c r="DM370" s="35"/>
      <c r="DN370" s="35"/>
      <c r="DO370" s="35"/>
      <c r="DP370" s="35"/>
      <c r="DQ370" s="35"/>
      <c r="DR370" s="35"/>
      <c r="DS370" s="35"/>
      <c r="DT370" s="35"/>
      <c r="DU370" s="35"/>
      <c r="DV370" s="35"/>
      <c r="DW370" s="35"/>
      <c r="DX370" s="35"/>
      <c r="DY370" s="35"/>
      <c r="DZ370" s="35"/>
      <c r="EA370" s="35"/>
      <c r="EB370" s="35"/>
      <c r="EC370" s="35"/>
      <c r="ED370" s="35"/>
      <c r="EE370" s="35"/>
      <c r="EF370" s="35"/>
      <c r="EG370" s="35"/>
      <c r="EH370" s="35"/>
      <c r="EI370" s="35"/>
      <c r="EJ370" s="35"/>
      <c r="EK370" s="35"/>
      <c r="EL370" s="35"/>
      <c r="EM370" s="35"/>
      <c r="EN370" s="35"/>
      <c r="EO370" s="35"/>
      <c r="EP370" s="35"/>
      <c r="EQ370" s="35"/>
      <c r="ER370" s="35"/>
      <c r="ES370" s="35"/>
      <c r="ET370" s="35"/>
      <c r="EU370" s="35"/>
      <c r="EV370" s="35"/>
      <c r="EW370" s="35"/>
      <c r="EX370" s="35"/>
      <c r="EY370" s="35"/>
      <c r="EZ370" s="35"/>
      <c r="FA370" s="35"/>
      <c r="FB370" s="35"/>
      <c r="FC370" s="35"/>
      <c r="FD370" s="35"/>
      <c r="FE370" s="35"/>
      <c r="FF370" s="35"/>
      <c r="FG370" s="35"/>
      <c r="FH370" s="35"/>
      <c r="FI370" s="35"/>
      <c r="FJ370" s="35"/>
      <c r="FK370" s="35"/>
      <c r="FL370" s="35"/>
      <c r="FM370" s="35"/>
      <c r="FN370" s="35"/>
      <c r="FO370" s="35"/>
      <c r="FP370" s="35"/>
      <c r="FQ370" s="35"/>
      <c r="FR370" s="35"/>
      <c r="FS370" s="35"/>
      <c r="FT370" s="35"/>
      <c r="FU370" s="35"/>
      <c r="FV370" s="35"/>
      <c r="FW370" s="35"/>
      <c r="FX370" s="35"/>
      <c r="FY370" s="35"/>
      <c r="FZ370" s="35"/>
      <c r="GA370" s="35"/>
      <c r="GB370" s="35"/>
      <c r="GC370" s="35"/>
      <c r="GD370" s="35"/>
      <c r="GE370" s="35"/>
      <c r="GF370" s="35"/>
      <c r="GG370" s="35"/>
      <c r="GH370" s="35"/>
      <c r="GI370" s="35"/>
      <c r="GJ370" s="35"/>
      <c r="GK370" s="35"/>
      <c r="GL370" s="35"/>
      <c r="GM370" s="35"/>
      <c r="GN370" s="35"/>
      <c r="GO370" s="35"/>
      <c r="GP370" s="35"/>
      <c r="GQ370" s="35"/>
      <c r="GR370" s="35"/>
      <c r="GS370" s="35"/>
      <c r="GT370" s="35"/>
      <c r="GU370" s="35"/>
      <c r="GV370" s="35"/>
      <c r="GW370" s="35"/>
      <c r="GX370" s="35"/>
      <c r="GY370" s="35"/>
      <c r="GZ370" s="35"/>
      <c r="HA370" s="35"/>
      <c r="HB370" s="35"/>
      <c r="HC370" s="35"/>
      <c r="HD370" s="35"/>
      <c r="HE370" s="35"/>
      <c r="HF370" s="35"/>
      <c r="HG370" s="35"/>
      <c r="HH370" s="35"/>
      <c r="HI370" s="35"/>
      <c r="HJ370" s="35"/>
      <c r="HK370" s="35"/>
      <c r="HL370" s="35"/>
      <c r="HM370" s="35"/>
      <c r="HN370" s="35"/>
      <c r="HO370" s="35"/>
      <c r="HP370" s="35"/>
      <c r="HQ370" s="35"/>
      <c r="HR370" s="35"/>
      <c r="HS370" s="35"/>
      <c r="HT370" s="35"/>
      <c r="HU370" s="35"/>
      <c r="HV370" s="35"/>
      <c r="HW370" s="35"/>
      <c r="HX370" s="35"/>
      <c r="HY370" s="35"/>
      <c r="HZ370" s="35"/>
      <c r="IA370" s="35"/>
      <c r="IB370" s="35"/>
      <c r="IC370" s="35"/>
      <c r="ID370" s="35"/>
      <c r="IE370" s="35"/>
      <c r="IF370" s="35"/>
      <c r="IG370" s="35"/>
      <c r="IH370" s="35"/>
      <c r="II370" s="35"/>
      <c r="IJ370" s="35"/>
      <c r="IK370" s="35"/>
      <c r="IL370" s="35"/>
      <c r="IM370" s="35"/>
      <c r="IN370" s="35"/>
      <c r="IO370" s="35"/>
      <c r="IP370" s="35"/>
      <c r="IQ370" s="35"/>
      <c r="IR370" s="35"/>
      <c r="IS370" s="35"/>
      <c r="IT370" s="35"/>
      <c r="IU370" s="35"/>
      <c r="IV370" s="35"/>
      <c r="IW370" s="35"/>
      <c r="IX370" s="35"/>
      <c r="IY370" s="35"/>
      <c r="IZ370" s="35"/>
      <c r="JA370" s="35"/>
      <c r="JB370" s="35"/>
      <c r="JC370" s="35"/>
      <c r="JD370" s="35"/>
      <c r="JE370" s="35"/>
      <c r="JF370" s="35"/>
      <c r="JG370" s="35"/>
      <c r="JH370" s="35"/>
      <c r="JI370" s="35"/>
      <c r="JJ370" s="35"/>
      <c r="JK370" s="35"/>
      <c r="JL370" s="35"/>
      <c r="JM370" s="35"/>
      <c r="JN370" s="35"/>
      <c r="JO370" s="35"/>
      <c r="JP370" s="35"/>
      <c r="JQ370" s="35"/>
      <c r="JR370" s="35"/>
      <c r="JS370" s="35"/>
      <c r="JT370" s="35"/>
      <c r="JU370" s="35"/>
      <c r="JV370" s="35"/>
      <c r="JW370" s="35"/>
      <c r="JX370" s="35"/>
      <c r="JY370" s="35"/>
      <c r="JZ370" s="35"/>
      <c r="KA370" s="35"/>
      <c r="KB370" s="35"/>
      <c r="KC370" s="35"/>
      <c r="KD370" s="35"/>
      <c r="KE370" s="35"/>
      <c r="KF370" s="35"/>
      <c r="KG370" s="35"/>
      <c r="KH370" s="35"/>
      <c r="KI370" s="35"/>
      <c r="KJ370" s="35"/>
      <c r="KK370" s="35"/>
      <c r="KL370" s="35"/>
      <c r="KM370" s="35"/>
      <c r="KN370" s="35"/>
      <c r="KO370" s="35"/>
      <c r="KP370" s="35"/>
      <c r="KQ370" s="35"/>
      <c r="KR370" s="35"/>
      <c r="KS370" s="35"/>
      <c r="KT370" s="35"/>
      <c r="KU370" s="35"/>
      <c r="KV370" s="35"/>
      <c r="KW370" s="35"/>
      <c r="KX370" s="35"/>
      <c r="KY370" s="35"/>
      <c r="KZ370" s="35"/>
      <c r="LA370" s="35"/>
      <c r="LB370" s="35"/>
      <c r="LC370" s="35"/>
      <c r="LD370" s="35"/>
      <c r="LE370" s="35"/>
      <c r="LF370" s="35"/>
      <c r="LG370" s="35"/>
      <c r="LH370" s="35"/>
      <c r="LI370" s="35"/>
      <c r="LJ370" s="35"/>
      <c r="LK370" s="35"/>
      <c r="LL370" s="35"/>
      <c r="LM370" s="35"/>
      <c r="LN370" s="35"/>
      <c r="LO370" s="35"/>
      <c r="LP370" s="35"/>
      <c r="LQ370" s="35"/>
      <c r="LR370" s="35"/>
      <c r="LS370" s="35"/>
      <c r="LT370" s="35"/>
      <c r="LU370" s="35"/>
      <c r="LV370" s="35"/>
      <c r="LW370" s="35"/>
      <c r="LX370" s="35"/>
      <c r="LY370" s="35"/>
      <c r="LZ370" s="35"/>
      <c r="MA370" s="35"/>
      <c r="MB370" s="35"/>
      <c r="MC370" s="35"/>
      <c r="MD370" s="35"/>
      <c r="ME370" s="35"/>
      <c r="MF370" s="35"/>
      <c r="MG370" s="35"/>
    </row>
    <row r="371" spans="1:345" s="67" customFormat="1" ht="36" customHeight="1" x14ac:dyDescent="0.25">
      <c r="A371" s="110"/>
      <c r="B371" s="28" t="s">
        <v>259</v>
      </c>
      <c r="C371" s="21" t="s">
        <v>4502</v>
      </c>
      <c r="D371" s="19" t="s">
        <v>4567</v>
      </c>
      <c r="E371" s="18">
        <v>44088.813587962963</v>
      </c>
      <c r="F371" s="27"/>
      <c r="G371" s="34"/>
      <c r="H371" s="25"/>
      <c r="I371" s="62" t="s">
        <v>206</v>
      </c>
      <c r="J371" s="34"/>
      <c r="K371" s="22"/>
      <c r="L371" s="23"/>
      <c r="M371" s="23"/>
      <c r="N371" s="26"/>
      <c r="O371" s="26" t="s">
        <v>4568</v>
      </c>
      <c r="P371" s="35"/>
      <c r="Q371" s="35"/>
      <c r="R371" s="20"/>
      <c r="S371" s="35"/>
      <c r="T371" s="35"/>
      <c r="U371" s="35"/>
      <c r="V371" s="35"/>
      <c r="W371" s="35"/>
      <c r="X371" s="35"/>
      <c r="Y371" s="35"/>
      <c r="Z371" s="35"/>
      <c r="AA371" s="35"/>
      <c r="AB371" s="35"/>
      <c r="AC371" s="35"/>
      <c r="AD371" s="35"/>
      <c r="AE371" s="35"/>
      <c r="AF371" s="35"/>
      <c r="AG371" s="35"/>
      <c r="AH371" s="35"/>
      <c r="AI371" s="35"/>
      <c r="AJ371" s="35"/>
      <c r="AK371" s="35"/>
      <c r="AL371" s="35"/>
      <c r="AM371" s="35"/>
      <c r="AN371" s="35"/>
      <c r="AO371" s="35"/>
      <c r="AP371" s="35"/>
      <c r="AQ371" s="35"/>
      <c r="AR371" s="35"/>
      <c r="AS371" s="35"/>
      <c r="AT371" s="35"/>
      <c r="AU371" s="35"/>
      <c r="AV371" s="35"/>
      <c r="AW371" s="35"/>
      <c r="AX371" s="35"/>
      <c r="AY371" s="35"/>
      <c r="AZ371" s="35"/>
      <c r="BA371" s="35"/>
      <c r="BB371" s="35"/>
      <c r="BC371" s="35"/>
      <c r="BD371" s="35"/>
      <c r="BE371" s="35"/>
      <c r="BF371" s="35"/>
      <c r="BG371" s="35"/>
      <c r="BH371" s="35"/>
      <c r="BI371" s="35"/>
      <c r="BJ371" s="35"/>
      <c r="BK371" s="35"/>
      <c r="BL371" s="35"/>
      <c r="BM371" s="35"/>
      <c r="BN371" s="35"/>
      <c r="BO371" s="35"/>
      <c r="BP371" s="35"/>
      <c r="BQ371" s="35"/>
      <c r="BR371" s="35"/>
      <c r="BS371" s="35"/>
      <c r="BT371" s="35"/>
      <c r="BU371" s="35"/>
      <c r="BV371" s="35"/>
      <c r="BW371" s="35"/>
      <c r="BX371" s="35"/>
      <c r="BY371" s="35"/>
      <c r="BZ371" s="35"/>
      <c r="CA371" s="35"/>
      <c r="CB371" s="35"/>
      <c r="CC371" s="35"/>
      <c r="CD371" s="35"/>
      <c r="CE371" s="35"/>
      <c r="CF371" s="35"/>
      <c r="CG371" s="35"/>
      <c r="CH371" s="35"/>
      <c r="CI371" s="35"/>
      <c r="CJ371" s="35"/>
      <c r="CK371" s="35"/>
      <c r="CL371" s="35"/>
      <c r="CM371" s="35"/>
      <c r="CN371" s="35"/>
      <c r="CO371" s="35"/>
      <c r="CP371" s="35"/>
      <c r="CQ371" s="35"/>
      <c r="CR371" s="35"/>
      <c r="CS371" s="35"/>
      <c r="CT371" s="35"/>
      <c r="CU371" s="35"/>
      <c r="CV371" s="35"/>
      <c r="CW371" s="35"/>
      <c r="CX371" s="35"/>
      <c r="CY371" s="35"/>
      <c r="CZ371" s="35"/>
      <c r="DA371" s="35"/>
      <c r="DB371" s="35"/>
      <c r="DC371" s="35"/>
      <c r="DD371" s="35"/>
      <c r="DE371" s="35"/>
      <c r="DF371" s="35"/>
      <c r="DG371" s="35"/>
      <c r="DH371" s="35"/>
      <c r="DI371" s="35"/>
      <c r="DJ371" s="35"/>
      <c r="DK371" s="35"/>
      <c r="DL371" s="35"/>
      <c r="DM371" s="35"/>
      <c r="DN371" s="35"/>
      <c r="DO371" s="35"/>
      <c r="DP371" s="35"/>
      <c r="DQ371" s="35"/>
      <c r="DR371" s="35"/>
      <c r="DS371" s="35"/>
      <c r="DT371" s="35"/>
      <c r="DU371" s="35"/>
      <c r="DV371" s="35"/>
      <c r="DW371" s="35"/>
      <c r="DX371" s="35"/>
      <c r="DY371" s="35"/>
      <c r="DZ371" s="35"/>
      <c r="EA371" s="35"/>
      <c r="EB371" s="35"/>
      <c r="EC371" s="35"/>
      <c r="ED371" s="35"/>
      <c r="EE371" s="35"/>
      <c r="EF371" s="35"/>
      <c r="EG371" s="35"/>
      <c r="EH371" s="35"/>
      <c r="EI371" s="35"/>
      <c r="EJ371" s="35"/>
      <c r="EK371" s="35"/>
      <c r="EL371" s="35"/>
      <c r="EM371" s="35"/>
      <c r="EN371" s="35"/>
      <c r="EO371" s="35"/>
      <c r="EP371" s="35"/>
      <c r="EQ371" s="35"/>
      <c r="ER371" s="35"/>
      <c r="ES371" s="35"/>
      <c r="ET371" s="35"/>
      <c r="EU371" s="35"/>
      <c r="EV371" s="35"/>
      <c r="EW371" s="35"/>
      <c r="EX371" s="35"/>
      <c r="EY371" s="35"/>
      <c r="EZ371" s="35"/>
      <c r="FA371" s="35"/>
      <c r="FB371" s="35"/>
      <c r="FC371" s="35"/>
      <c r="FD371" s="35"/>
      <c r="FE371" s="35"/>
      <c r="FF371" s="35"/>
      <c r="FG371" s="35"/>
      <c r="FH371" s="35"/>
      <c r="FI371" s="35"/>
      <c r="FJ371" s="35"/>
      <c r="FK371" s="35"/>
      <c r="FL371" s="35"/>
      <c r="FM371" s="35"/>
      <c r="FN371" s="35"/>
      <c r="FO371" s="35"/>
      <c r="FP371" s="35"/>
      <c r="FQ371" s="35"/>
      <c r="FR371" s="35"/>
      <c r="FS371" s="35"/>
      <c r="FT371" s="35"/>
      <c r="FU371" s="35"/>
      <c r="FV371" s="35"/>
      <c r="FW371" s="35"/>
      <c r="FX371" s="35"/>
      <c r="FY371" s="35"/>
      <c r="FZ371" s="35"/>
      <c r="GA371" s="35"/>
      <c r="GB371" s="35"/>
      <c r="GC371" s="35"/>
      <c r="GD371" s="35"/>
      <c r="GE371" s="35"/>
      <c r="GF371" s="35"/>
      <c r="GG371" s="35"/>
      <c r="GH371" s="35"/>
      <c r="GI371" s="35"/>
      <c r="GJ371" s="35"/>
      <c r="GK371" s="35"/>
      <c r="GL371" s="35"/>
      <c r="GM371" s="35"/>
      <c r="GN371" s="35"/>
      <c r="GO371" s="35"/>
      <c r="GP371" s="35"/>
      <c r="GQ371" s="35"/>
      <c r="GR371" s="35"/>
      <c r="GS371" s="35"/>
      <c r="GT371" s="35"/>
      <c r="GU371" s="35"/>
      <c r="GV371" s="35"/>
      <c r="GW371" s="35"/>
      <c r="GX371" s="35"/>
      <c r="GY371" s="35"/>
      <c r="GZ371" s="35"/>
      <c r="HA371" s="35"/>
      <c r="HB371" s="35"/>
      <c r="HC371" s="35"/>
      <c r="HD371" s="35"/>
      <c r="HE371" s="35"/>
      <c r="HF371" s="35"/>
      <c r="HG371" s="35"/>
      <c r="HH371" s="35"/>
      <c r="HI371" s="35"/>
      <c r="HJ371" s="35"/>
      <c r="HK371" s="35"/>
      <c r="HL371" s="35"/>
      <c r="HM371" s="35"/>
      <c r="HN371" s="35"/>
      <c r="HO371" s="35"/>
      <c r="HP371" s="35"/>
      <c r="HQ371" s="35"/>
      <c r="HR371" s="35"/>
      <c r="HS371" s="35"/>
      <c r="HT371" s="35"/>
      <c r="HU371" s="35"/>
      <c r="HV371" s="35"/>
      <c r="HW371" s="35"/>
      <c r="HX371" s="35"/>
      <c r="HY371" s="35"/>
      <c r="HZ371" s="35"/>
      <c r="IA371" s="35"/>
      <c r="IB371" s="35"/>
      <c r="IC371" s="35"/>
      <c r="ID371" s="35"/>
      <c r="IE371" s="35"/>
      <c r="IF371" s="35"/>
      <c r="IG371" s="35"/>
      <c r="IH371" s="35"/>
      <c r="II371" s="35"/>
      <c r="IJ371" s="35"/>
      <c r="IK371" s="35"/>
      <c r="IL371" s="35"/>
      <c r="IM371" s="35"/>
      <c r="IN371" s="35"/>
      <c r="IO371" s="35"/>
      <c r="IP371" s="35"/>
      <c r="IQ371" s="35"/>
      <c r="IR371" s="35"/>
      <c r="IS371" s="35"/>
      <c r="IT371" s="35"/>
      <c r="IU371" s="35"/>
      <c r="IV371" s="35"/>
      <c r="IW371" s="35"/>
      <c r="IX371" s="35"/>
      <c r="IY371" s="35"/>
      <c r="IZ371" s="35"/>
      <c r="JA371" s="35"/>
      <c r="JB371" s="35"/>
      <c r="JC371" s="35"/>
      <c r="JD371" s="35"/>
      <c r="JE371" s="35"/>
      <c r="JF371" s="35"/>
      <c r="JG371" s="35"/>
      <c r="JH371" s="35"/>
      <c r="JI371" s="35"/>
      <c r="JJ371" s="35"/>
      <c r="JK371" s="35"/>
      <c r="JL371" s="35"/>
      <c r="JM371" s="35"/>
      <c r="JN371" s="35"/>
      <c r="JO371" s="35"/>
      <c r="JP371" s="35"/>
      <c r="JQ371" s="35"/>
      <c r="JR371" s="35"/>
      <c r="JS371" s="35"/>
      <c r="JT371" s="35"/>
      <c r="JU371" s="35"/>
      <c r="JV371" s="35"/>
      <c r="JW371" s="35"/>
      <c r="JX371" s="35"/>
      <c r="JY371" s="35"/>
      <c r="JZ371" s="35"/>
      <c r="KA371" s="35"/>
      <c r="KB371" s="35"/>
      <c r="KC371" s="35"/>
      <c r="KD371" s="35"/>
      <c r="KE371" s="35"/>
      <c r="KF371" s="35"/>
      <c r="KG371" s="35"/>
      <c r="KH371" s="35"/>
      <c r="KI371" s="35"/>
      <c r="KJ371" s="35"/>
      <c r="KK371" s="35"/>
      <c r="KL371" s="35"/>
      <c r="KM371" s="35"/>
      <c r="KN371" s="35"/>
      <c r="KO371" s="35"/>
      <c r="KP371" s="35"/>
      <c r="KQ371" s="35"/>
      <c r="KR371" s="35"/>
      <c r="KS371" s="35"/>
      <c r="KT371" s="35"/>
      <c r="KU371" s="35"/>
      <c r="KV371" s="35"/>
      <c r="KW371" s="35"/>
      <c r="KX371" s="35"/>
      <c r="KY371" s="35"/>
      <c r="KZ371" s="35"/>
      <c r="LA371" s="35"/>
      <c r="LB371" s="35"/>
      <c r="LC371" s="35"/>
      <c r="LD371" s="35"/>
      <c r="LE371" s="35"/>
      <c r="LF371" s="35"/>
      <c r="LG371" s="35"/>
      <c r="LH371" s="35"/>
      <c r="LI371" s="35"/>
      <c r="LJ371" s="35"/>
      <c r="LK371" s="35"/>
      <c r="LL371" s="35"/>
      <c r="LM371" s="35"/>
      <c r="LN371" s="35"/>
      <c r="LO371" s="35"/>
      <c r="LP371" s="35"/>
      <c r="LQ371" s="35"/>
      <c r="LR371" s="35"/>
      <c r="LS371" s="35"/>
      <c r="LT371" s="35"/>
      <c r="LU371" s="35"/>
      <c r="LV371" s="35"/>
      <c r="LW371" s="35"/>
      <c r="LX371" s="35"/>
      <c r="LY371" s="35"/>
      <c r="LZ371" s="35"/>
      <c r="MA371" s="35"/>
      <c r="MB371" s="35"/>
      <c r="MC371" s="35"/>
      <c r="MD371" s="35"/>
      <c r="ME371" s="35"/>
      <c r="MF371" s="35"/>
      <c r="MG371" s="35"/>
    </row>
    <row r="372" spans="1:345" s="67" customFormat="1" ht="36" customHeight="1" x14ac:dyDescent="0.25">
      <c r="A372" s="113"/>
      <c r="B372" s="28" t="s">
        <v>238</v>
      </c>
      <c r="C372" s="21" t="s">
        <v>31</v>
      </c>
      <c r="D372" s="19" t="s">
        <v>4571</v>
      </c>
      <c r="E372" s="18">
        <v>44089</v>
      </c>
      <c r="F372" s="27"/>
      <c r="G372" s="34"/>
      <c r="H372" s="25"/>
      <c r="I372" s="62"/>
      <c r="J372" s="34"/>
      <c r="K372" s="22"/>
      <c r="L372" s="23"/>
      <c r="M372" s="23"/>
      <c r="N372" s="26" t="s">
        <v>4572</v>
      </c>
      <c r="O372" s="26"/>
      <c r="P372" s="35"/>
      <c r="Q372" s="35"/>
      <c r="R372" s="20"/>
      <c r="S372" s="35"/>
      <c r="T372" s="35"/>
      <c r="U372" s="35"/>
      <c r="V372" s="35"/>
      <c r="W372" s="35"/>
      <c r="X372" s="35"/>
      <c r="Y372" s="35"/>
      <c r="Z372" s="35"/>
      <c r="AA372" s="35"/>
      <c r="AB372" s="35"/>
      <c r="AC372" s="35"/>
      <c r="AD372" s="35"/>
      <c r="AE372" s="35"/>
      <c r="AF372" s="35"/>
      <c r="AG372" s="35"/>
      <c r="AH372" s="35"/>
      <c r="AI372" s="35"/>
      <c r="AJ372" s="35"/>
      <c r="AK372" s="35"/>
      <c r="AL372" s="35"/>
      <c r="AM372" s="35"/>
      <c r="AN372" s="35"/>
      <c r="AO372" s="35"/>
      <c r="AP372" s="35"/>
      <c r="AQ372" s="35"/>
      <c r="AR372" s="35"/>
      <c r="AS372" s="35"/>
      <c r="AT372" s="35"/>
      <c r="AU372" s="35"/>
      <c r="AV372" s="35"/>
      <c r="AW372" s="35"/>
      <c r="AX372" s="35"/>
      <c r="AY372" s="35"/>
      <c r="AZ372" s="35"/>
      <c r="BA372" s="35"/>
      <c r="BB372" s="35"/>
      <c r="BC372" s="35"/>
      <c r="BD372" s="35"/>
      <c r="BE372" s="35"/>
      <c r="BF372" s="35"/>
      <c r="BG372" s="35"/>
      <c r="BH372" s="35"/>
      <c r="BI372" s="35"/>
      <c r="BJ372" s="35"/>
      <c r="BK372" s="35"/>
      <c r="BL372" s="35"/>
      <c r="BM372" s="35"/>
      <c r="BN372" s="35"/>
      <c r="BO372" s="35"/>
      <c r="BP372" s="35"/>
      <c r="BQ372" s="35"/>
      <c r="BR372" s="35"/>
      <c r="BS372" s="35"/>
      <c r="BT372" s="35"/>
      <c r="BU372" s="35"/>
      <c r="BV372" s="35"/>
      <c r="BW372" s="35"/>
      <c r="BX372" s="35"/>
      <c r="BY372" s="35"/>
      <c r="BZ372" s="35"/>
      <c r="CA372" s="35"/>
      <c r="CB372" s="35"/>
      <c r="CC372" s="35"/>
      <c r="CD372" s="35"/>
      <c r="CE372" s="35"/>
      <c r="CF372" s="35"/>
      <c r="CG372" s="35"/>
      <c r="CH372" s="35"/>
      <c r="CI372" s="35"/>
      <c r="CJ372" s="35"/>
      <c r="CK372" s="35"/>
      <c r="CL372" s="35"/>
      <c r="CM372" s="35"/>
      <c r="CN372" s="35"/>
      <c r="CO372" s="35"/>
      <c r="CP372" s="35"/>
      <c r="CQ372" s="35"/>
      <c r="CR372" s="35"/>
      <c r="CS372" s="35"/>
      <c r="CT372" s="35"/>
      <c r="CU372" s="35"/>
      <c r="CV372" s="35"/>
      <c r="CW372" s="35"/>
      <c r="CX372" s="35"/>
      <c r="CY372" s="35"/>
      <c r="CZ372" s="35"/>
      <c r="DA372" s="35"/>
      <c r="DB372" s="35"/>
      <c r="DC372" s="35"/>
      <c r="DD372" s="35"/>
      <c r="DE372" s="35"/>
      <c r="DF372" s="35"/>
      <c r="DG372" s="35"/>
      <c r="DH372" s="35"/>
      <c r="DI372" s="35"/>
      <c r="DJ372" s="35"/>
      <c r="DK372" s="35"/>
      <c r="DL372" s="35"/>
      <c r="DM372" s="35"/>
      <c r="DN372" s="35"/>
      <c r="DO372" s="35"/>
      <c r="DP372" s="35"/>
      <c r="DQ372" s="35"/>
      <c r="DR372" s="35"/>
      <c r="DS372" s="35"/>
      <c r="DT372" s="35"/>
      <c r="DU372" s="35"/>
      <c r="DV372" s="35"/>
      <c r="DW372" s="35"/>
      <c r="DX372" s="35"/>
      <c r="DY372" s="35"/>
      <c r="DZ372" s="35"/>
      <c r="EA372" s="35"/>
      <c r="EB372" s="35"/>
      <c r="EC372" s="35"/>
      <c r="ED372" s="35"/>
      <c r="EE372" s="35"/>
      <c r="EF372" s="35"/>
      <c r="EG372" s="35"/>
      <c r="EH372" s="35"/>
      <c r="EI372" s="35"/>
      <c r="EJ372" s="35"/>
      <c r="EK372" s="35"/>
      <c r="EL372" s="35"/>
      <c r="EM372" s="35"/>
      <c r="EN372" s="35"/>
      <c r="EO372" s="35"/>
      <c r="EP372" s="35"/>
      <c r="EQ372" s="35"/>
      <c r="ER372" s="35"/>
      <c r="ES372" s="35"/>
      <c r="ET372" s="35"/>
      <c r="EU372" s="35"/>
      <c r="EV372" s="35"/>
      <c r="EW372" s="35"/>
      <c r="EX372" s="35"/>
      <c r="EY372" s="35"/>
      <c r="EZ372" s="35"/>
      <c r="FA372" s="35"/>
      <c r="FB372" s="35"/>
      <c r="FC372" s="35"/>
      <c r="FD372" s="35"/>
      <c r="FE372" s="35"/>
      <c r="FF372" s="35"/>
      <c r="FG372" s="35"/>
      <c r="FH372" s="35"/>
      <c r="FI372" s="35"/>
      <c r="FJ372" s="35"/>
      <c r="FK372" s="35"/>
      <c r="FL372" s="35"/>
      <c r="FM372" s="35"/>
      <c r="FN372" s="35"/>
      <c r="FO372" s="35"/>
      <c r="FP372" s="35"/>
      <c r="FQ372" s="35"/>
      <c r="FR372" s="35"/>
      <c r="FS372" s="35"/>
      <c r="FT372" s="35"/>
      <c r="FU372" s="35"/>
      <c r="FV372" s="35"/>
      <c r="FW372" s="35"/>
      <c r="FX372" s="35"/>
      <c r="FY372" s="35"/>
      <c r="FZ372" s="35"/>
      <c r="GA372" s="35"/>
      <c r="GB372" s="35"/>
      <c r="GC372" s="35"/>
      <c r="GD372" s="35"/>
      <c r="GE372" s="35"/>
      <c r="GF372" s="35"/>
      <c r="GG372" s="35"/>
      <c r="GH372" s="35"/>
      <c r="GI372" s="35"/>
      <c r="GJ372" s="35"/>
      <c r="GK372" s="35"/>
      <c r="GL372" s="35"/>
      <c r="GM372" s="35"/>
      <c r="GN372" s="35"/>
      <c r="GO372" s="35"/>
      <c r="GP372" s="35"/>
      <c r="GQ372" s="35"/>
      <c r="GR372" s="35"/>
      <c r="GS372" s="35"/>
      <c r="GT372" s="35"/>
      <c r="GU372" s="35"/>
      <c r="GV372" s="35"/>
      <c r="GW372" s="35"/>
      <c r="GX372" s="35"/>
      <c r="GY372" s="35"/>
      <c r="GZ372" s="35"/>
      <c r="HA372" s="35"/>
      <c r="HB372" s="35"/>
      <c r="HC372" s="35"/>
      <c r="HD372" s="35"/>
      <c r="HE372" s="35"/>
      <c r="HF372" s="35"/>
      <c r="HG372" s="35"/>
      <c r="HH372" s="35"/>
      <c r="HI372" s="35"/>
      <c r="HJ372" s="35"/>
      <c r="HK372" s="35"/>
      <c r="HL372" s="35"/>
      <c r="HM372" s="35"/>
      <c r="HN372" s="35"/>
      <c r="HO372" s="35"/>
      <c r="HP372" s="35"/>
      <c r="HQ372" s="35"/>
      <c r="HR372" s="35"/>
      <c r="HS372" s="35"/>
      <c r="HT372" s="35"/>
      <c r="HU372" s="35"/>
      <c r="HV372" s="35"/>
      <c r="HW372" s="35"/>
      <c r="HX372" s="35"/>
      <c r="HY372" s="35"/>
      <c r="HZ372" s="35"/>
      <c r="IA372" s="35"/>
      <c r="IB372" s="35"/>
      <c r="IC372" s="35"/>
      <c r="ID372" s="35"/>
      <c r="IE372" s="35"/>
      <c r="IF372" s="35"/>
      <c r="IG372" s="35"/>
      <c r="IH372" s="35"/>
      <c r="II372" s="35"/>
      <c r="IJ372" s="35"/>
      <c r="IK372" s="35"/>
      <c r="IL372" s="35"/>
      <c r="IM372" s="35"/>
      <c r="IN372" s="35"/>
      <c r="IO372" s="35"/>
      <c r="IP372" s="35"/>
      <c r="IQ372" s="35"/>
      <c r="IR372" s="35"/>
      <c r="IS372" s="35"/>
      <c r="IT372" s="35"/>
      <c r="IU372" s="35"/>
      <c r="IV372" s="35"/>
      <c r="IW372" s="35"/>
      <c r="IX372" s="35"/>
      <c r="IY372" s="35"/>
      <c r="IZ372" s="35"/>
      <c r="JA372" s="35"/>
      <c r="JB372" s="35"/>
      <c r="JC372" s="35"/>
      <c r="JD372" s="35"/>
      <c r="JE372" s="35"/>
      <c r="JF372" s="35"/>
      <c r="JG372" s="35"/>
      <c r="JH372" s="35"/>
      <c r="JI372" s="35"/>
      <c r="JJ372" s="35"/>
      <c r="JK372" s="35"/>
      <c r="JL372" s="35"/>
      <c r="JM372" s="35"/>
      <c r="JN372" s="35"/>
      <c r="JO372" s="35"/>
      <c r="JP372" s="35"/>
      <c r="JQ372" s="35"/>
      <c r="JR372" s="35"/>
      <c r="JS372" s="35"/>
      <c r="JT372" s="35"/>
      <c r="JU372" s="35"/>
      <c r="JV372" s="35"/>
      <c r="JW372" s="35"/>
      <c r="JX372" s="35"/>
      <c r="JY372" s="35"/>
      <c r="JZ372" s="35"/>
      <c r="KA372" s="35"/>
      <c r="KB372" s="35"/>
      <c r="KC372" s="35"/>
      <c r="KD372" s="35"/>
      <c r="KE372" s="35"/>
      <c r="KF372" s="35"/>
      <c r="KG372" s="35"/>
      <c r="KH372" s="35"/>
      <c r="KI372" s="35"/>
      <c r="KJ372" s="35"/>
      <c r="KK372" s="35"/>
      <c r="KL372" s="35"/>
      <c r="KM372" s="35"/>
      <c r="KN372" s="35"/>
      <c r="KO372" s="35"/>
      <c r="KP372" s="35"/>
      <c r="KQ372" s="35"/>
      <c r="KR372" s="35"/>
      <c r="KS372" s="35"/>
      <c r="KT372" s="35"/>
      <c r="KU372" s="35"/>
      <c r="KV372" s="35"/>
      <c r="KW372" s="35"/>
      <c r="KX372" s="35"/>
      <c r="KY372" s="35"/>
      <c r="KZ372" s="35"/>
      <c r="LA372" s="35"/>
      <c r="LB372" s="35"/>
      <c r="LC372" s="35"/>
      <c r="LD372" s="35"/>
      <c r="LE372" s="35"/>
      <c r="LF372" s="35"/>
      <c r="LG372" s="35"/>
      <c r="LH372" s="35"/>
      <c r="LI372" s="35"/>
      <c r="LJ372" s="35"/>
      <c r="LK372" s="35"/>
      <c r="LL372" s="35"/>
      <c r="LM372" s="35"/>
      <c r="LN372" s="35"/>
      <c r="LO372" s="35"/>
      <c r="LP372" s="35"/>
      <c r="LQ372" s="35"/>
      <c r="LR372" s="35"/>
      <c r="LS372" s="35"/>
      <c r="LT372" s="35"/>
      <c r="LU372" s="35"/>
      <c r="LV372" s="35"/>
      <c r="LW372" s="35"/>
      <c r="LX372" s="35"/>
      <c r="LY372" s="35"/>
      <c r="LZ372" s="35"/>
      <c r="MA372" s="35"/>
      <c r="MB372" s="35"/>
      <c r="MC372" s="35"/>
      <c r="MD372" s="35"/>
      <c r="ME372" s="35"/>
      <c r="MF372" s="35"/>
      <c r="MG372" s="35"/>
    </row>
    <row r="373" spans="1:345" s="67" customFormat="1" ht="36" customHeight="1" x14ac:dyDescent="0.25">
      <c r="A373" s="110"/>
      <c r="B373" s="28" t="s">
        <v>238</v>
      </c>
      <c r="C373" s="21" t="s">
        <v>23</v>
      </c>
      <c r="D373" s="19" t="s">
        <v>4577</v>
      </c>
      <c r="E373" s="18">
        <v>44090.149826388886</v>
      </c>
      <c r="F373" s="27"/>
      <c r="G373" s="34"/>
      <c r="H373" s="25"/>
      <c r="I373" s="62" t="s">
        <v>206</v>
      </c>
      <c r="J373" s="34"/>
      <c r="K373" s="22"/>
      <c r="L373" s="23"/>
      <c r="M373" s="23"/>
      <c r="N373" s="26"/>
      <c r="O373" s="26"/>
      <c r="P373" s="35"/>
      <c r="Q373" s="35"/>
      <c r="R373" s="20"/>
      <c r="S373" s="35"/>
      <c r="T373" s="35"/>
      <c r="U373" s="35"/>
      <c r="V373" s="35"/>
      <c r="W373" s="35"/>
      <c r="X373" s="35"/>
      <c r="Y373" s="35"/>
      <c r="Z373" s="35"/>
      <c r="AA373" s="35"/>
      <c r="AB373" s="35"/>
      <c r="AC373" s="35"/>
      <c r="AD373" s="35"/>
      <c r="AE373" s="35"/>
      <c r="AF373" s="35"/>
      <c r="AG373" s="35"/>
      <c r="AH373" s="35"/>
      <c r="AI373" s="35"/>
      <c r="AJ373" s="35"/>
      <c r="AK373" s="35"/>
      <c r="AL373" s="35"/>
      <c r="AM373" s="35"/>
      <c r="AN373" s="35"/>
      <c r="AO373" s="35"/>
      <c r="AP373" s="35"/>
      <c r="AQ373" s="35"/>
      <c r="AR373" s="35"/>
      <c r="AS373" s="35"/>
      <c r="AT373" s="35"/>
      <c r="AU373" s="35"/>
      <c r="AV373" s="35"/>
      <c r="AW373" s="35"/>
      <c r="AX373" s="35"/>
      <c r="AY373" s="35"/>
      <c r="AZ373" s="35"/>
      <c r="BA373" s="35"/>
      <c r="BB373" s="35"/>
      <c r="BC373" s="35"/>
      <c r="BD373" s="35"/>
      <c r="BE373" s="35"/>
      <c r="BF373" s="35"/>
      <c r="BG373" s="35"/>
      <c r="BH373" s="35"/>
      <c r="BI373" s="35"/>
      <c r="BJ373" s="35"/>
      <c r="BK373" s="35"/>
      <c r="BL373" s="35"/>
      <c r="BM373" s="35"/>
      <c r="BN373" s="35"/>
      <c r="BO373" s="35"/>
      <c r="BP373" s="35"/>
      <c r="BQ373" s="35"/>
      <c r="BR373" s="35"/>
      <c r="BS373" s="35"/>
      <c r="BT373" s="35"/>
      <c r="BU373" s="35"/>
      <c r="BV373" s="35"/>
      <c r="BW373" s="35"/>
      <c r="BX373" s="35"/>
      <c r="BY373" s="35"/>
      <c r="BZ373" s="35"/>
      <c r="CA373" s="35"/>
      <c r="CB373" s="35"/>
      <c r="CC373" s="35"/>
      <c r="CD373" s="35"/>
      <c r="CE373" s="35"/>
      <c r="CF373" s="35"/>
      <c r="CG373" s="35"/>
      <c r="CH373" s="35"/>
      <c r="CI373" s="35"/>
      <c r="CJ373" s="35"/>
      <c r="CK373" s="35"/>
      <c r="CL373" s="35"/>
      <c r="CM373" s="35"/>
      <c r="CN373" s="35"/>
      <c r="CO373" s="35"/>
      <c r="CP373" s="35"/>
      <c r="CQ373" s="35"/>
      <c r="CR373" s="35"/>
      <c r="CS373" s="35"/>
      <c r="CT373" s="35"/>
      <c r="CU373" s="35"/>
      <c r="CV373" s="35"/>
      <c r="CW373" s="35"/>
      <c r="CX373" s="35"/>
      <c r="CY373" s="35"/>
      <c r="CZ373" s="35"/>
      <c r="DA373" s="35"/>
      <c r="DB373" s="35"/>
      <c r="DC373" s="35"/>
      <c r="DD373" s="35"/>
      <c r="DE373" s="35"/>
      <c r="DF373" s="35"/>
      <c r="DG373" s="35"/>
      <c r="DH373" s="35"/>
      <c r="DI373" s="35"/>
      <c r="DJ373" s="35"/>
      <c r="DK373" s="35"/>
      <c r="DL373" s="35"/>
      <c r="DM373" s="35"/>
      <c r="DN373" s="35"/>
      <c r="DO373" s="35"/>
      <c r="DP373" s="35"/>
      <c r="DQ373" s="35"/>
      <c r="DR373" s="35"/>
      <c r="DS373" s="35"/>
      <c r="DT373" s="35"/>
      <c r="DU373" s="35"/>
      <c r="DV373" s="35"/>
      <c r="DW373" s="35"/>
      <c r="DX373" s="35"/>
      <c r="DY373" s="35"/>
      <c r="DZ373" s="35"/>
      <c r="EA373" s="35"/>
      <c r="EB373" s="35"/>
      <c r="EC373" s="35"/>
      <c r="ED373" s="35"/>
      <c r="EE373" s="35"/>
      <c r="EF373" s="35"/>
      <c r="EG373" s="35"/>
      <c r="EH373" s="35"/>
      <c r="EI373" s="35"/>
      <c r="EJ373" s="35"/>
      <c r="EK373" s="35"/>
      <c r="EL373" s="35"/>
      <c r="EM373" s="35"/>
      <c r="EN373" s="35"/>
      <c r="EO373" s="35"/>
      <c r="EP373" s="35"/>
      <c r="EQ373" s="35"/>
      <c r="ER373" s="35"/>
      <c r="ES373" s="35"/>
      <c r="ET373" s="35"/>
      <c r="EU373" s="35"/>
      <c r="EV373" s="35"/>
      <c r="EW373" s="35"/>
      <c r="EX373" s="35"/>
      <c r="EY373" s="35"/>
      <c r="EZ373" s="35"/>
      <c r="FA373" s="35"/>
      <c r="FB373" s="35"/>
      <c r="FC373" s="35"/>
      <c r="FD373" s="35"/>
      <c r="FE373" s="35"/>
      <c r="FF373" s="35"/>
      <c r="FG373" s="35"/>
      <c r="FH373" s="35"/>
      <c r="FI373" s="35"/>
      <c r="FJ373" s="35"/>
      <c r="FK373" s="35"/>
      <c r="FL373" s="35"/>
      <c r="FM373" s="35"/>
      <c r="FN373" s="35"/>
      <c r="FO373" s="35"/>
      <c r="FP373" s="35"/>
      <c r="FQ373" s="35"/>
      <c r="FR373" s="35"/>
      <c r="FS373" s="35"/>
      <c r="FT373" s="35"/>
      <c r="FU373" s="35"/>
      <c r="FV373" s="35"/>
      <c r="FW373" s="35"/>
      <c r="FX373" s="35"/>
      <c r="FY373" s="35"/>
      <c r="FZ373" s="35"/>
      <c r="GA373" s="35"/>
      <c r="GB373" s="35"/>
      <c r="GC373" s="35"/>
      <c r="GD373" s="35"/>
      <c r="GE373" s="35"/>
      <c r="GF373" s="35"/>
      <c r="GG373" s="35"/>
      <c r="GH373" s="35"/>
      <c r="GI373" s="35"/>
      <c r="GJ373" s="35"/>
      <c r="GK373" s="35"/>
      <c r="GL373" s="35"/>
      <c r="GM373" s="35"/>
      <c r="GN373" s="35"/>
      <c r="GO373" s="35"/>
      <c r="GP373" s="35"/>
      <c r="GQ373" s="35"/>
      <c r="GR373" s="35"/>
      <c r="GS373" s="35"/>
      <c r="GT373" s="35"/>
      <c r="GU373" s="35"/>
      <c r="GV373" s="35"/>
      <c r="GW373" s="35"/>
      <c r="GX373" s="35"/>
      <c r="GY373" s="35"/>
      <c r="GZ373" s="35"/>
      <c r="HA373" s="35"/>
      <c r="HB373" s="35"/>
      <c r="HC373" s="35"/>
      <c r="HD373" s="35"/>
      <c r="HE373" s="35"/>
      <c r="HF373" s="35"/>
      <c r="HG373" s="35"/>
      <c r="HH373" s="35"/>
      <c r="HI373" s="35"/>
      <c r="HJ373" s="35"/>
      <c r="HK373" s="35"/>
      <c r="HL373" s="35"/>
      <c r="HM373" s="35"/>
      <c r="HN373" s="35"/>
      <c r="HO373" s="35"/>
      <c r="HP373" s="35"/>
      <c r="HQ373" s="35"/>
      <c r="HR373" s="35"/>
      <c r="HS373" s="35"/>
      <c r="HT373" s="35"/>
      <c r="HU373" s="35"/>
      <c r="HV373" s="35"/>
      <c r="HW373" s="35"/>
      <c r="HX373" s="35"/>
      <c r="HY373" s="35"/>
      <c r="HZ373" s="35"/>
      <c r="IA373" s="35"/>
      <c r="IB373" s="35"/>
      <c r="IC373" s="35"/>
      <c r="ID373" s="35"/>
      <c r="IE373" s="35"/>
      <c r="IF373" s="35"/>
      <c r="IG373" s="35"/>
      <c r="IH373" s="35"/>
      <c r="II373" s="35"/>
      <c r="IJ373" s="35"/>
      <c r="IK373" s="35"/>
      <c r="IL373" s="35"/>
      <c r="IM373" s="35"/>
      <c r="IN373" s="35"/>
      <c r="IO373" s="35"/>
      <c r="IP373" s="35"/>
      <c r="IQ373" s="35"/>
      <c r="IR373" s="35"/>
      <c r="IS373" s="35"/>
      <c r="IT373" s="35"/>
      <c r="IU373" s="35"/>
      <c r="IV373" s="35"/>
      <c r="IW373" s="35"/>
      <c r="IX373" s="35"/>
      <c r="IY373" s="35"/>
      <c r="IZ373" s="35"/>
      <c r="JA373" s="35"/>
      <c r="JB373" s="35"/>
      <c r="JC373" s="35"/>
      <c r="JD373" s="35"/>
      <c r="JE373" s="35"/>
      <c r="JF373" s="35"/>
      <c r="JG373" s="35"/>
      <c r="JH373" s="35"/>
      <c r="JI373" s="35"/>
      <c r="JJ373" s="35"/>
      <c r="JK373" s="35"/>
      <c r="JL373" s="35"/>
      <c r="JM373" s="35"/>
      <c r="JN373" s="35"/>
      <c r="JO373" s="35"/>
      <c r="JP373" s="35"/>
      <c r="JQ373" s="35"/>
      <c r="JR373" s="35"/>
      <c r="JS373" s="35"/>
      <c r="JT373" s="35"/>
      <c r="JU373" s="35"/>
      <c r="JV373" s="35"/>
      <c r="JW373" s="35"/>
      <c r="JX373" s="35"/>
      <c r="JY373" s="35"/>
      <c r="JZ373" s="35"/>
      <c r="KA373" s="35"/>
      <c r="KB373" s="35"/>
      <c r="KC373" s="35"/>
      <c r="KD373" s="35"/>
      <c r="KE373" s="35"/>
      <c r="KF373" s="35"/>
      <c r="KG373" s="35"/>
      <c r="KH373" s="35"/>
      <c r="KI373" s="35"/>
      <c r="KJ373" s="35"/>
      <c r="KK373" s="35"/>
      <c r="KL373" s="35"/>
      <c r="KM373" s="35"/>
      <c r="KN373" s="35"/>
      <c r="KO373" s="35"/>
      <c r="KP373" s="35"/>
      <c r="KQ373" s="35"/>
      <c r="KR373" s="35"/>
      <c r="KS373" s="35"/>
      <c r="KT373" s="35"/>
      <c r="KU373" s="35"/>
      <c r="KV373" s="35"/>
      <c r="KW373" s="35"/>
      <c r="KX373" s="35"/>
      <c r="KY373" s="35"/>
      <c r="KZ373" s="35"/>
      <c r="LA373" s="35"/>
      <c r="LB373" s="35"/>
      <c r="LC373" s="35"/>
      <c r="LD373" s="35"/>
      <c r="LE373" s="35"/>
      <c r="LF373" s="35"/>
      <c r="LG373" s="35"/>
      <c r="LH373" s="35"/>
      <c r="LI373" s="35"/>
      <c r="LJ373" s="35"/>
      <c r="LK373" s="35"/>
      <c r="LL373" s="35"/>
      <c r="LM373" s="35"/>
      <c r="LN373" s="35"/>
      <c r="LO373" s="35"/>
      <c r="LP373" s="35"/>
      <c r="LQ373" s="35"/>
      <c r="LR373" s="35"/>
      <c r="LS373" s="35"/>
      <c r="LT373" s="35"/>
      <c r="LU373" s="35"/>
      <c r="LV373" s="35"/>
      <c r="LW373" s="35"/>
      <c r="LX373" s="35"/>
      <c r="LY373" s="35"/>
      <c r="LZ373" s="35"/>
      <c r="MA373" s="35"/>
      <c r="MB373" s="35"/>
      <c r="MC373" s="35"/>
      <c r="MD373" s="35"/>
      <c r="ME373" s="35"/>
      <c r="MF373" s="35"/>
      <c r="MG373" s="35"/>
    </row>
    <row r="374" spans="1:345" s="67" customFormat="1" ht="36" customHeight="1" x14ac:dyDescent="0.25">
      <c r="A374" s="110"/>
      <c r="B374" s="28" t="s">
        <v>238</v>
      </c>
      <c r="C374" s="21" t="s">
        <v>40</v>
      </c>
      <c r="D374" s="19" t="s">
        <v>4578</v>
      </c>
      <c r="E374" s="18">
        <v>44090.149826388886</v>
      </c>
      <c r="F374" s="27"/>
      <c r="G374" s="34"/>
      <c r="H374" s="25"/>
      <c r="I374" s="62" t="s">
        <v>206</v>
      </c>
      <c r="J374" s="34"/>
      <c r="K374" s="22"/>
      <c r="L374" s="23"/>
      <c r="M374" s="23"/>
      <c r="N374" s="26"/>
      <c r="O374" s="26"/>
      <c r="P374" s="35"/>
      <c r="Q374" s="35"/>
      <c r="R374" s="20"/>
      <c r="S374" s="35"/>
      <c r="T374" s="35"/>
      <c r="U374" s="35"/>
      <c r="V374" s="35"/>
      <c r="W374" s="35"/>
      <c r="X374" s="35"/>
      <c r="Y374" s="35"/>
      <c r="Z374" s="35"/>
      <c r="AA374" s="35"/>
      <c r="AB374" s="35"/>
      <c r="AC374" s="35"/>
      <c r="AD374" s="35"/>
      <c r="AE374" s="35"/>
      <c r="AF374" s="35"/>
      <c r="AG374" s="35"/>
      <c r="AH374" s="35"/>
      <c r="AI374" s="35"/>
      <c r="AJ374" s="35"/>
      <c r="AK374" s="35"/>
      <c r="AL374" s="35"/>
      <c r="AM374" s="35"/>
      <c r="AN374" s="35"/>
      <c r="AO374" s="35"/>
      <c r="AP374" s="35"/>
      <c r="AQ374" s="35"/>
      <c r="AR374" s="35"/>
      <c r="AS374" s="35"/>
      <c r="AT374" s="35"/>
      <c r="AU374" s="35"/>
      <c r="AV374" s="35"/>
      <c r="AW374" s="35"/>
      <c r="AX374" s="35"/>
      <c r="AY374" s="35"/>
      <c r="AZ374" s="35"/>
      <c r="BA374" s="35"/>
      <c r="BB374" s="35"/>
      <c r="BC374" s="35"/>
      <c r="BD374" s="35"/>
      <c r="BE374" s="35"/>
      <c r="BF374" s="35"/>
      <c r="BG374" s="35"/>
      <c r="BH374" s="35"/>
      <c r="BI374" s="35"/>
      <c r="BJ374" s="35"/>
      <c r="BK374" s="35"/>
      <c r="BL374" s="35"/>
      <c r="BM374" s="35"/>
      <c r="BN374" s="35"/>
      <c r="BO374" s="35"/>
      <c r="BP374" s="35"/>
      <c r="BQ374" s="35"/>
      <c r="BR374" s="35"/>
      <c r="BS374" s="35"/>
      <c r="BT374" s="35"/>
      <c r="BU374" s="35"/>
      <c r="BV374" s="35"/>
      <c r="BW374" s="35"/>
      <c r="BX374" s="35"/>
      <c r="BY374" s="35"/>
      <c r="BZ374" s="35"/>
      <c r="CA374" s="35"/>
      <c r="CB374" s="35"/>
      <c r="CC374" s="35"/>
      <c r="CD374" s="35"/>
      <c r="CE374" s="35"/>
      <c r="CF374" s="35"/>
      <c r="CG374" s="35"/>
      <c r="CH374" s="35"/>
      <c r="CI374" s="35"/>
      <c r="CJ374" s="35"/>
      <c r="CK374" s="35"/>
      <c r="CL374" s="35"/>
      <c r="CM374" s="35"/>
      <c r="CN374" s="35"/>
      <c r="CO374" s="35"/>
      <c r="CP374" s="35"/>
      <c r="CQ374" s="35"/>
      <c r="CR374" s="35"/>
      <c r="CS374" s="35"/>
      <c r="CT374" s="35"/>
      <c r="CU374" s="35"/>
      <c r="CV374" s="35"/>
      <c r="CW374" s="35"/>
      <c r="CX374" s="35"/>
      <c r="CY374" s="35"/>
      <c r="CZ374" s="35"/>
      <c r="DA374" s="35"/>
      <c r="DB374" s="35"/>
      <c r="DC374" s="35"/>
      <c r="DD374" s="35"/>
      <c r="DE374" s="35"/>
      <c r="DF374" s="35"/>
      <c r="DG374" s="35"/>
      <c r="DH374" s="35"/>
      <c r="DI374" s="35"/>
      <c r="DJ374" s="35"/>
      <c r="DK374" s="35"/>
      <c r="DL374" s="35"/>
      <c r="DM374" s="35"/>
      <c r="DN374" s="35"/>
      <c r="DO374" s="35"/>
      <c r="DP374" s="35"/>
      <c r="DQ374" s="35"/>
      <c r="DR374" s="35"/>
      <c r="DS374" s="35"/>
      <c r="DT374" s="35"/>
      <c r="DU374" s="35"/>
      <c r="DV374" s="35"/>
      <c r="DW374" s="35"/>
      <c r="DX374" s="35"/>
      <c r="DY374" s="35"/>
      <c r="DZ374" s="35"/>
      <c r="EA374" s="35"/>
      <c r="EB374" s="35"/>
      <c r="EC374" s="35"/>
      <c r="ED374" s="35"/>
      <c r="EE374" s="35"/>
      <c r="EF374" s="35"/>
      <c r="EG374" s="35"/>
      <c r="EH374" s="35"/>
      <c r="EI374" s="35"/>
      <c r="EJ374" s="35"/>
      <c r="EK374" s="35"/>
      <c r="EL374" s="35"/>
      <c r="EM374" s="35"/>
      <c r="EN374" s="35"/>
      <c r="EO374" s="35"/>
      <c r="EP374" s="35"/>
      <c r="EQ374" s="35"/>
      <c r="ER374" s="35"/>
      <c r="ES374" s="35"/>
      <c r="ET374" s="35"/>
      <c r="EU374" s="35"/>
      <c r="EV374" s="35"/>
      <c r="EW374" s="35"/>
      <c r="EX374" s="35"/>
      <c r="EY374" s="35"/>
      <c r="EZ374" s="35"/>
      <c r="FA374" s="35"/>
      <c r="FB374" s="35"/>
      <c r="FC374" s="35"/>
      <c r="FD374" s="35"/>
      <c r="FE374" s="35"/>
      <c r="FF374" s="35"/>
      <c r="FG374" s="35"/>
      <c r="FH374" s="35"/>
      <c r="FI374" s="35"/>
      <c r="FJ374" s="35"/>
      <c r="FK374" s="35"/>
      <c r="FL374" s="35"/>
      <c r="FM374" s="35"/>
      <c r="FN374" s="35"/>
      <c r="FO374" s="35"/>
      <c r="FP374" s="35"/>
      <c r="FQ374" s="35"/>
      <c r="FR374" s="35"/>
      <c r="FS374" s="35"/>
      <c r="FT374" s="35"/>
      <c r="FU374" s="35"/>
      <c r="FV374" s="35"/>
      <c r="FW374" s="35"/>
      <c r="FX374" s="35"/>
      <c r="FY374" s="35"/>
      <c r="FZ374" s="35"/>
      <c r="GA374" s="35"/>
      <c r="GB374" s="35"/>
      <c r="GC374" s="35"/>
      <c r="GD374" s="35"/>
      <c r="GE374" s="35"/>
      <c r="GF374" s="35"/>
      <c r="GG374" s="35"/>
      <c r="GH374" s="35"/>
      <c r="GI374" s="35"/>
      <c r="GJ374" s="35"/>
      <c r="GK374" s="35"/>
      <c r="GL374" s="35"/>
      <c r="GM374" s="35"/>
      <c r="GN374" s="35"/>
      <c r="GO374" s="35"/>
      <c r="GP374" s="35"/>
      <c r="GQ374" s="35"/>
      <c r="GR374" s="35"/>
      <c r="GS374" s="35"/>
      <c r="GT374" s="35"/>
      <c r="GU374" s="35"/>
      <c r="GV374" s="35"/>
      <c r="GW374" s="35"/>
      <c r="GX374" s="35"/>
      <c r="GY374" s="35"/>
      <c r="GZ374" s="35"/>
      <c r="HA374" s="35"/>
      <c r="HB374" s="35"/>
      <c r="HC374" s="35"/>
      <c r="HD374" s="35"/>
      <c r="HE374" s="35"/>
      <c r="HF374" s="35"/>
      <c r="HG374" s="35"/>
      <c r="HH374" s="35"/>
      <c r="HI374" s="35"/>
      <c r="HJ374" s="35"/>
      <c r="HK374" s="35"/>
      <c r="HL374" s="35"/>
      <c r="HM374" s="35"/>
      <c r="HN374" s="35"/>
      <c r="HO374" s="35"/>
      <c r="HP374" s="35"/>
      <c r="HQ374" s="35"/>
      <c r="HR374" s="35"/>
      <c r="HS374" s="35"/>
      <c r="HT374" s="35"/>
      <c r="HU374" s="35"/>
      <c r="HV374" s="35"/>
      <c r="HW374" s="35"/>
      <c r="HX374" s="35"/>
      <c r="HY374" s="35"/>
      <c r="HZ374" s="35"/>
      <c r="IA374" s="35"/>
      <c r="IB374" s="35"/>
      <c r="IC374" s="35"/>
      <c r="ID374" s="35"/>
      <c r="IE374" s="35"/>
      <c r="IF374" s="35"/>
      <c r="IG374" s="35"/>
      <c r="IH374" s="35"/>
      <c r="II374" s="35"/>
      <c r="IJ374" s="35"/>
      <c r="IK374" s="35"/>
      <c r="IL374" s="35"/>
      <c r="IM374" s="35"/>
      <c r="IN374" s="35"/>
      <c r="IO374" s="35"/>
      <c r="IP374" s="35"/>
      <c r="IQ374" s="35"/>
      <c r="IR374" s="35"/>
      <c r="IS374" s="35"/>
      <c r="IT374" s="35"/>
      <c r="IU374" s="35"/>
      <c r="IV374" s="35"/>
      <c r="IW374" s="35"/>
      <c r="IX374" s="35"/>
      <c r="IY374" s="35"/>
      <c r="IZ374" s="35"/>
      <c r="JA374" s="35"/>
      <c r="JB374" s="35"/>
      <c r="JC374" s="35"/>
      <c r="JD374" s="35"/>
      <c r="JE374" s="35"/>
      <c r="JF374" s="35"/>
      <c r="JG374" s="35"/>
      <c r="JH374" s="35"/>
      <c r="JI374" s="35"/>
      <c r="JJ374" s="35"/>
      <c r="JK374" s="35"/>
      <c r="JL374" s="35"/>
      <c r="JM374" s="35"/>
      <c r="JN374" s="35"/>
      <c r="JO374" s="35"/>
      <c r="JP374" s="35"/>
      <c r="JQ374" s="35"/>
      <c r="JR374" s="35"/>
      <c r="JS374" s="35"/>
      <c r="JT374" s="35"/>
      <c r="JU374" s="35"/>
      <c r="JV374" s="35"/>
      <c r="JW374" s="35"/>
      <c r="JX374" s="35"/>
      <c r="JY374" s="35"/>
      <c r="JZ374" s="35"/>
      <c r="KA374" s="35"/>
      <c r="KB374" s="35"/>
      <c r="KC374" s="35"/>
      <c r="KD374" s="35"/>
      <c r="KE374" s="35"/>
      <c r="KF374" s="35"/>
      <c r="KG374" s="35"/>
      <c r="KH374" s="35"/>
      <c r="KI374" s="35"/>
      <c r="KJ374" s="35"/>
      <c r="KK374" s="35"/>
      <c r="KL374" s="35"/>
      <c r="KM374" s="35"/>
      <c r="KN374" s="35"/>
      <c r="KO374" s="35"/>
      <c r="KP374" s="35"/>
      <c r="KQ374" s="35"/>
      <c r="KR374" s="35"/>
      <c r="KS374" s="35"/>
      <c r="KT374" s="35"/>
      <c r="KU374" s="35"/>
      <c r="KV374" s="35"/>
      <c r="KW374" s="35"/>
      <c r="KX374" s="35"/>
      <c r="KY374" s="35"/>
      <c r="KZ374" s="35"/>
      <c r="LA374" s="35"/>
      <c r="LB374" s="35"/>
      <c r="LC374" s="35"/>
      <c r="LD374" s="35"/>
      <c r="LE374" s="35"/>
      <c r="LF374" s="35"/>
      <c r="LG374" s="35"/>
      <c r="LH374" s="35"/>
      <c r="LI374" s="35"/>
      <c r="LJ374" s="35"/>
      <c r="LK374" s="35"/>
      <c r="LL374" s="35"/>
      <c r="LM374" s="35"/>
      <c r="LN374" s="35"/>
      <c r="LO374" s="35"/>
      <c r="LP374" s="35"/>
      <c r="LQ374" s="35"/>
      <c r="LR374" s="35"/>
      <c r="LS374" s="35"/>
      <c r="LT374" s="35"/>
      <c r="LU374" s="35"/>
      <c r="LV374" s="35"/>
      <c r="LW374" s="35"/>
      <c r="LX374" s="35"/>
      <c r="LY374" s="35"/>
      <c r="LZ374" s="35"/>
      <c r="MA374" s="35"/>
      <c r="MB374" s="35"/>
      <c r="MC374" s="35"/>
      <c r="MD374" s="35"/>
      <c r="ME374" s="35"/>
      <c r="MF374" s="35"/>
      <c r="MG374" s="35"/>
    </row>
    <row r="375" spans="1:345" s="67" customFormat="1" ht="36" customHeight="1" x14ac:dyDescent="0.25">
      <c r="A375" s="113"/>
      <c r="B375" s="28"/>
      <c r="C375" s="21"/>
      <c r="D375" s="19"/>
      <c r="E375" s="18"/>
      <c r="F375" s="27"/>
      <c r="G375" s="34"/>
      <c r="H375" s="25"/>
      <c r="I375" s="25"/>
      <c r="J375" s="34"/>
      <c r="K375" s="22"/>
      <c r="L375" s="23"/>
      <c r="M375" s="23"/>
      <c r="N375" s="26"/>
      <c r="O375" s="26"/>
      <c r="P375" s="35"/>
      <c r="Q375" s="35"/>
      <c r="R375" s="20"/>
      <c r="S375" s="35"/>
      <c r="T375" s="35"/>
      <c r="U375" s="35"/>
      <c r="V375" s="35"/>
      <c r="W375" s="35"/>
      <c r="X375" s="35"/>
      <c r="Y375" s="35"/>
      <c r="Z375" s="35"/>
      <c r="AA375" s="35"/>
      <c r="AB375" s="35"/>
      <c r="AC375" s="35"/>
      <c r="AD375" s="35"/>
      <c r="AE375" s="35"/>
      <c r="AF375" s="35"/>
      <c r="AG375" s="35"/>
      <c r="AH375" s="35"/>
      <c r="AI375" s="35"/>
      <c r="AJ375" s="35"/>
      <c r="AK375" s="35"/>
      <c r="AL375" s="35"/>
      <c r="AM375" s="35"/>
      <c r="AN375" s="35"/>
      <c r="AO375" s="35"/>
      <c r="AP375" s="35"/>
      <c r="AQ375" s="35"/>
      <c r="AR375" s="35"/>
      <c r="AS375" s="35"/>
      <c r="AT375" s="35"/>
      <c r="AU375" s="35"/>
      <c r="AV375" s="35"/>
      <c r="AW375" s="35"/>
      <c r="AX375" s="35"/>
      <c r="AY375" s="35"/>
      <c r="AZ375" s="35"/>
      <c r="BA375" s="35"/>
      <c r="BB375" s="35"/>
      <c r="BC375" s="35"/>
      <c r="BD375" s="35"/>
      <c r="BE375" s="35"/>
      <c r="BF375" s="35"/>
      <c r="BG375" s="35"/>
      <c r="BH375" s="35"/>
      <c r="BI375" s="35"/>
      <c r="BJ375" s="35"/>
      <c r="BK375" s="35"/>
      <c r="BL375" s="35"/>
      <c r="BM375" s="35"/>
      <c r="BN375" s="35"/>
      <c r="BO375" s="35"/>
      <c r="BP375" s="35"/>
      <c r="BQ375" s="35"/>
      <c r="BR375" s="35"/>
      <c r="BS375" s="35"/>
      <c r="BT375" s="35"/>
      <c r="BU375" s="35"/>
      <c r="BV375" s="35"/>
      <c r="BW375" s="35"/>
      <c r="BX375" s="35"/>
      <c r="BY375" s="35"/>
      <c r="BZ375" s="35"/>
      <c r="CA375" s="35"/>
      <c r="CB375" s="35"/>
      <c r="CC375" s="35"/>
      <c r="CD375" s="35"/>
      <c r="CE375" s="35"/>
      <c r="CF375" s="35"/>
      <c r="CG375" s="35"/>
      <c r="CH375" s="35"/>
      <c r="CI375" s="35"/>
      <c r="CJ375" s="35"/>
      <c r="CK375" s="35"/>
      <c r="CL375" s="35"/>
      <c r="CM375" s="35"/>
      <c r="CN375" s="35"/>
      <c r="CO375" s="35"/>
      <c r="CP375" s="35"/>
      <c r="CQ375" s="35"/>
      <c r="CR375" s="35"/>
      <c r="CS375" s="35"/>
      <c r="CT375" s="35"/>
      <c r="CU375" s="35"/>
      <c r="CV375" s="35"/>
      <c r="CW375" s="35"/>
      <c r="CX375" s="35"/>
      <c r="CY375" s="35"/>
      <c r="CZ375" s="35"/>
      <c r="DA375" s="35"/>
      <c r="DB375" s="35"/>
      <c r="DC375" s="35"/>
      <c r="DD375" s="35"/>
      <c r="DE375" s="35"/>
      <c r="DF375" s="35"/>
      <c r="DG375" s="35"/>
      <c r="DH375" s="35"/>
      <c r="DI375" s="35"/>
      <c r="DJ375" s="35"/>
      <c r="DK375" s="35"/>
      <c r="DL375" s="35"/>
      <c r="DM375" s="35"/>
      <c r="DN375" s="35"/>
      <c r="DO375" s="35"/>
      <c r="DP375" s="35"/>
      <c r="DQ375" s="35"/>
      <c r="DR375" s="35"/>
      <c r="DS375" s="35"/>
      <c r="DT375" s="35"/>
      <c r="DU375" s="35"/>
      <c r="DV375" s="35"/>
      <c r="DW375" s="35"/>
      <c r="DX375" s="35"/>
      <c r="DY375" s="35"/>
      <c r="DZ375" s="35"/>
      <c r="EA375" s="35"/>
      <c r="EB375" s="35"/>
      <c r="EC375" s="35"/>
      <c r="ED375" s="35"/>
      <c r="EE375" s="35"/>
      <c r="EF375" s="35"/>
      <c r="EG375" s="35"/>
      <c r="EH375" s="35"/>
      <c r="EI375" s="35"/>
      <c r="EJ375" s="35"/>
      <c r="EK375" s="35"/>
      <c r="EL375" s="35"/>
      <c r="EM375" s="35"/>
      <c r="EN375" s="35"/>
      <c r="EO375" s="35"/>
      <c r="EP375" s="35"/>
      <c r="EQ375" s="35"/>
      <c r="ER375" s="35"/>
      <c r="ES375" s="35"/>
      <c r="ET375" s="35"/>
      <c r="EU375" s="35"/>
      <c r="EV375" s="35"/>
      <c r="EW375" s="35"/>
      <c r="EX375" s="35"/>
      <c r="EY375" s="35"/>
      <c r="EZ375" s="35"/>
      <c r="FA375" s="35"/>
      <c r="FB375" s="35"/>
      <c r="FC375" s="35"/>
      <c r="FD375" s="35"/>
      <c r="FE375" s="35"/>
      <c r="FF375" s="35"/>
      <c r="FG375" s="35"/>
      <c r="FH375" s="35"/>
      <c r="FI375" s="35"/>
      <c r="FJ375" s="35"/>
      <c r="FK375" s="35"/>
      <c r="FL375" s="35"/>
      <c r="FM375" s="35"/>
      <c r="FN375" s="35"/>
      <c r="FO375" s="35"/>
      <c r="FP375" s="35"/>
      <c r="FQ375" s="35"/>
      <c r="FR375" s="35"/>
      <c r="FS375" s="35"/>
      <c r="FT375" s="35"/>
      <c r="FU375" s="35"/>
      <c r="FV375" s="35"/>
      <c r="FW375" s="35"/>
      <c r="FX375" s="35"/>
      <c r="FY375" s="35"/>
      <c r="FZ375" s="35"/>
      <c r="GA375" s="35"/>
      <c r="GB375" s="35"/>
      <c r="GC375" s="35"/>
      <c r="GD375" s="35"/>
      <c r="GE375" s="35"/>
      <c r="GF375" s="35"/>
      <c r="GG375" s="35"/>
      <c r="GH375" s="35"/>
      <c r="GI375" s="35"/>
      <c r="GJ375" s="35"/>
      <c r="GK375" s="35"/>
      <c r="GL375" s="35"/>
      <c r="GM375" s="35"/>
      <c r="GN375" s="35"/>
      <c r="GO375" s="35"/>
      <c r="GP375" s="35"/>
      <c r="GQ375" s="35"/>
      <c r="GR375" s="35"/>
      <c r="GS375" s="35"/>
      <c r="GT375" s="35"/>
      <c r="GU375" s="35"/>
      <c r="GV375" s="35"/>
      <c r="GW375" s="35"/>
      <c r="GX375" s="35"/>
      <c r="GY375" s="35"/>
      <c r="GZ375" s="35"/>
      <c r="HA375" s="35"/>
      <c r="HB375" s="35"/>
      <c r="HC375" s="35"/>
      <c r="HD375" s="35"/>
      <c r="HE375" s="35"/>
      <c r="HF375" s="35"/>
      <c r="HG375" s="35"/>
      <c r="HH375" s="35"/>
      <c r="HI375" s="35"/>
      <c r="HJ375" s="35"/>
      <c r="HK375" s="35"/>
      <c r="HL375" s="35"/>
      <c r="HM375" s="35"/>
      <c r="HN375" s="35"/>
      <c r="HO375" s="35"/>
      <c r="HP375" s="35"/>
      <c r="HQ375" s="35"/>
      <c r="HR375" s="35"/>
      <c r="HS375" s="35"/>
      <c r="HT375" s="35"/>
      <c r="HU375" s="35"/>
      <c r="HV375" s="35"/>
      <c r="HW375" s="35"/>
      <c r="HX375" s="35"/>
      <c r="HY375" s="35"/>
      <c r="HZ375" s="35"/>
      <c r="IA375" s="35"/>
      <c r="IB375" s="35"/>
      <c r="IC375" s="35"/>
      <c r="ID375" s="35"/>
      <c r="IE375" s="35"/>
      <c r="IF375" s="35"/>
      <c r="IG375" s="35"/>
      <c r="IH375" s="35"/>
      <c r="II375" s="35"/>
      <c r="IJ375" s="35"/>
      <c r="IK375" s="35"/>
      <c r="IL375" s="35"/>
      <c r="IM375" s="35"/>
      <c r="IN375" s="35"/>
      <c r="IO375" s="35"/>
      <c r="IP375" s="35"/>
      <c r="IQ375" s="35"/>
      <c r="IR375" s="35"/>
      <c r="IS375" s="35"/>
      <c r="IT375" s="35"/>
      <c r="IU375" s="35"/>
      <c r="IV375" s="35"/>
      <c r="IW375" s="35"/>
      <c r="IX375" s="35"/>
      <c r="IY375" s="35"/>
      <c r="IZ375" s="35"/>
      <c r="JA375" s="35"/>
      <c r="JB375" s="35"/>
      <c r="JC375" s="35"/>
      <c r="JD375" s="35"/>
      <c r="JE375" s="35"/>
      <c r="JF375" s="35"/>
      <c r="JG375" s="35"/>
      <c r="JH375" s="35"/>
      <c r="JI375" s="35"/>
      <c r="JJ375" s="35"/>
      <c r="JK375" s="35"/>
      <c r="JL375" s="35"/>
      <c r="JM375" s="35"/>
      <c r="JN375" s="35"/>
      <c r="JO375" s="35"/>
      <c r="JP375" s="35"/>
      <c r="JQ375" s="35"/>
      <c r="JR375" s="35"/>
      <c r="JS375" s="35"/>
      <c r="JT375" s="35"/>
      <c r="JU375" s="35"/>
      <c r="JV375" s="35"/>
      <c r="JW375" s="35"/>
      <c r="JX375" s="35"/>
      <c r="JY375" s="35"/>
      <c r="JZ375" s="35"/>
      <c r="KA375" s="35"/>
      <c r="KB375" s="35"/>
      <c r="KC375" s="35"/>
      <c r="KD375" s="35"/>
      <c r="KE375" s="35"/>
      <c r="KF375" s="35"/>
      <c r="KG375" s="35"/>
      <c r="KH375" s="35"/>
      <c r="KI375" s="35"/>
      <c r="KJ375" s="35"/>
      <c r="KK375" s="35"/>
      <c r="KL375" s="35"/>
      <c r="KM375" s="35"/>
      <c r="KN375" s="35"/>
      <c r="KO375" s="35"/>
      <c r="KP375" s="35"/>
      <c r="KQ375" s="35"/>
      <c r="KR375" s="35"/>
      <c r="KS375" s="35"/>
      <c r="KT375" s="35"/>
      <c r="KU375" s="35"/>
      <c r="KV375" s="35"/>
      <c r="KW375" s="35"/>
      <c r="KX375" s="35"/>
      <c r="KY375" s="35"/>
      <c r="KZ375" s="35"/>
      <c r="LA375" s="35"/>
      <c r="LB375" s="35"/>
      <c r="LC375" s="35"/>
      <c r="LD375" s="35"/>
      <c r="LE375" s="35"/>
      <c r="LF375" s="35"/>
      <c r="LG375" s="35"/>
      <c r="LH375" s="35"/>
      <c r="LI375" s="35"/>
      <c r="LJ375" s="35"/>
      <c r="LK375" s="35"/>
      <c r="LL375" s="35"/>
      <c r="LM375" s="35"/>
      <c r="LN375" s="35"/>
      <c r="LO375" s="35"/>
      <c r="LP375" s="35"/>
      <c r="LQ375" s="35"/>
      <c r="LR375" s="35"/>
      <c r="LS375" s="35"/>
      <c r="LT375" s="35"/>
      <c r="LU375" s="35"/>
      <c r="LV375" s="35"/>
      <c r="LW375" s="35"/>
      <c r="LX375" s="35"/>
      <c r="LY375" s="35"/>
      <c r="LZ375" s="35"/>
      <c r="MA375" s="35"/>
      <c r="MB375" s="35"/>
      <c r="MC375" s="35"/>
      <c r="MD375" s="35"/>
      <c r="ME375" s="35"/>
      <c r="MF375" s="35"/>
      <c r="MG375" s="35"/>
    </row>
  </sheetData>
  <autoFilter ref="B15:O374" xr:uid="{00000000-0009-0000-0000-000000000000}">
    <filterColumn colId="10">
      <filters blank="1"/>
    </filterColumn>
    <sortState xmlns:xlrd2="http://schemas.microsoft.com/office/spreadsheetml/2017/richdata2" ref="B16:O372">
      <sortCondition ref="E43:E384"/>
    </sortState>
  </autoFilter>
  <sortState xmlns:xlrd2="http://schemas.microsoft.com/office/spreadsheetml/2017/richdata2" ref="B178:D189">
    <sortCondition ref="B178"/>
  </sortState>
  <mergeCells count="3">
    <mergeCell ref="B2:D3"/>
    <mergeCell ref="B13:D14"/>
    <mergeCell ref="B12:C12"/>
  </mergeCells>
  <phoneticPr fontId="2" type="noConversion"/>
  <conditionalFormatting sqref="I128">
    <cfRule type="colorScale" priority="283">
      <colorScale>
        <cfvo type="min"/>
        <cfvo type="max"/>
        <color rgb="FFFF7128"/>
        <color rgb="FFFFEF9C"/>
      </colorScale>
    </cfRule>
  </conditionalFormatting>
  <conditionalFormatting sqref="M1:M111 M376:M1048576">
    <cfRule type="containsText" dxfId="162" priority="30" operator="containsText" text="WAITING FOR RESPONSE">
      <formula>NOT(ISERROR(SEARCH("WAITING FOR RESPONSE",M1)))</formula>
    </cfRule>
  </conditionalFormatting>
  <conditionalFormatting sqref="F16:F337 F339:F370 F372:F375">
    <cfRule type="cellIs" dxfId="161" priority="20" operator="equal">
      <formula>0</formula>
    </cfRule>
    <cfRule type="cellIs" dxfId="160" priority="21" operator="lessThan">
      <formula>7</formula>
    </cfRule>
    <cfRule type="cellIs" dxfId="159" priority="22" operator="between">
      <formula>7</formula>
      <formula>30</formula>
    </cfRule>
    <cfRule type="cellIs" dxfId="158" priority="23" operator="greaterThan">
      <formula>30</formula>
    </cfRule>
  </conditionalFormatting>
  <conditionalFormatting sqref="F16:F337 F339:F370 F372:F375">
    <cfRule type="cellIs" dxfId="157" priority="19" operator="equal">
      <formula>0</formula>
    </cfRule>
  </conditionalFormatting>
  <conditionalFormatting sqref="F338">
    <cfRule type="cellIs" dxfId="156" priority="11" operator="equal">
      <formula>0</formula>
    </cfRule>
    <cfRule type="cellIs" dxfId="155" priority="12" operator="lessThan">
      <formula>7</formula>
    </cfRule>
    <cfRule type="cellIs" dxfId="154" priority="13" operator="between">
      <formula>7</formula>
      <formula>30</formula>
    </cfRule>
    <cfRule type="cellIs" dxfId="153" priority="14" operator="greaterThan">
      <formula>30</formula>
    </cfRule>
  </conditionalFormatting>
  <conditionalFormatting sqref="F338">
    <cfRule type="cellIs" dxfId="152" priority="10" operator="equal">
      <formula>0</formula>
    </cfRule>
  </conditionalFormatting>
  <conditionalFormatting sqref="F371">
    <cfRule type="cellIs" dxfId="151" priority="2" operator="equal">
      <formula>0</formula>
    </cfRule>
    <cfRule type="cellIs" dxfId="150" priority="3" operator="lessThan">
      <formula>7</formula>
    </cfRule>
    <cfRule type="cellIs" dxfId="149" priority="4" operator="between">
      <formula>7</formula>
      <formula>30</formula>
    </cfRule>
    <cfRule type="cellIs" dxfId="148" priority="5" operator="greaterThan">
      <formula>30</formula>
    </cfRule>
  </conditionalFormatting>
  <conditionalFormatting sqref="F371">
    <cfRule type="cellIs" dxfId="147" priority="1" operator="equal">
      <formula>0</formula>
    </cfRule>
  </conditionalFormatting>
  <dataValidations count="3">
    <dataValidation type="list" allowBlank="1" showInputMessage="1" showErrorMessage="1" sqref="I18:I321 I323:I375" xr:uid="{00000000-0002-0000-0000-000000000000}">
      <formula1>$D$8:$D$9</formula1>
    </dataValidation>
    <dataValidation type="list" allowBlank="1" showInputMessage="1" showErrorMessage="1" sqref="I322" xr:uid="{C089167B-D5B0-49B7-A34B-841A995652C0}">
      <formula1>$D$6:$D$7</formula1>
    </dataValidation>
    <dataValidation type="list" allowBlank="1" showInputMessage="1" showErrorMessage="1" sqref="M327:M329 M112:M113 M299 M295:M297 M333:M375" xr:uid="{B4A60746-A1E3-43C2-9D5D-6E35C55789FB}">
      <formula1>$D$10:$D$11</formula1>
    </dataValidation>
  </dataValidations>
  <printOptions horizontalCentered="1"/>
  <pageMargins left="0.25" right="0.25" top="0.75" bottom="0.75" header="0.3" footer="0.3"/>
  <pageSetup paperSize="3" scale="51"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learScanFolder">
                <anchor moveWithCells="1" sizeWithCells="1">
                  <from>
                    <xdr:col>3</xdr:col>
                    <xdr:colOff>4260850</xdr:colOff>
                    <xdr:row>2</xdr:row>
                    <xdr:rowOff>171450</xdr:rowOff>
                  </from>
                  <to>
                    <xdr:col>3</xdr:col>
                    <xdr:colOff>6184900</xdr:colOff>
                    <xdr:row>3</xdr:row>
                    <xdr:rowOff>209550</xdr:rowOff>
                  </to>
                </anchor>
              </controlPr>
            </control>
          </mc:Choice>
        </mc:AlternateContent>
        <mc:AlternateContent xmlns:mc="http://schemas.openxmlformats.org/markup-compatibility/2006">
          <mc:Choice Requires="x14">
            <control shapeId="1027" r:id="rId5" name="Button 3">
              <controlPr defaultSize="0" print="0" autoFill="0" autoPict="0" macro="[0]!autoMailer_NEW">
                <anchor moveWithCells="1">
                  <from>
                    <xdr:col>6</xdr:col>
                    <xdr:colOff>190500</xdr:colOff>
                    <xdr:row>0</xdr:row>
                    <xdr:rowOff>203200</xdr:rowOff>
                  </from>
                  <to>
                    <xdr:col>7</xdr:col>
                    <xdr:colOff>171450</xdr:colOff>
                    <xdr:row>3</xdr:row>
                    <xdr:rowOff>69850</xdr:rowOff>
                  </to>
                </anchor>
              </controlPr>
            </control>
          </mc:Choice>
        </mc:AlternateContent>
        <mc:AlternateContent xmlns:mc="http://schemas.openxmlformats.org/markup-compatibility/2006">
          <mc:Choice Requires="x14">
            <control shapeId="1030" r:id="rId6" name="Button 6">
              <controlPr defaultSize="0" print="0" autoFill="0" autoPict="0" macro="[0]!autoMailer_PENDING">
                <anchor moveWithCells="1">
                  <from>
                    <xdr:col>7</xdr:col>
                    <xdr:colOff>755650</xdr:colOff>
                    <xdr:row>0</xdr:row>
                    <xdr:rowOff>222250</xdr:rowOff>
                  </from>
                  <to>
                    <xdr:col>8</xdr:col>
                    <xdr:colOff>1123950</xdr:colOff>
                    <xdr:row>3</xdr:row>
                    <xdr:rowOff>88900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281" operator="containsText" id="{218CE82B-9719-41E2-9C68-D64F57458CBB}">
            <xm:f>NOT(ISERROR(SEARCH($D$8,I18)))</xm:f>
            <xm:f>$D$8</xm:f>
            <x14:dxf>
              <fill>
                <patternFill>
                  <bgColor rgb="FFFF0000"/>
                </patternFill>
              </fill>
            </x14:dxf>
          </x14:cfRule>
          <x14:cfRule type="containsText" priority="282" operator="containsText" id="{71E86855-F7FF-42CA-A81B-16FA78E0BCDE}">
            <xm:f>NOT(ISERROR(SEARCH($D$9,I18)))</xm:f>
            <xm:f>$D$9</xm:f>
            <x14:dxf>
              <fill>
                <patternFill>
                  <bgColor rgb="FF0070C0"/>
                </patternFill>
              </fill>
            </x14:dxf>
          </x14:cfRule>
          <xm:sqref>I18:I138 I140:I169</xm:sqref>
        </x14:conditionalFormatting>
        <x14:conditionalFormatting xmlns:xm="http://schemas.microsoft.com/office/excel/2006/main">
          <x14:cfRule type="containsText" priority="291" stopIfTrue="1" operator="containsText" id="{1B211740-5804-4B3F-8D9A-AA86E7C2058F}">
            <xm:f>NOT(ISERROR(SEARCH($D$9,I171)))</xm:f>
            <xm:f>$D$9</xm:f>
            <x14:dxf>
              <fill>
                <patternFill>
                  <bgColor rgb="FF0070C0"/>
                </patternFill>
              </fill>
            </x14:dxf>
          </x14:cfRule>
          <x14:cfRule type="containsText" priority="292" stopIfTrue="1" operator="containsText" id="{96503A20-2E94-48ED-BADB-1BD362524AEA}">
            <xm:f>NOT(ISERROR(SEARCH($D$8,I171)))</xm:f>
            <xm:f>$D$8</xm:f>
            <x14:dxf>
              <fill>
                <patternFill>
                  <bgColor rgb="FFFF0000"/>
                </patternFill>
              </fill>
            </x14:dxf>
          </x14:cfRule>
          <xm:sqref>I171:I172 I178:I181 I174:I176 I183:I321 I323:I337 I339:I370 I372</xm:sqref>
        </x14:conditionalFormatting>
        <x14:conditionalFormatting xmlns:xm="http://schemas.microsoft.com/office/excel/2006/main">
          <x14:cfRule type="containsText" priority="267" operator="containsText" id="{33086B5B-F276-4FF1-BC9A-5B9D130F6C88}">
            <xm:f>NOT(ISERROR(SEARCH($D$8,I139)))</xm:f>
            <xm:f>$D$8</xm:f>
            <x14:dxf>
              <fill>
                <patternFill>
                  <bgColor rgb="FFFF0000"/>
                </patternFill>
              </fill>
            </x14:dxf>
          </x14:cfRule>
          <x14:cfRule type="containsText" priority="268" operator="containsText" id="{87CC75C3-CB24-4AEF-B823-8044F8F3C007}">
            <xm:f>NOT(ISERROR(SEARCH($D$9,I139)))</xm:f>
            <xm:f>$D$9</xm:f>
            <x14:dxf>
              <fill>
                <patternFill>
                  <bgColor rgb="FF0070C0"/>
                </patternFill>
              </fill>
            </x14:dxf>
          </x14:cfRule>
          <xm:sqref>I139</xm:sqref>
        </x14:conditionalFormatting>
        <x14:conditionalFormatting xmlns:xm="http://schemas.microsoft.com/office/excel/2006/main">
          <x14:cfRule type="containsText" priority="260" stopIfTrue="1" operator="containsText" id="{BE5FE712-F818-4BCF-8919-D5D97E57B652}">
            <xm:f>NOT(ISERROR(SEARCH($D$9,I177)))</xm:f>
            <xm:f>$D$9</xm:f>
            <x14:dxf>
              <fill>
                <patternFill>
                  <bgColor rgb="FF0070C0"/>
                </patternFill>
              </fill>
            </x14:dxf>
          </x14:cfRule>
          <x14:cfRule type="containsText" priority="261" stopIfTrue="1" operator="containsText" id="{17F7DF49-A0D9-4513-AF22-E10A11E7F1B6}">
            <xm:f>NOT(ISERROR(SEARCH($D$8,I177)))</xm:f>
            <xm:f>$D$8</xm:f>
            <x14:dxf>
              <fill>
                <patternFill>
                  <bgColor rgb="FFFF0000"/>
                </patternFill>
              </fill>
            </x14:dxf>
          </x14:cfRule>
          <xm:sqref>I177</xm:sqref>
        </x14:conditionalFormatting>
        <x14:conditionalFormatting xmlns:xm="http://schemas.microsoft.com/office/excel/2006/main">
          <x14:cfRule type="containsText" priority="246" operator="containsText" id="{CDECC6EA-C67B-415B-8661-27E44AF4B8D7}">
            <xm:f>NOT(ISERROR(SEARCH($D$8,I170)))</xm:f>
            <xm:f>$D$8</xm:f>
            <x14:dxf>
              <fill>
                <patternFill>
                  <bgColor rgb="FFFF0000"/>
                </patternFill>
              </fill>
            </x14:dxf>
          </x14:cfRule>
          <x14:cfRule type="containsText" priority="247" operator="containsText" id="{648AF96B-EA51-4B60-96D7-76FB89737D6C}">
            <xm:f>NOT(ISERROR(SEARCH($D$9,I170)))</xm:f>
            <xm:f>$D$9</xm:f>
            <x14:dxf>
              <fill>
                <patternFill>
                  <bgColor rgb="FF0070C0"/>
                </patternFill>
              </fill>
            </x14:dxf>
          </x14:cfRule>
          <xm:sqref>I170</xm:sqref>
        </x14:conditionalFormatting>
        <x14:conditionalFormatting xmlns:xm="http://schemas.microsoft.com/office/excel/2006/main">
          <x14:cfRule type="containsText" priority="244" operator="containsText" id="{BAC756C1-265B-48F1-A654-9148787A61F6}">
            <xm:f>NOT(ISERROR(SEARCH($D$8,I173)))</xm:f>
            <xm:f>$D$8</xm:f>
            <x14:dxf>
              <fill>
                <patternFill>
                  <bgColor rgb="FFFF0000"/>
                </patternFill>
              </fill>
            </x14:dxf>
          </x14:cfRule>
          <x14:cfRule type="containsText" priority="245" operator="containsText" id="{AC4615E8-E8CA-4E12-BA16-C5C965115DDE}">
            <xm:f>NOT(ISERROR(SEARCH($D$9,I173)))</xm:f>
            <xm:f>$D$9</xm:f>
            <x14:dxf>
              <fill>
                <patternFill>
                  <bgColor rgb="FF0070C0"/>
                </patternFill>
              </fill>
            </x14:dxf>
          </x14:cfRule>
          <xm:sqref>I173</xm:sqref>
        </x14:conditionalFormatting>
        <x14:conditionalFormatting xmlns:xm="http://schemas.microsoft.com/office/excel/2006/main">
          <x14:cfRule type="containsText" priority="242" stopIfTrue="1" operator="containsText" id="{3D55DDE5-B952-423C-94AD-D18B30FCD064}">
            <xm:f>NOT(ISERROR(SEARCH($D$9,I182)))</xm:f>
            <xm:f>$D$9</xm:f>
            <x14:dxf>
              <fill>
                <patternFill>
                  <bgColor rgb="FF0070C0"/>
                </patternFill>
              </fill>
            </x14:dxf>
          </x14:cfRule>
          <x14:cfRule type="containsText" priority="243" stopIfTrue="1" operator="containsText" id="{651B200D-AAEB-4933-9238-3058389C9161}">
            <xm:f>NOT(ISERROR(SEARCH($D$8,I182)))</xm:f>
            <xm:f>$D$8</xm:f>
            <x14:dxf>
              <fill>
                <patternFill>
                  <bgColor rgb="FFFF0000"/>
                </patternFill>
              </fill>
            </x14:dxf>
          </x14:cfRule>
          <xm:sqref>I182</xm:sqref>
        </x14:conditionalFormatting>
        <x14:conditionalFormatting xmlns:xm="http://schemas.microsoft.com/office/excel/2006/main">
          <x14:cfRule type="containsText" priority="40" stopIfTrue="1" operator="containsText" id="{31B57F18-A9FF-4860-824E-D6D7633A6750}">
            <xm:f>NOT(ISERROR(SEARCH($D$9,I322)))</xm:f>
            <xm:f>$D$9</xm:f>
            <x14:dxf>
              <fill>
                <patternFill>
                  <bgColor rgb="FF0070C0"/>
                </patternFill>
              </fill>
            </x14:dxf>
          </x14:cfRule>
          <x14:cfRule type="containsText" priority="41" stopIfTrue="1" operator="containsText" id="{9F7B22A8-EABE-43F8-9F3C-DD37CF6BA4E3}">
            <xm:f>NOT(ISERROR(SEARCH($D$8,I322)))</xm:f>
            <xm:f>$D$8</xm:f>
            <x14:dxf>
              <fill>
                <patternFill>
                  <bgColor rgb="FFFF0000"/>
                </patternFill>
              </fill>
            </x14:dxf>
          </x14:cfRule>
          <xm:sqref>I322</xm:sqref>
        </x14:conditionalFormatting>
        <x14:conditionalFormatting xmlns:xm="http://schemas.microsoft.com/office/excel/2006/main">
          <x14:cfRule type="containsText" priority="24" operator="containsText" id="{6115B842-7F07-4FDA-B70D-9F332FC8C29A}">
            <xm:f>NOT(ISERROR(SEARCH($D$11,M1)))</xm:f>
            <xm:f>$D$11</xm:f>
            <x14:dxf>
              <fill>
                <patternFill>
                  <bgColor rgb="FFFFC000"/>
                </patternFill>
              </fill>
            </x14:dxf>
          </x14:cfRule>
          <x14:cfRule type="containsText" priority="25" operator="containsText" id="{C4C6CA8C-94D5-4E94-B45D-B2F3A49479D0}">
            <xm:f>NOT(ISERROR(SEARCH($D$10,M1)))</xm:f>
            <xm:f>$D$10</xm:f>
            <x14:dxf>
              <fill>
                <patternFill>
                  <bgColor rgb="FF00B050"/>
                </patternFill>
              </fill>
            </x14:dxf>
          </x14:cfRule>
          <xm:sqref>M333:M339 M1:M329 M341:M370 M372:M1048576</xm:sqref>
        </x14:conditionalFormatting>
        <x14:conditionalFormatting xmlns:xm="http://schemas.microsoft.com/office/excel/2006/main">
          <x14:cfRule type="containsText" priority="17" operator="containsText" id="{607AFB2F-7319-4CD5-9C2E-89F1CFCDB090}">
            <xm:f>NOT(ISERROR(SEARCH($D$11,M340)))</xm:f>
            <xm:f>$D$11</xm:f>
            <x14:dxf>
              <fill>
                <patternFill>
                  <bgColor rgb="FFFFC000"/>
                </patternFill>
              </fill>
            </x14:dxf>
          </x14:cfRule>
          <x14:cfRule type="containsText" priority="18" operator="containsText" id="{291E66F7-857D-42F0-8B2E-841A1BFEB548}">
            <xm:f>NOT(ISERROR(SEARCH($D$10,M340)))</xm:f>
            <xm:f>$D$10</xm:f>
            <x14:dxf>
              <fill>
                <patternFill>
                  <bgColor rgb="FF00B050"/>
                </patternFill>
              </fill>
            </x14:dxf>
          </x14:cfRule>
          <xm:sqref>M340</xm:sqref>
        </x14:conditionalFormatting>
        <x14:conditionalFormatting xmlns:xm="http://schemas.microsoft.com/office/excel/2006/main">
          <x14:cfRule type="containsText" priority="15" stopIfTrue="1" operator="containsText" id="{29B7B17D-7518-48AE-A412-D5FBF4E0CF5E}">
            <xm:f>NOT(ISERROR(SEARCH($D$9,I338)))</xm:f>
            <xm:f>$D$9</xm:f>
            <x14:dxf>
              <fill>
                <patternFill>
                  <bgColor rgb="FF0070C0"/>
                </patternFill>
              </fill>
            </x14:dxf>
          </x14:cfRule>
          <x14:cfRule type="containsText" priority="16" stopIfTrue="1" operator="containsText" id="{31DA60A1-DBE1-4292-A04E-96FB084D5557}">
            <xm:f>NOT(ISERROR(SEARCH($D$8,I338)))</xm:f>
            <xm:f>$D$8</xm:f>
            <x14:dxf>
              <fill>
                <patternFill>
                  <bgColor rgb="FFFF0000"/>
                </patternFill>
              </fill>
            </x14:dxf>
          </x14:cfRule>
          <xm:sqref>I338</xm:sqref>
        </x14:conditionalFormatting>
        <x14:conditionalFormatting xmlns:xm="http://schemas.microsoft.com/office/excel/2006/main">
          <x14:cfRule type="containsText" priority="8" stopIfTrue="1" operator="containsText" id="{850C0FB0-22E7-4FC5-8767-F4A98BD0574A}">
            <xm:f>NOT(ISERROR(SEARCH($D$9,I371)))</xm:f>
            <xm:f>$D$9</xm:f>
            <x14:dxf>
              <fill>
                <patternFill>
                  <bgColor rgb="FF0070C0"/>
                </patternFill>
              </fill>
            </x14:dxf>
          </x14:cfRule>
          <x14:cfRule type="containsText" priority="9" stopIfTrue="1" operator="containsText" id="{426711C4-FC89-40EC-AC24-3F891C1AD8CA}">
            <xm:f>NOT(ISERROR(SEARCH($D$8,I371)))</xm:f>
            <xm:f>$D$8</xm:f>
            <x14:dxf>
              <fill>
                <patternFill>
                  <bgColor rgb="FFFF0000"/>
                </patternFill>
              </fill>
            </x14:dxf>
          </x14:cfRule>
          <xm:sqref>I371</xm:sqref>
        </x14:conditionalFormatting>
        <x14:conditionalFormatting xmlns:xm="http://schemas.microsoft.com/office/excel/2006/main">
          <x14:cfRule type="containsText" priority="6" operator="containsText" id="{2AAADD78-B5F2-4AAD-A523-A3008299A134}">
            <xm:f>NOT(ISERROR(SEARCH($D$11,M371)))</xm:f>
            <xm:f>$D$11</xm:f>
            <x14:dxf>
              <fill>
                <patternFill>
                  <bgColor rgb="FFFFC000"/>
                </patternFill>
              </fill>
            </x14:dxf>
          </x14:cfRule>
          <x14:cfRule type="containsText" priority="7" operator="containsText" id="{9DF7542A-7F4D-444F-AD98-F96DCF4EE227}">
            <xm:f>NOT(ISERROR(SEARCH($D$10,M371)))</xm:f>
            <xm:f>$D$10</xm:f>
            <x14:dxf>
              <fill>
                <patternFill>
                  <bgColor rgb="FF00B050"/>
                </patternFill>
              </fill>
            </x14:dxf>
          </x14:cfRule>
          <xm:sqref>M371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ACB7A9C8-04DB-4B58-8072-1BCC3B6BFD52}">
          <x14:formula1>
            <xm:f>UnitNums!$E$2:$E$1048576</xm:f>
          </x14:formula1>
          <xm:sqref>C16:C375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A6E81A-6774-4977-A2CC-8FEE404AA66C}">
  <sheetPr codeName="Sheet7" filterMode="1">
    <tabColor indexed="42"/>
    <pageSetUpPr fitToPage="1"/>
  </sheetPr>
  <dimension ref="A1:MG2382"/>
  <sheetViews>
    <sheetView showGridLines="0" showWhiteSpace="0" zoomScale="55" zoomScaleNormal="55" zoomScalePageLayoutView="77" workbookViewId="0">
      <selection activeCell="L2365" sqref="L2365"/>
    </sheetView>
  </sheetViews>
  <sheetFormatPr defaultColWidth="9.1796875" defaultRowHeight="12.5" x14ac:dyDescent="0.25"/>
  <cols>
    <col min="1" max="1" width="3.453125" style="71" customWidth="1"/>
    <col min="2" max="2" width="14.7265625" style="71" customWidth="1"/>
    <col min="3" max="3" width="21.453125" style="73" customWidth="1"/>
    <col min="4" max="4" width="92.81640625" style="73" bestFit="1" customWidth="1"/>
    <col min="5" max="6" width="15.54296875" style="73" customWidth="1"/>
    <col min="7" max="7" width="23.7265625" style="73" customWidth="1"/>
    <col min="8" max="8" width="17.7265625" style="73" customWidth="1"/>
    <col min="9" max="9" width="24.26953125" style="73" customWidth="1"/>
    <col min="10" max="10" width="12" style="73" customWidth="1"/>
    <col min="11" max="11" width="13.26953125" style="73" customWidth="1"/>
    <col min="12" max="13" width="18.26953125" style="73" customWidth="1"/>
    <col min="14" max="14" width="45.1796875" style="73" bestFit="1" customWidth="1"/>
    <col min="15" max="15" width="101.1796875" style="71" bestFit="1" customWidth="1"/>
    <col min="16" max="16" width="9.1796875" style="72"/>
    <col min="17" max="19" width="9.1796875" style="72" customWidth="1"/>
    <col min="20" max="345" width="9.1796875" style="72"/>
    <col min="346" max="16384" width="9.1796875" style="71"/>
  </cols>
  <sheetData>
    <row r="1" spans="1:345" s="88" customFormat="1" ht="18" customHeight="1" x14ac:dyDescent="0.25">
      <c r="A1" s="89"/>
      <c r="B1" s="89"/>
      <c r="C1" s="100"/>
      <c r="D1" s="100"/>
      <c r="E1" s="100"/>
      <c r="F1" s="100"/>
      <c r="G1" s="100"/>
      <c r="H1" s="100"/>
      <c r="I1" s="100"/>
      <c r="J1" s="100"/>
      <c r="K1" s="100"/>
      <c r="L1" s="100"/>
      <c r="M1" s="100"/>
      <c r="N1" s="100"/>
      <c r="O1" s="89"/>
      <c r="P1" s="89"/>
      <c r="Q1" s="89"/>
      <c r="R1" s="89"/>
      <c r="S1" s="89"/>
      <c r="T1" s="89"/>
      <c r="U1" s="89"/>
      <c r="V1" s="89"/>
      <c r="W1" s="89"/>
      <c r="X1" s="89"/>
      <c r="Y1" s="89"/>
      <c r="Z1" s="89"/>
      <c r="AA1" s="89"/>
      <c r="AB1" s="89"/>
      <c r="AC1" s="89"/>
      <c r="AD1" s="89"/>
      <c r="AE1" s="89"/>
      <c r="AF1" s="89"/>
      <c r="AG1" s="89"/>
      <c r="AH1" s="89"/>
      <c r="AI1" s="89"/>
      <c r="AJ1" s="89"/>
      <c r="AK1" s="89"/>
      <c r="AL1" s="89"/>
      <c r="AM1" s="89"/>
      <c r="AN1" s="89"/>
      <c r="AO1" s="89"/>
      <c r="AP1" s="89"/>
      <c r="AQ1" s="89"/>
      <c r="AR1" s="89"/>
      <c r="AS1" s="89"/>
      <c r="AT1" s="89"/>
      <c r="AU1" s="89"/>
      <c r="AV1" s="89"/>
      <c r="AW1" s="89"/>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c r="DR1" s="89"/>
      <c r="DS1" s="89"/>
      <c r="DT1" s="89"/>
      <c r="DU1" s="89"/>
      <c r="DV1" s="89"/>
      <c r="DW1" s="89"/>
      <c r="DX1" s="89"/>
      <c r="DY1" s="89"/>
      <c r="DZ1" s="89"/>
      <c r="EA1" s="89"/>
      <c r="EB1" s="89"/>
      <c r="EC1" s="89"/>
      <c r="ED1" s="89"/>
      <c r="EE1" s="89"/>
      <c r="EF1" s="89"/>
      <c r="EG1" s="89"/>
      <c r="EH1" s="89"/>
      <c r="EI1" s="89"/>
      <c r="EJ1" s="89"/>
      <c r="EK1" s="89"/>
      <c r="EL1" s="89"/>
      <c r="EM1" s="89"/>
      <c r="EN1" s="89"/>
      <c r="EO1" s="89"/>
      <c r="EP1" s="89"/>
      <c r="EQ1" s="89"/>
      <c r="ER1" s="89"/>
      <c r="ES1" s="89"/>
      <c r="ET1" s="89"/>
      <c r="EU1" s="89"/>
      <c r="EV1" s="89"/>
      <c r="EW1" s="89"/>
      <c r="EX1" s="89"/>
      <c r="EY1" s="89"/>
      <c r="EZ1" s="89"/>
      <c r="FA1" s="89"/>
      <c r="FB1" s="89"/>
      <c r="FC1" s="89"/>
      <c r="FD1" s="89"/>
      <c r="FE1" s="89"/>
      <c r="FF1" s="89"/>
      <c r="FG1" s="89"/>
      <c r="FH1" s="89"/>
      <c r="FI1" s="89"/>
      <c r="FJ1" s="89"/>
      <c r="FK1" s="89"/>
      <c r="FL1" s="89"/>
      <c r="FM1" s="89"/>
      <c r="FN1" s="89"/>
      <c r="FO1" s="89"/>
      <c r="FP1" s="89"/>
      <c r="FQ1" s="89"/>
      <c r="FR1" s="89"/>
      <c r="FS1" s="89"/>
      <c r="FT1" s="89"/>
      <c r="FU1" s="89"/>
      <c r="FV1" s="89"/>
      <c r="FW1" s="89"/>
      <c r="FX1" s="89"/>
      <c r="FY1" s="89"/>
      <c r="FZ1" s="89"/>
      <c r="GA1" s="89"/>
      <c r="GB1" s="89"/>
      <c r="GC1" s="89"/>
      <c r="GD1" s="89"/>
      <c r="GE1" s="89"/>
      <c r="GF1" s="89"/>
      <c r="GG1" s="89"/>
      <c r="GH1" s="89"/>
      <c r="GI1" s="89"/>
      <c r="GJ1" s="89"/>
      <c r="GK1" s="89"/>
      <c r="GL1" s="89"/>
      <c r="GM1" s="89"/>
      <c r="GN1" s="89"/>
      <c r="GO1" s="89"/>
      <c r="GP1" s="89"/>
      <c r="GQ1" s="89"/>
      <c r="GR1" s="89"/>
      <c r="GS1" s="89"/>
      <c r="GT1" s="89"/>
      <c r="GU1" s="89"/>
      <c r="GV1" s="89"/>
      <c r="GW1" s="89"/>
      <c r="GX1" s="89"/>
      <c r="GY1" s="89"/>
      <c r="GZ1" s="89"/>
      <c r="HA1" s="89"/>
      <c r="HB1" s="89"/>
      <c r="HC1" s="89"/>
      <c r="HD1" s="89"/>
      <c r="HE1" s="89"/>
      <c r="HF1" s="89"/>
      <c r="HG1" s="89"/>
      <c r="HH1" s="89"/>
      <c r="HI1" s="89"/>
      <c r="HJ1" s="89"/>
      <c r="HK1" s="89"/>
      <c r="HL1" s="89"/>
      <c r="HM1" s="89"/>
      <c r="HN1" s="89"/>
      <c r="HO1" s="89"/>
      <c r="HP1" s="89"/>
      <c r="HQ1" s="89"/>
      <c r="HR1" s="89"/>
      <c r="HS1" s="89"/>
      <c r="HT1" s="89"/>
      <c r="HU1" s="89"/>
      <c r="HV1" s="89"/>
      <c r="HW1" s="89"/>
      <c r="HX1" s="89"/>
      <c r="HY1" s="89"/>
      <c r="HZ1" s="89"/>
      <c r="IA1" s="89"/>
      <c r="IB1" s="89"/>
      <c r="IC1" s="89"/>
      <c r="ID1" s="89"/>
      <c r="IE1" s="89"/>
      <c r="IF1" s="89"/>
      <c r="IG1" s="89"/>
      <c r="IH1" s="89"/>
      <c r="II1" s="89"/>
      <c r="IJ1" s="89"/>
      <c r="IK1" s="89"/>
      <c r="IL1" s="89"/>
      <c r="IM1" s="89"/>
      <c r="IN1" s="89"/>
      <c r="IO1" s="89"/>
      <c r="IP1" s="89"/>
      <c r="IQ1" s="89"/>
      <c r="IR1" s="89"/>
      <c r="IS1" s="89"/>
      <c r="IT1" s="89"/>
      <c r="IU1" s="89"/>
      <c r="IV1" s="89"/>
      <c r="IW1" s="89"/>
      <c r="IX1" s="89"/>
      <c r="IY1" s="89"/>
      <c r="IZ1" s="89"/>
      <c r="JA1" s="89"/>
      <c r="JB1" s="89"/>
      <c r="JC1" s="89"/>
      <c r="JD1" s="89"/>
      <c r="JE1" s="89"/>
      <c r="JF1" s="89"/>
      <c r="JG1" s="89"/>
      <c r="JH1" s="89"/>
      <c r="JI1" s="89"/>
      <c r="JJ1" s="89"/>
      <c r="JK1" s="89"/>
      <c r="JL1" s="89"/>
      <c r="JM1" s="89"/>
      <c r="JN1" s="89"/>
      <c r="JO1" s="89"/>
      <c r="JP1" s="89"/>
      <c r="JQ1" s="89"/>
      <c r="JR1" s="89"/>
      <c r="JS1" s="89"/>
      <c r="JT1" s="89"/>
      <c r="JU1" s="89"/>
      <c r="JV1" s="89"/>
      <c r="JW1" s="89"/>
      <c r="JX1" s="89"/>
      <c r="JY1" s="89"/>
      <c r="JZ1" s="89"/>
      <c r="KA1" s="89"/>
      <c r="KB1" s="89"/>
      <c r="KC1" s="89"/>
      <c r="KD1" s="89"/>
      <c r="KE1" s="89"/>
      <c r="KF1" s="89"/>
      <c r="KG1" s="89"/>
      <c r="KH1" s="89"/>
      <c r="KI1" s="89"/>
      <c r="KJ1" s="89"/>
      <c r="KK1" s="89"/>
      <c r="KL1" s="89"/>
      <c r="KM1" s="89"/>
      <c r="KN1" s="89"/>
      <c r="KO1" s="89"/>
      <c r="KP1" s="89"/>
      <c r="KQ1" s="89"/>
      <c r="KR1" s="89"/>
      <c r="KS1" s="89"/>
      <c r="KT1" s="89"/>
      <c r="KU1" s="89"/>
      <c r="KV1" s="89"/>
      <c r="KW1" s="89"/>
      <c r="KX1" s="89"/>
      <c r="KY1" s="89"/>
      <c r="KZ1" s="89"/>
      <c r="LA1" s="89"/>
      <c r="LB1" s="89"/>
      <c r="LC1" s="89"/>
      <c r="LD1" s="89"/>
      <c r="LE1" s="89"/>
      <c r="LF1" s="89"/>
      <c r="LG1" s="89"/>
      <c r="LH1" s="89"/>
      <c r="LI1" s="89"/>
      <c r="LJ1" s="89"/>
      <c r="LK1" s="89"/>
      <c r="LL1" s="89"/>
      <c r="LM1" s="89"/>
      <c r="LN1" s="89"/>
      <c r="LO1" s="89"/>
      <c r="LP1" s="89"/>
      <c r="LQ1" s="89"/>
      <c r="LR1" s="89"/>
      <c r="LS1" s="89"/>
      <c r="LT1" s="89"/>
      <c r="LU1" s="89"/>
      <c r="LV1" s="89"/>
      <c r="LW1" s="89"/>
      <c r="LX1" s="89"/>
      <c r="LY1" s="89"/>
      <c r="LZ1" s="89"/>
      <c r="MA1" s="89"/>
      <c r="MB1" s="89"/>
      <c r="MC1" s="89"/>
      <c r="MD1" s="89"/>
      <c r="ME1" s="89"/>
      <c r="MF1" s="89"/>
      <c r="MG1" s="89"/>
    </row>
    <row r="2" spans="1:345" s="88" customFormat="1" ht="16.5" customHeight="1" x14ac:dyDescent="0.25">
      <c r="A2" s="89"/>
      <c r="B2" s="132"/>
      <c r="C2" s="132"/>
      <c r="D2" s="133"/>
      <c r="E2" s="89"/>
      <c r="F2" s="89"/>
      <c r="G2" s="99"/>
      <c r="H2" s="89"/>
      <c r="I2" s="89"/>
      <c r="J2" s="89"/>
      <c r="K2" s="89"/>
      <c r="L2" s="89"/>
      <c r="M2" s="89"/>
      <c r="N2" s="89"/>
      <c r="O2" s="89"/>
      <c r="P2" s="89"/>
      <c r="Q2" s="89"/>
      <c r="R2" s="89"/>
      <c r="S2" s="89"/>
      <c r="T2" s="89"/>
      <c r="U2" s="89"/>
      <c r="V2" s="89"/>
      <c r="W2" s="89"/>
      <c r="X2" s="89"/>
      <c r="Y2" s="89"/>
      <c r="Z2" s="89"/>
      <c r="AA2" s="89"/>
      <c r="AB2" s="89"/>
      <c r="AC2" s="89"/>
      <c r="AD2" s="89"/>
      <c r="AE2" s="89"/>
      <c r="AF2" s="89"/>
      <c r="AG2" s="89"/>
      <c r="AH2" s="89"/>
      <c r="AI2" s="89"/>
      <c r="AJ2" s="89"/>
      <c r="AK2" s="89"/>
      <c r="AL2" s="89"/>
      <c r="AM2" s="89"/>
      <c r="AN2" s="89"/>
      <c r="AO2" s="89"/>
      <c r="AP2" s="89"/>
      <c r="AQ2" s="89"/>
      <c r="AR2" s="89"/>
      <c r="AS2" s="89"/>
      <c r="AT2" s="89"/>
      <c r="AU2" s="89"/>
      <c r="AV2" s="89"/>
      <c r="AW2" s="89"/>
      <c r="AX2" s="89"/>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c r="DQ2" s="89"/>
      <c r="DR2" s="89"/>
      <c r="DS2" s="89"/>
      <c r="DT2" s="89"/>
      <c r="DU2" s="89"/>
      <c r="DV2" s="89"/>
      <c r="DW2" s="89"/>
      <c r="DX2" s="89"/>
      <c r="DY2" s="89"/>
      <c r="DZ2" s="89"/>
      <c r="EA2" s="89"/>
      <c r="EB2" s="89"/>
      <c r="EC2" s="89"/>
      <c r="ED2" s="89"/>
      <c r="EE2" s="89"/>
      <c r="EF2" s="89"/>
      <c r="EG2" s="89"/>
      <c r="EH2" s="89"/>
      <c r="EI2" s="89"/>
      <c r="EJ2" s="89"/>
      <c r="EK2" s="89"/>
      <c r="EL2" s="89"/>
      <c r="EM2" s="89"/>
      <c r="EN2" s="89"/>
      <c r="EO2" s="89"/>
      <c r="EP2" s="89"/>
      <c r="EQ2" s="89"/>
      <c r="ER2" s="89"/>
      <c r="ES2" s="89"/>
      <c r="ET2" s="89"/>
      <c r="EU2" s="89"/>
      <c r="EV2" s="89"/>
      <c r="EW2" s="89"/>
      <c r="EX2" s="89"/>
      <c r="EY2" s="89"/>
      <c r="EZ2" s="89"/>
      <c r="FA2" s="89"/>
      <c r="FB2" s="89"/>
      <c r="FC2" s="89"/>
      <c r="FD2" s="89"/>
      <c r="FE2" s="89"/>
      <c r="FF2" s="89"/>
      <c r="FG2" s="89"/>
      <c r="FH2" s="89"/>
      <c r="FI2" s="89"/>
      <c r="FJ2" s="89"/>
      <c r="FK2" s="89"/>
      <c r="FL2" s="89"/>
      <c r="FM2" s="89"/>
      <c r="FN2" s="89"/>
      <c r="FO2" s="89"/>
      <c r="FP2" s="89"/>
      <c r="FQ2" s="89"/>
      <c r="FR2" s="89"/>
      <c r="FS2" s="89"/>
      <c r="FT2" s="89"/>
      <c r="FU2" s="89"/>
      <c r="FV2" s="89"/>
      <c r="FW2" s="89"/>
      <c r="FX2" s="89"/>
      <c r="FY2" s="89"/>
      <c r="FZ2" s="89"/>
      <c r="GA2" s="89"/>
      <c r="GB2" s="89"/>
      <c r="GC2" s="89"/>
      <c r="GD2" s="89"/>
      <c r="GE2" s="89"/>
      <c r="GF2" s="89"/>
      <c r="GG2" s="89"/>
      <c r="GH2" s="89"/>
      <c r="GI2" s="89"/>
      <c r="GJ2" s="89"/>
      <c r="GK2" s="89"/>
      <c r="GL2" s="89"/>
      <c r="GM2" s="89"/>
      <c r="GN2" s="89"/>
      <c r="GO2" s="89"/>
      <c r="GP2" s="89"/>
      <c r="GQ2" s="89"/>
      <c r="GR2" s="89"/>
      <c r="GS2" s="89"/>
      <c r="GT2" s="89"/>
      <c r="GU2" s="89"/>
      <c r="GV2" s="89"/>
      <c r="GW2" s="89"/>
      <c r="GX2" s="89"/>
      <c r="GY2" s="89"/>
      <c r="GZ2" s="89"/>
      <c r="HA2" s="89"/>
      <c r="HB2" s="89"/>
      <c r="HC2" s="89"/>
      <c r="HD2" s="89"/>
      <c r="HE2" s="89"/>
      <c r="HF2" s="89"/>
      <c r="HG2" s="89"/>
      <c r="HH2" s="89"/>
      <c r="HI2" s="89"/>
      <c r="HJ2" s="89"/>
      <c r="HK2" s="89"/>
      <c r="HL2" s="89"/>
      <c r="HM2" s="89"/>
      <c r="HN2" s="89"/>
      <c r="HO2" s="89"/>
      <c r="HP2" s="89"/>
      <c r="HQ2" s="89"/>
      <c r="HR2" s="89"/>
      <c r="HS2" s="89"/>
      <c r="HT2" s="89"/>
      <c r="HU2" s="89"/>
      <c r="HV2" s="89"/>
      <c r="HW2" s="89"/>
      <c r="HX2" s="89"/>
      <c r="HY2" s="89"/>
      <c r="HZ2" s="89"/>
      <c r="IA2" s="89"/>
      <c r="IB2" s="89"/>
      <c r="IC2" s="89"/>
      <c r="ID2" s="89"/>
      <c r="IE2" s="89"/>
      <c r="IF2" s="89"/>
      <c r="IG2" s="89"/>
      <c r="IH2" s="89"/>
      <c r="II2" s="89"/>
      <c r="IJ2" s="89"/>
      <c r="IK2" s="89"/>
      <c r="IL2" s="89"/>
      <c r="IM2" s="89"/>
      <c r="IN2" s="89"/>
      <c r="IO2" s="89"/>
      <c r="IP2" s="89"/>
      <c r="IQ2" s="89"/>
      <c r="IR2" s="89"/>
      <c r="IS2" s="89"/>
      <c r="IT2" s="89"/>
      <c r="IU2" s="89"/>
      <c r="IV2" s="89"/>
      <c r="IW2" s="89"/>
      <c r="IX2" s="89"/>
      <c r="IY2" s="89"/>
      <c r="IZ2" s="89"/>
      <c r="JA2" s="89"/>
      <c r="JB2" s="89"/>
      <c r="JC2" s="89"/>
      <c r="JD2" s="89"/>
      <c r="JE2" s="89"/>
      <c r="JF2" s="89"/>
      <c r="JG2" s="89"/>
      <c r="JH2" s="89"/>
      <c r="JI2" s="89"/>
      <c r="JJ2" s="89"/>
      <c r="JK2" s="89"/>
      <c r="JL2" s="89"/>
      <c r="JM2" s="89"/>
      <c r="JN2" s="89"/>
      <c r="JO2" s="89"/>
      <c r="JP2" s="89"/>
      <c r="JQ2" s="89"/>
      <c r="JR2" s="89"/>
      <c r="JS2" s="89"/>
      <c r="JT2" s="89"/>
      <c r="JU2" s="89"/>
      <c r="JV2" s="89"/>
      <c r="JW2" s="89"/>
      <c r="JX2" s="89"/>
      <c r="JY2" s="89"/>
      <c r="JZ2" s="89"/>
      <c r="KA2" s="89"/>
      <c r="KB2" s="89"/>
      <c r="KC2" s="89"/>
      <c r="KD2" s="89"/>
      <c r="KE2" s="89"/>
      <c r="KF2" s="89"/>
      <c r="KG2" s="89"/>
      <c r="KH2" s="89"/>
      <c r="KI2" s="89"/>
      <c r="KJ2" s="89"/>
      <c r="KK2" s="89"/>
      <c r="KL2" s="89"/>
      <c r="KM2" s="89"/>
      <c r="KN2" s="89"/>
      <c r="KO2" s="89"/>
      <c r="KP2" s="89"/>
      <c r="KQ2" s="89"/>
      <c r="KR2" s="89"/>
      <c r="KS2" s="89"/>
      <c r="KT2" s="89"/>
      <c r="KU2" s="89"/>
      <c r="KV2" s="89"/>
      <c r="KW2" s="89"/>
      <c r="KX2" s="89"/>
      <c r="KY2" s="89"/>
      <c r="KZ2" s="89"/>
      <c r="LA2" s="89"/>
      <c r="LB2" s="89"/>
      <c r="LC2" s="89"/>
      <c r="LD2" s="89"/>
      <c r="LE2" s="89"/>
      <c r="LF2" s="89"/>
      <c r="LG2" s="89"/>
      <c r="LH2" s="89"/>
      <c r="LI2" s="89"/>
      <c r="LJ2" s="89"/>
      <c r="LK2" s="89"/>
      <c r="LL2" s="89"/>
      <c r="LM2" s="89"/>
      <c r="LN2" s="89"/>
      <c r="LO2" s="89"/>
      <c r="LP2" s="89"/>
      <c r="LQ2" s="89"/>
      <c r="LR2" s="89"/>
      <c r="LS2" s="89"/>
      <c r="LT2" s="89"/>
      <c r="LU2" s="89"/>
      <c r="LV2" s="89"/>
      <c r="LW2" s="89"/>
      <c r="LX2" s="89"/>
      <c r="LY2" s="89"/>
      <c r="LZ2" s="89"/>
      <c r="MA2" s="89"/>
      <c r="MB2" s="89"/>
      <c r="MC2" s="89"/>
      <c r="MD2" s="89"/>
      <c r="ME2" s="89"/>
      <c r="MF2" s="89"/>
      <c r="MG2" s="89"/>
    </row>
    <row r="3" spans="1:345" s="88" customFormat="1" ht="38.25" customHeight="1" x14ac:dyDescent="0.25">
      <c r="A3" s="89"/>
      <c r="B3" s="132"/>
      <c r="C3" s="132"/>
      <c r="D3" s="133"/>
      <c r="E3" s="72"/>
      <c r="F3" s="71"/>
      <c r="G3" s="89"/>
      <c r="H3" s="89"/>
      <c r="I3" s="89"/>
      <c r="J3" s="89"/>
      <c r="K3" s="89"/>
      <c r="L3" s="89"/>
      <c r="M3" s="89"/>
      <c r="N3" s="89"/>
      <c r="O3" s="89"/>
      <c r="P3" s="89"/>
      <c r="Q3" s="89"/>
      <c r="R3" s="89"/>
      <c r="S3" s="89"/>
      <c r="T3" s="89"/>
      <c r="U3" s="89"/>
      <c r="V3" s="89"/>
      <c r="W3" s="89"/>
      <c r="X3" s="89"/>
      <c r="Y3" s="89"/>
      <c r="Z3" s="89"/>
      <c r="AA3" s="89"/>
      <c r="AB3" s="89"/>
      <c r="AC3" s="89"/>
      <c r="AD3" s="89"/>
      <c r="AE3" s="89"/>
      <c r="AF3" s="89"/>
      <c r="AG3" s="89"/>
      <c r="AH3" s="89"/>
      <c r="AI3" s="89"/>
      <c r="AJ3" s="89"/>
      <c r="AK3" s="89"/>
      <c r="AL3" s="89"/>
      <c r="AM3" s="89"/>
      <c r="AN3" s="89"/>
      <c r="AO3" s="89"/>
      <c r="AP3" s="89"/>
      <c r="AQ3" s="89"/>
      <c r="AR3" s="89"/>
      <c r="AS3" s="89"/>
      <c r="AT3" s="89"/>
      <c r="AU3" s="89"/>
      <c r="AV3" s="89"/>
      <c r="AW3" s="89"/>
      <c r="AX3" s="89"/>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c r="DR3" s="89"/>
      <c r="DS3" s="89"/>
      <c r="DT3" s="89"/>
      <c r="DU3" s="89"/>
      <c r="DV3" s="89"/>
      <c r="DW3" s="89"/>
      <c r="DX3" s="89"/>
      <c r="DY3" s="89"/>
      <c r="DZ3" s="89"/>
      <c r="EA3" s="89"/>
      <c r="EB3" s="89"/>
      <c r="EC3" s="89"/>
      <c r="ED3" s="89"/>
      <c r="EE3" s="89"/>
      <c r="EF3" s="89"/>
      <c r="EG3" s="89"/>
      <c r="EH3" s="89"/>
      <c r="EI3" s="89"/>
      <c r="EJ3" s="89"/>
      <c r="EK3" s="89"/>
      <c r="EL3" s="89"/>
      <c r="EM3" s="89"/>
      <c r="EN3" s="89"/>
      <c r="EO3" s="89"/>
      <c r="EP3" s="89"/>
      <c r="EQ3" s="89"/>
      <c r="ER3" s="89"/>
      <c r="ES3" s="89"/>
      <c r="ET3" s="89"/>
      <c r="EU3" s="89"/>
      <c r="EV3" s="89"/>
      <c r="EW3" s="89"/>
      <c r="EX3" s="89"/>
      <c r="EY3" s="89"/>
      <c r="EZ3" s="89"/>
      <c r="FA3" s="89"/>
      <c r="FB3" s="89"/>
      <c r="FC3" s="89"/>
      <c r="FD3" s="89"/>
      <c r="FE3" s="89"/>
      <c r="FF3" s="89"/>
      <c r="FG3" s="89"/>
      <c r="FH3" s="89"/>
      <c r="FI3" s="89"/>
      <c r="FJ3" s="89"/>
      <c r="FK3" s="89"/>
      <c r="FL3" s="89"/>
      <c r="FM3" s="89"/>
      <c r="FN3" s="89"/>
      <c r="FO3" s="89"/>
      <c r="FP3" s="89"/>
      <c r="FQ3" s="89"/>
      <c r="FR3" s="89"/>
      <c r="FS3" s="89"/>
      <c r="FT3" s="89"/>
      <c r="FU3" s="89"/>
      <c r="FV3" s="89"/>
      <c r="FW3" s="89"/>
      <c r="FX3" s="89"/>
      <c r="FY3" s="89"/>
      <c r="FZ3" s="89"/>
      <c r="GA3" s="89"/>
      <c r="GB3" s="89"/>
      <c r="GC3" s="89"/>
      <c r="GD3" s="89"/>
      <c r="GE3" s="89"/>
      <c r="GF3" s="89"/>
      <c r="GG3" s="89"/>
      <c r="GH3" s="89"/>
      <c r="GI3" s="89"/>
      <c r="GJ3" s="89"/>
      <c r="GK3" s="89"/>
      <c r="GL3" s="89"/>
      <c r="GM3" s="89"/>
      <c r="GN3" s="89"/>
      <c r="GO3" s="89"/>
      <c r="GP3" s="89"/>
      <c r="GQ3" s="89"/>
      <c r="GR3" s="89"/>
      <c r="GS3" s="89"/>
      <c r="GT3" s="89"/>
      <c r="GU3" s="89"/>
      <c r="GV3" s="89"/>
      <c r="GW3" s="89"/>
      <c r="GX3" s="89"/>
      <c r="GY3" s="89"/>
      <c r="GZ3" s="89"/>
      <c r="HA3" s="89"/>
      <c r="HB3" s="89"/>
      <c r="HC3" s="89"/>
      <c r="HD3" s="89"/>
      <c r="HE3" s="89"/>
      <c r="HF3" s="89"/>
      <c r="HG3" s="89"/>
      <c r="HH3" s="89"/>
      <c r="HI3" s="89"/>
      <c r="HJ3" s="89"/>
      <c r="HK3" s="89"/>
      <c r="HL3" s="89"/>
      <c r="HM3" s="89"/>
      <c r="HN3" s="89"/>
      <c r="HO3" s="89"/>
      <c r="HP3" s="89"/>
      <c r="HQ3" s="89"/>
      <c r="HR3" s="89"/>
      <c r="HS3" s="89"/>
      <c r="HT3" s="89"/>
      <c r="HU3" s="89"/>
      <c r="HV3" s="89"/>
      <c r="HW3" s="89"/>
      <c r="HX3" s="89"/>
      <c r="HY3" s="89"/>
      <c r="HZ3" s="89"/>
      <c r="IA3" s="89"/>
      <c r="IB3" s="89"/>
      <c r="IC3" s="89"/>
      <c r="ID3" s="89"/>
      <c r="IE3" s="89"/>
      <c r="IF3" s="89"/>
      <c r="IG3" s="89"/>
      <c r="IH3" s="89"/>
      <c r="II3" s="89"/>
      <c r="IJ3" s="89"/>
      <c r="IK3" s="89"/>
      <c r="IL3" s="89"/>
      <c r="IM3" s="89"/>
      <c r="IN3" s="89"/>
      <c r="IO3" s="89"/>
      <c r="IP3" s="89"/>
      <c r="IQ3" s="89"/>
      <c r="IR3" s="89"/>
      <c r="IS3" s="89"/>
      <c r="IT3" s="89"/>
      <c r="IU3" s="89"/>
      <c r="IV3" s="89"/>
      <c r="IW3" s="89"/>
      <c r="IX3" s="89"/>
      <c r="IY3" s="89"/>
      <c r="IZ3" s="89"/>
      <c r="JA3" s="89"/>
      <c r="JB3" s="89"/>
      <c r="JC3" s="89"/>
      <c r="JD3" s="89"/>
      <c r="JE3" s="89"/>
      <c r="JF3" s="89"/>
      <c r="JG3" s="89"/>
      <c r="JH3" s="89"/>
      <c r="JI3" s="89"/>
      <c r="JJ3" s="89"/>
      <c r="JK3" s="89"/>
      <c r="JL3" s="89"/>
      <c r="JM3" s="89"/>
      <c r="JN3" s="89"/>
      <c r="JO3" s="89"/>
      <c r="JP3" s="89"/>
      <c r="JQ3" s="89"/>
      <c r="JR3" s="89"/>
      <c r="JS3" s="89"/>
      <c r="JT3" s="89"/>
      <c r="JU3" s="89"/>
      <c r="JV3" s="89"/>
      <c r="JW3" s="89"/>
      <c r="JX3" s="89"/>
      <c r="JY3" s="89"/>
      <c r="JZ3" s="89"/>
      <c r="KA3" s="89"/>
      <c r="KB3" s="89"/>
      <c r="KC3" s="89"/>
      <c r="KD3" s="89"/>
      <c r="KE3" s="89"/>
      <c r="KF3" s="89"/>
      <c r="KG3" s="89"/>
      <c r="KH3" s="89"/>
      <c r="KI3" s="89"/>
      <c r="KJ3" s="89"/>
      <c r="KK3" s="89"/>
      <c r="KL3" s="89"/>
      <c r="KM3" s="89"/>
      <c r="KN3" s="89"/>
      <c r="KO3" s="89"/>
      <c r="KP3" s="89"/>
      <c r="KQ3" s="89"/>
      <c r="KR3" s="89"/>
      <c r="KS3" s="89"/>
      <c r="KT3" s="89"/>
      <c r="KU3" s="89"/>
      <c r="KV3" s="89"/>
      <c r="KW3" s="89"/>
      <c r="KX3" s="89"/>
      <c r="KY3" s="89"/>
      <c r="KZ3" s="89"/>
      <c r="LA3" s="89"/>
      <c r="LB3" s="89"/>
      <c r="LC3" s="89"/>
      <c r="LD3" s="89"/>
      <c r="LE3" s="89"/>
      <c r="LF3" s="89"/>
      <c r="LG3" s="89"/>
      <c r="LH3" s="89"/>
      <c r="LI3" s="89"/>
      <c r="LJ3" s="89"/>
      <c r="LK3" s="89"/>
      <c r="LL3" s="89"/>
      <c r="LM3" s="89"/>
      <c r="LN3" s="89"/>
      <c r="LO3" s="89"/>
      <c r="LP3" s="89"/>
      <c r="LQ3" s="89"/>
      <c r="LR3" s="89"/>
      <c r="LS3" s="89"/>
      <c r="LT3" s="89"/>
      <c r="LU3" s="89"/>
      <c r="LV3" s="89"/>
      <c r="LW3" s="89"/>
      <c r="LX3" s="89"/>
      <c r="LY3" s="89"/>
      <c r="LZ3" s="89"/>
      <c r="MA3" s="89"/>
      <c r="MB3" s="89"/>
      <c r="MC3" s="89"/>
      <c r="MD3" s="89"/>
      <c r="ME3" s="89"/>
      <c r="MF3" s="89"/>
      <c r="MG3" s="89"/>
    </row>
    <row r="4" spans="1:345" s="88" customFormat="1" ht="38.25" customHeight="1" x14ac:dyDescent="0.7">
      <c r="A4" s="89"/>
      <c r="B4" s="90" t="s">
        <v>43</v>
      </c>
      <c r="C4" s="98"/>
      <c r="D4" s="98"/>
      <c r="E4" s="72"/>
      <c r="F4" s="72"/>
      <c r="G4" s="89"/>
      <c r="H4" s="89"/>
      <c r="I4" s="89"/>
      <c r="J4" s="89"/>
      <c r="K4" s="89"/>
      <c r="L4" s="89"/>
      <c r="M4" s="89"/>
      <c r="N4" s="89"/>
      <c r="O4" s="89"/>
      <c r="P4" s="89"/>
      <c r="Q4" s="89"/>
      <c r="R4" s="89"/>
      <c r="S4" s="89"/>
      <c r="T4" s="89"/>
      <c r="U4" s="89"/>
      <c r="V4" s="89"/>
      <c r="W4" s="89"/>
      <c r="X4" s="89"/>
      <c r="Y4" s="89"/>
      <c r="Z4" s="89"/>
      <c r="AA4" s="89"/>
      <c r="AB4" s="89"/>
      <c r="AC4" s="89"/>
      <c r="AD4" s="89"/>
      <c r="AE4" s="89"/>
      <c r="AF4" s="89"/>
      <c r="AG4" s="89"/>
      <c r="AH4" s="89"/>
      <c r="AI4" s="89"/>
      <c r="AJ4" s="89"/>
      <c r="AK4" s="89"/>
      <c r="AL4" s="89"/>
      <c r="AM4" s="89"/>
      <c r="AN4" s="89"/>
      <c r="AO4" s="89"/>
      <c r="AP4" s="89"/>
      <c r="AQ4" s="89"/>
      <c r="AR4" s="89"/>
      <c r="AS4" s="89"/>
      <c r="AT4" s="89"/>
      <c r="AU4" s="89"/>
      <c r="AV4" s="89"/>
      <c r="AW4" s="89"/>
      <c r="AX4" s="89"/>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c r="DR4" s="89"/>
      <c r="DS4" s="89"/>
      <c r="DT4" s="89"/>
      <c r="DU4" s="89"/>
      <c r="DV4" s="89"/>
      <c r="DW4" s="89"/>
      <c r="DX4" s="89"/>
      <c r="DY4" s="89"/>
      <c r="DZ4" s="89"/>
      <c r="EA4" s="89"/>
      <c r="EB4" s="89"/>
      <c r="EC4" s="89"/>
      <c r="ED4" s="89"/>
      <c r="EE4" s="89"/>
      <c r="EF4" s="89"/>
      <c r="EG4" s="89"/>
      <c r="EH4" s="89"/>
      <c r="EI4" s="89"/>
      <c r="EJ4" s="89"/>
      <c r="EK4" s="89"/>
      <c r="EL4" s="89"/>
      <c r="EM4" s="89"/>
      <c r="EN4" s="89"/>
      <c r="EO4" s="89"/>
      <c r="EP4" s="89"/>
      <c r="EQ4" s="89"/>
      <c r="ER4" s="89"/>
      <c r="ES4" s="89"/>
      <c r="ET4" s="89"/>
      <c r="EU4" s="89"/>
      <c r="EV4" s="89"/>
      <c r="EW4" s="89"/>
      <c r="EX4" s="89"/>
      <c r="EY4" s="89"/>
      <c r="EZ4" s="89"/>
      <c r="FA4" s="89"/>
      <c r="FB4" s="89"/>
      <c r="FC4" s="89"/>
      <c r="FD4" s="89"/>
      <c r="FE4" s="89"/>
      <c r="FF4" s="89"/>
      <c r="FG4" s="89"/>
      <c r="FH4" s="89"/>
      <c r="FI4" s="89"/>
      <c r="FJ4" s="89"/>
      <c r="FK4" s="89"/>
      <c r="FL4" s="89"/>
      <c r="FM4" s="89"/>
      <c r="FN4" s="89"/>
      <c r="FO4" s="89"/>
      <c r="FP4" s="89"/>
      <c r="FQ4" s="89"/>
      <c r="FR4" s="89"/>
      <c r="FS4" s="89"/>
      <c r="FT4" s="89"/>
      <c r="FU4" s="89"/>
      <c r="FV4" s="89"/>
      <c r="FW4" s="89"/>
      <c r="FX4" s="89"/>
      <c r="FY4" s="89"/>
      <c r="FZ4" s="89"/>
      <c r="GA4" s="89"/>
      <c r="GB4" s="89"/>
      <c r="GC4" s="89"/>
      <c r="GD4" s="89"/>
      <c r="GE4" s="89"/>
      <c r="GF4" s="89"/>
      <c r="GG4" s="89"/>
      <c r="GH4" s="89"/>
      <c r="GI4" s="89"/>
      <c r="GJ4" s="89"/>
      <c r="GK4" s="89"/>
      <c r="GL4" s="89"/>
      <c r="GM4" s="89"/>
      <c r="GN4" s="89"/>
      <c r="GO4" s="89"/>
      <c r="GP4" s="89"/>
      <c r="GQ4" s="89"/>
      <c r="GR4" s="89"/>
      <c r="GS4" s="89"/>
      <c r="GT4" s="89"/>
      <c r="GU4" s="89"/>
      <c r="GV4" s="89"/>
      <c r="GW4" s="89"/>
      <c r="GX4" s="89"/>
      <c r="GY4" s="89"/>
      <c r="GZ4" s="89"/>
      <c r="HA4" s="89"/>
      <c r="HB4" s="89"/>
      <c r="HC4" s="89"/>
      <c r="HD4" s="89"/>
      <c r="HE4" s="89"/>
      <c r="HF4" s="89"/>
      <c r="HG4" s="89"/>
      <c r="HH4" s="89"/>
      <c r="HI4" s="89"/>
      <c r="HJ4" s="89"/>
      <c r="HK4" s="89"/>
      <c r="HL4" s="89"/>
      <c r="HM4" s="89"/>
      <c r="HN4" s="89"/>
      <c r="HO4" s="89"/>
      <c r="HP4" s="89"/>
      <c r="HQ4" s="89"/>
      <c r="HR4" s="89"/>
      <c r="HS4" s="89"/>
      <c r="HT4" s="89"/>
      <c r="HU4" s="89"/>
      <c r="HV4" s="89"/>
      <c r="HW4" s="89"/>
      <c r="HX4" s="89"/>
      <c r="HY4" s="89"/>
      <c r="HZ4" s="89"/>
      <c r="IA4" s="89"/>
      <c r="IB4" s="89"/>
      <c r="IC4" s="89"/>
      <c r="ID4" s="89"/>
      <c r="IE4" s="89"/>
      <c r="IF4" s="89"/>
      <c r="IG4" s="89"/>
      <c r="IH4" s="89"/>
      <c r="II4" s="89"/>
      <c r="IJ4" s="89"/>
      <c r="IK4" s="89"/>
      <c r="IL4" s="89"/>
      <c r="IM4" s="89"/>
      <c r="IN4" s="89"/>
      <c r="IO4" s="89"/>
      <c r="IP4" s="89"/>
      <c r="IQ4" s="89"/>
      <c r="IR4" s="89"/>
      <c r="IS4" s="89"/>
      <c r="IT4" s="89"/>
      <c r="IU4" s="89"/>
      <c r="IV4" s="89"/>
      <c r="IW4" s="89"/>
      <c r="IX4" s="89"/>
      <c r="IY4" s="89"/>
      <c r="IZ4" s="89"/>
      <c r="JA4" s="89"/>
      <c r="JB4" s="89"/>
      <c r="JC4" s="89"/>
      <c r="JD4" s="89"/>
      <c r="JE4" s="89"/>
      <c r="JF4" s="89"/>
      <c r="JG4" s="89"/>
      <c r="JH4" s="89"/>
      <c r="JI4" s="89"/>
      <c r="JJ4" s="89"/>
      <c r="JK4" s="89"/>
      <c r="JL4" s="89"/>
      <c r="JM4" s="89"/>
      <c r="JN4" s="89"/>
      <c r="JO4" s="89"/>
      <c r="JP4" s="89"/>
      <c r="JQ4" s="89"/>
      <c r="JR4" s="89"/>
      <c r="JS4" s="89"/>
      <c r="JT4" s="89"/>
      <c r="JU4" s="89"/>
      <c r="JV4" s="89"/>
      <c r="JW4" s="89"/>
      <c r="JX4" s="89"/>
      <c r="JY4" s="89"/>
      <c r="JZ4" s="89"/>
      <c r="KA4" s="89"/>
      <c r="KB4" s="89"/>
      <c r="KC4" s="89"/>
      <c r="KD4" s="89"/>
      <c r="KE4" s="89"/>
      <c r="KF4" s="89"/>
      <c r="KG4" s="89"/>
      <c r="KH4" s="89"/>
      <c r="KI4" s="89"/>
      <c r="KJ4" s="89"/>
      <c r="KK4" s="89"/>
      <c r="KL4" s="89"/>
      <c r="KM4" s="89"/>
      <c r="KN4" s="89"/>
      <c r="KO4" s="89"/>
      <c r="KP4" s="89"/>
      <c r="KQ4" s="89"/>
      <c r="KR4" s="89"/>
      <c r="KS4" s="89"/>
      <c r="KT4" s="89"/>
      <c r="KU4" s="89"/>
      <c r="KV4" s="89"/>
      <c r="KW4" s="89"/>
      <c r="KX4" s="89"/>
      <c r="KY4" s="89"/>
      <c r="KZ4" s="89"/>
      <c r="LA4" s="89"/>
      <c r="LB4" s="89"/>
      <c r="LC4" s="89"/>
      <c r="LD4" s="89"/>
      <c r="LE4" s="89"/>
      <c r="LF4" s="89"/>
      <c r="LG4" s="89"/>
      <c r="LH4" s="89"/>
      <c r="LI4" s="89"/>
      <c r="LJ4" s="89"/>
      <c r="LK4" s="89"/>
      <c r="LL4" s="89"/>
      <c r="LM4" s="89"/>
      <c r="LN4" s="89"/>
      <c r="LO4" s="89"/>
      <c r="LP4" s="89"/>
      <c r="LQ4" s="89"/>
      <c r="LR4" s="89"/>
      <c r="LS4" s="89"/>
      <c r="LT4" s="89"/>
      <c r="LU4" s="89"/>
      <c r="LV4" s="89"/>
      <c r="LW4" s="89"/>
      <c r="LX4" s="89"/>
      <c r="LY4" s="89"/>
      <c r="LZ4" s="89"/>
      <c r="MA4" s="89"/>
      <c r="MB4" s="89"/>
      <c r="MC4" s="89"/>
      <c r="MD4" s="89"/>
      <c r="ME4" s="89"/>
      <c r="MF4" s="89"/>
      <c r="MG4" s="89"/>
    </row>
    <row r="5" spans="1:345" s="88" customFormat="1" ht="35" x14ac:dyDescent="0.7">
      <c r="A5" s="89"/>
      <c r="C5" s="90"/>
      <c r="D5" s="96" t="s">
        <v>562</v>
      </c>
      <c r="E5" s="97" t="s">
        <v>564</v>
      </c>
      <c r="F5" s="89"/>
      <c r="G5" s="89"/>
      <c r="H5" s="89"/>
      <c r="I5" s="89"/>
      <c r="J5" s="89"/>
      <c r="K5" s="89"/>
      <c r="L5" s="89"/>
      <c r="M5" s="89"/>
      <c r="N5" s="89"/>
      <c r="O5" s="89"/>
      <c r="P5" s="89"/>
      <c r="Q5" s="89"/>
      <c r="R5" s="89"/>
      <c r="S5" s="89"/>
      <c r="T5" s="89"/>
      <c r="U5" s="89"/>
      <c r="V5" s="89"/>
      <c r="W5" s="89"/>
      <c r="X5" s="89"/>
      <c r="Y5" s="89"/>
      <c r="Z5" s="89"/>
      <c r="AA5" s="89"/>
      <c r="AB5" s="89"/>
      <c r="AC5" s="89"/>
      <c r="AD5" s="89"/>
      <c r="AE5" s="89"/>
      <c r="AF5" s="89"/>
      <c r="AG5" s="89"/>
      <c r="AH5" s="89"/>
      <c r="AI5" s="89"/>
      <c r="AJ5" s="89"/>
      <c r="AK5" s="89"/>
      <c r="AL5" s="89"/>
      <c r="AM5" s="89"/>
      <c r="AN5" s="89"/>
      <c r="AO5" s="89"/>
      <c r="AP5" s="89"/>
      <c r="AQ5" s="89"/>
      <c r="AR5" s="89"/>
      <c r="AS5" s="89"/>
      <c r="AT5" s="89"/>
      <c r="AU5" s="89"/>
      <c r="AV5" s="89"/>
      <c r="AW5" s="89"/>
      <c r="AX5" s="89"/>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c r="DR5" s="89"/>
      <c r="DS5" s="89"/>
      <c r="DT5" s="89"/>
      <c r="DU5" s="89"/>
      <c r="DV5" s="89"/>
      <c r="DW5" s="89"/>
      <c r="DX5" s="89"/>
      <c r="DY5" s="89"/>
      <c r="DZ5" s="89"/>
      <c r="EA5" s="89"/>
      <c r="EB5" s="89"/>
      <c r="EC5" s="89"/>
      <c r="ED5" s="89"/>
      <c r="EE5" s="89"/>
      <c r="EF5" s="89"/>
      <c r="EG5" s="89"/>
      <c r="EH5" s="89"/>
      <c r="EI5" s="89"/>
      <c r="EJ5" s="89"/>
      <c r="EK5" s="89"/>
      <c r="EL5" s="89"/>
      <c r="EM5" s="89"/>
      <c r="EN5" s="89"/>
      <c r="EO5" s="89"/>
      <c r="EP5" s="89"/>
      <c r="EQ5" s="89"/>
      <c r="ER5" s="89"/>
      <c r="ES5" s="89"/>
      <c r="ET5" s="89"/>
      <c r="EU5" s="89"/>
      <c r="EV5" s="89"/>
      <c r="EW5" s="89"/>
      <c r="EX5" s="89"/>
      <c r="EY5" s="89"/>
      <c r="EZ5" s="89"/>
      <c r="FA5" s="89"/>
      <c r="FB5" s="89"/>
      <c r="FC5" s="89"/>
      <c r="FD5" s="89"/>
      <c r="FE5" s="89"/>
      <c r="FF5" s="89"/>
      <c r="FG5" s="89"/>
      <c r="FH5" s="89"/>
      <c r="FI5" s="89"/>
      <c r="FJ5" s="89"/>
      <c r="FK5" s="89"/>
      <c r="FL5" s="89"/>
      <c r="FM5" s="89"/>
      <c r="FN5" s="89"/>
      <c r="FO5" s="89"/>
      <c r="FP5" s="89"/>
      <c r="FQ5" s="89"/>
      <c r="FR5" s="89"/>
      <c r="FS5" s="89"/>
      <c r="FT5" s="89"/>
      <c r="FU5" s="89"/>
      <c r="FV5" s="89"/>
      <c r="FW5" s="89"/>
      <c r="FX5" s="89"/>
      <c r="FY5" s="89"/>
      <c r="FZ5" s="89"/>
      <c r="GA5" s="89"/>
      <c r="GB5" s="89"/>
      <c r="GC5" s="89"/>
      <c r="GD5" s="89"/>
      <c r="GE5" s="89"/>
      <c r="GF5" s="89"/>
      <c r="GG5" s="89"/>
      <c r="GH5" s="89"/>
      <c r="GI5" s="89"/>
      <c r="GJ5" s="89"/>
      <c r="GK5" s="89"/>
      <c r="GL5" s="89"/>
      <c r="GM5" s="89"/>
      <c r="GN5" s="89"/>
      <c r="GO5" s="89"/>
      <c r="GP5" s="89"/>
      <c r="GQ5" s="89"/>
      <c r="GR5" s="89"/>
      <c r="GS5" s="89"/>
      <c r="GT5" s="89"/>
      <c r="GU5" s="89"/>
      <c r="GV5" s="89"/>
      <c r="GW5" s="89"/>
      <c r="GX5" s="89"/>
      <c r="GY5" s="89"/>
      <c r="GZ5" s="89"/>
      <c r="HA5" s="89"/>
      <c r="HB5" s="89"/>
      <c r="HC5" s="89"/>
      <c r="HD5" s="89"/>
      <c r="HE5" s="89"/>
      <c r="HF5" s="89"/>
      <c r="HG5" s="89"/>
      <c r="HH5" s="89"/>
      <c r="HI5" s="89"/>
      <c r="HJ5" s="89"/>
      <c r="HK5" s="89"/>
      <c r="HL5" s="89"/>
      <c r="HM5" s="89"/>
      <c r="HN5" s="89"/>
      <c r="HO5" s="89"/>
      <c r="HP5" s="89"/>
      <c r="HQ5" s="89"/>
      <c r="HR5" s="89"/>
      <c r="HS5" s="89"/>
      <c r="HT5" s="89"/>
      <c r="HU5" s="89"/>
      <c r="HV5" s="89"/>
      <c r="HW5" s="89"/>
      <c r="HX5" s="89"/>
      <c r="HY5" s="89"/>
      <c r="HZ5" s="89"/>
      <c r="IA5" s="89"/>
      <c r="IB5" s="89"/>
      <c r="IC5" s="89"/>
      <c r="ID5" s="89"/>
      <c r="IE5" s="89"/>
      <c r="IF5" s="89"/>
      <c r="IG5" s="89"/>
      <c r="IH5" s="89"/>
      <c r="II5" s="89"/>
      <c r="IJ5" s="89"/>
      <c r="IK5" s="89"/>
      <c r="IL5" s="89"/>
      <c r="IM5" s="89"/>
      <c r="IN5" s="89"/>
      <c r="IO5" s="89"/>
      <c r="IP5" s="89"/>
      <c r="IQ5" s="89"/>
      <c r="IR5" s="89"/>
      <c r="IS5" s="89"/>
      <c r="IT5" s="89"/>
      <c r="IU5" s="89"/>
      <c r="IV5" s="89"/>
      <c r="IW5" s="89"/>
      <c r="IX5" s="89"/>
      <c r="IY5" s="89"/>
      <c r="IZ5" s="89"/>
      <c r="JA5" s="89"/>
      <c r="JB5" s="89"/>
      <c r="JC5" s="89"/>
      <c r="JD5" s="89"/>
      <c r="JE5" s="89"/>
      <c r="JF5" s="89"/>
      <c r="JG5" s="89"/>
      <c r="JH5" s="89"/>
      <c r="JI5" s="89"/>
      <c r="JJ5" s="89"/>
      <c r="JK5" s="89"/>
      <c r="JL5" s="89"/>
      <c r="JM5" s="89"/>
      <c r="JN5" s="89"/>
      <c r="JO5" s="89"/>
      <c r="JP5" s="89"/>
      <c r="JQ5" s="89"/>
      <c r="JR5" s="89"/>
      <c r="JS5" s="89"/>
      <c r="JT5" s="89"/>
      <c r="JU5" s="89"/>
      <c r="JV5" s="89"/>
      <c r="JW5" s="89"/>
      <c r="JX5" s="89"/>
      <c r="JY5" s="89"/>
      <c r="JZ5" s="89"/>
      <c r="KA5" s="89"/>
      <c r="KB5" s="89"/>
      <c r="KC5" s="89"/>
      <c r="KD5" s="89"/>
      <c r="KE5" s="89"/>
      <c r="KF5" s="89"/>
      <c r="KG5" s="89"/>
      <c r="KH5" s="89"/>
      <c r="KI5" s="89"/>
      <c r="KJ5" s="89"/>
      <c r="KK5" s="89"/>
      <c r="KL5" s="89"/>
      <c r="KM5" s="89"/>
      <c r="KN5" s="89"/>
      <c r="KO5" s="89"/>
      <c r="KP5" s="89"/>
      <c r="KQ5" s="89"/>
      <c r="KR5" s="89"/>
      <c r="KS5" s="89"/>
      <c r="KT5" s="89"/>
      <c r="KU5" s="89"/>
      <c r="KV5" s="89"/>
      <c r="KW5" s="89"/>
      <c r="KX5" s="89"/>
      <c r="KY5" s="89"/>
      <c r="KZ5" s="89"/>
      <c r="LA5" s="89"/>
      <c r="LB5" s="89"/>
      <c r="LC5" s="89"/>
      <c r="LD5" s="89"/>
      <c r="LE5" s="89"/>
      <c r="LF5" s="89"/>
      <c r="LG5" s="89"/>
      <c r="LH5" s="89"/>
      <c r="LI5" s="89"/>
      <c r="LJ5" s="89"/>
      <c r="LK5" s="89"/>
      <c r="LL5" s="89"/>
      <c r="LM5" s="89"/>
      <c r="LN5" s="89"/>
      <c r="LO5" s="89"/>
      <c r="LP5" s="89"/>
      <c r="LQ5" s="89"/>
      <c r="LR5" s="89"/>
      <c r="LS5" s="89"/>
      <c r="LT5" s="89"/>
      <c r="LU5" s="89"/>
      <c r="LV5" s="89"/>
      <c r="LW5" s="89"/>
      <c r="LX5" s="89"/>
      <c r="LY5" s="89"/>
      <c r="LZ5" s="89"/>
      <c r="MA5" s="89"/>
      <c r="MB5" s="89"/>
      <c r="MC5" s="89"/>
      <c r="MD5" s="89"/>
      <c r="ME5" s="89"/>
      <c r="MF5" s="89"/>
      <c r="MG5" s="89"/>
    </row>
    <row r="6" spans="1:345" s="88" customFormat="1" ht="35.5" thickBot="1" x14ac:dyDescent="0.75">
      <c r="A6" s="89"/>
      <c r="B6" s="90"/>
      <c r="C6" s="90"/>
      <c r="D6" s="96" t="s">
        <v>563</v>
      </c>
      <c r="E6" s="95" t="s">
        <v>565</v>
      </c>
      <c r="F6" s="89"/>
      <c r="G6" s="89"/>
      <c r="H6" s="89"/>
      <c r="I6" s="89"/>
      <c r="J6" s="89"/>
      <c r="K6" s="89"/>
      <c r="L6" s="89"/>
      <c r="M6" s="89"/>
      <c r="N6" s="89"/>
      <c r="O6" s="89"/>
      <c r="P6" s="89"/>
      <c r="Q6" s="89"/>
      <c r="R6" s="89"/>
      <c r="S6" s="89"/>
      <c r="T6" s="89"/>
      <c r="U6" s="89"/>
      <c r="V6" s="89"/>
      <c r="W6" s="89"/>
      <c r="X6" s="89"/>
      <c r="Y6" s="89"/>
      <c r="Z6" s="89"/>
      <c r="AA6" s="89"/>
      <c r="AB6" s="89"/>
      <c r="AC6" s="89"/>
      <c r="AD6" s="89"/>
      <c r="AE6" s="89"/>
      <c r="AF6" s="89"/>
      <c r="AG6" s="89"/>
      <c r="AH6" s="89"/>
      <c r="AI6" s="89"/>
      <c r="AJ6" s="89"/>
      <c r="AK6" s="89"/>
      <c r="AL6" s="89"/>
      <c r="AM6" s="89"/>
      <c r="AN6" s="89"/>
      <c r="AO6" s="89"/>
      <c r="AP6" s="89"/>
      <c r="AQ6" s="89"/>
      <c r="AR6" s="89"/>
      <c r="AS6" s="89"/>
      <c r="AT6" s="89"/>
      <c r="AU6" s="89"/>
      <c r="AV6" s="89"/>
      <c r="AW6" s="89"/>
      <c r="AX6" s="89"/>
      <c r="AY6" s="89"/>
      <c r="AZ6" s="89"/>
      <c r="BA6" s="89"/>
      <c r="BB6" s="89"/>
      <c r="BC6" s="89"/>
      <c r="BD6" s="89"/>
      <c r="BE6" s="89"/>
      <c r="BF6" s="89"/>
      <c r="BG6" s="89"/>
      <c r="BH6" s="89"/>
      <c r="BI6" s="89"/>
      <c r="BJ6" s="89"/>
      <c r="BK6" s="89"/>
      <c r="BL6" s="89"/>
      <c r="BM6" s="89"/>
      <c r="BN6" s="89"/>
      <c r="BO6" s="89"/>
      <c r="BP6" s="89"/>
      <c r="BQ6" s="89"/>
      <c r="BR6" s="89"/>
      <c r="BS6" s="89"/>
      <c r="BT6" s="89"/>
      <c r="BU6" s="89"/>
      <c r="BV6" s="89"/>
      <c r="BW6" s="89"/>
      <c r="BX6" s="89"/>
      <c r="BY6" s="89"/>
      <c r="BZ6" s="89"/>
      <c r="CA6" s="89"/>
      <c r="CB6" s="89"/>
      <c r="CC6" s="89"/>
      <c r="CD6" s="89"/>
      <c r="CE6" s="89"/>
      <c r="CF6" s="89"/>
      <c r="CG6" s="89"/>
      <c r="CH6" s="89"/>
      <c r="CI6" s="89"/>
      <c r="CJ6" s="89"/>
      <c r="CK6" s="89"/>
      <c r="CL6" s="89"/>
      <c r="CM6" s="89"/>
      <c r="CN6" s="89"/>
      <c r="CO6" s="89"/>
      <c r="CP6" s="89"/>
      <c r="CQ6" s="89"/>
      <c r="CR6" s="89"/>
      <c r="CS6" s="89"/>
      <c r="CT6" s="89"/>
      <c r="CU6" s="89"/>
      <c r="CV6" s="89"/>
      <c r="CW6" s="89"/>
      <c r="CX6" s="89"/>
      <c r="CY6" s="89"/>
      <c r="CZ6" s="89"/>
      <c r="DA6" s="89"/>
      <c r="DB6" s="89"/>
      <c r="DC6" s="89"/>
      <c r="DD6" s="89"/>
      <c r="DE6" s="89"/>
      <c r="DF6" s="89"/>
      <c r="DG6" s="89"/>
      <c r="DH6" s="89"/>
      <c r="DI6" s="89"/>
      <c r="DJ6" s="89"/>
      <c r="DK6" s="89"/>
      <c r="DL6" s="89"/>
      <c r="DM6" s="89"/>
      <c r="DN6" s="89"/>
      <c r="DO6" s="89"/>
      <c r="DP6" s="89"/>
      <c r="DQ6" s="89"/>
      <c r="DR6" s="89"/>
      <c r="DS6" s="89"/>
      <c r="DT6" s="89"/>
      <c r="DU6" s="89"/>
      <c r="DV6" s="89"/>
      <c r="DW6" s="89"/>
      <c r="DX6" s="89"/>
      <c r="DY6" s="89"/>
      <c r="DZ6" s="89"/>
      <c r="EA6" s="89"/>
      <c r="EB6" s="89"/>
      <c r="EC6" s="89"/>
      <c r="ED6" s="89"/>
      <c r="EE6" s="89"/>
      <c r="EF6" s="89"/>
      <c r="EG6" s="89"/>
      <c r="EH6" s="89"/>
      <c r="EI6" s="89"/>
      <c r="EJ6" s="89"/>
      <c r="EK6" s="89"/>
      <c r="EL6" s="89"/>
      <c r="EM6" s="89"/>
      <c r="EN6" s="89"/>
      <c r="EO6" s="89"/>
      <c r="EP6" s="89"/>
      <c r="EQ6" s="89"/>
      <c r="ER6" s="89"/>
      <c r="ES6" s="89"/>
      <c r="ET6" s="89"/>
      <c r="EU6" s="89"/>
      <c r="EV6" s="89"/>
      <c r="EW6" s="89"/>
      <c r="EX6" s="89"/>
      <c r="EY6" s="89"/>
      <c r="EZ6" s="89"/>
      <c r="FA6" s="89"/>
      <c r="FB6" s="89"/>
      <c r="FC6" s="89"/>
      <c r="FD6" s="89"/>
      <c r="FE6" s="89"/>
      <c r="FF6" s="89"/>
      <c r="FG6" s="89"/>
      <c r="FH6" s="89"/>
      <c r="FI6" s="89"/>
      <c r="FJ6" s="89"/>
      <c r="FK6" s="89"/>
      <c r="FL6" s="89"/>
      <c r="FM6" s="89"/>
      <c r="FN6" s="89"/>
      <c r="FO6" s="89"/>
      <c r="FP6" s="89"/>
      <c r="FQ6" s="89"/>
      <c r="FR6" s="89"/>
      <c r="FS6" s="89"/>
      <c r="FT6" s="89"/>
      <c r="FU6" s="89"/>
      <c r="FV6" s="89"/>
      <c r="FW6" s="89"/>
      <c r="FX6" s="89"/>
      <c r="FY6" s="89"/>
      <c r="FZ6" s="89"/>
      <c r="GA6" s="89"/>
      <c r="GB6" s="89"/>
      <c r="GC6" s="89"/>
      <c r="GD6" s="89"/>
      <c r="GE6" s="89"/>
      <c r="GF6" s="89"/>
      <c r="GG6" s="89"/>
      <c r="GH6" s="89"/>
      <c r="GI6" s="89"/>
      <c r="GJ6" s="89"/>
      <c r="GK6" s="89"/>
      <c r="GL6" s="89"/>
      <c r="GM6" s="89"/>
      <c r="GN6" s="89"/>
      <c r="GO6" s="89"/>
      <c r="GP6" s="89"/>
      <c r="GQ6" s="89"/>
      <c r="GR6" s="89"/>
      <c r="GS6" s="89"/>
      <c r="GT6" s="89"/>
      <c r="GU6" s="89"/>
      <c r="GV6" s="89"/>
      <c r="GW6" s="89"/>
      <c r="GX6" s="89"/>
      <c r="GY6" s="89"/>
      <c r="GZ6" s="89"/>
      <c r="HA6" s="89"/>
      <c r="HB6" s="89"/>
      <c r="HC6" s="89"/>
      <c r="HD6" s="89"/>
      <c r="HE6" s="89"/>
      <c r="HF6" s="89"/>
      <c r="HG6" s="89"/>
      <c r="HH6" s="89"/>
      <c r="HI6" s="89"/>
      <c r="HJ6" s="89"/>
      <c r="HK6" s="89"/>
      <c r="HL6" s="89"/>
      <c r="HM6" s="89"/>
      <c r="HN6" s="89"/>
      <c r="HO6" s="89"/>
      <c r="HP6" s="89"/>
      <c r="HQ6" s="89"/>
      <c r="HR6" s="89"/>
      <c r="HS6" s="89"/>
      <c r="HT6" s="89"/>
      <c r="HU6" s="89"/>
      <c r="HV6" s="89"/>
      <c r="HW6" s="89"/>
      <c r="HX6" s="89"/>
      <c r="HY6" s="89"/>
      <c r="HZ6" s="89"/>
      <c r="IA6" s="89"/>
      <c r="IB6" s="89"/>
      <c r="IC6" s="89"/>
      <c r="ID6" s="89"/>
      <c r="IE6" s="89"/>
      <c r="IF6" s="89"/>
      <c r="IG6" s="89"/>
      <c r="IH6" s="89"/>
      <c r="II6" s="89"/>
      <c r="IJ6" s="89"/>
      <c r="IK6" s="89"/>
      <c r="IL6" s="89"/>
      <c r="IM6" s="89"/>
      <c r="IN6" s="89"/>
      <c r="IO6" s="89"/>
      <c r="IP6" s="89"/>
      <c r="IQ6" s="89"/>
      <c r="IR6" s="89"/>
      <c r="IS6" s="89"/>
      <c r="IT6" s="89"/>
      <c r="IU6" s="89"/>
      <c r="IV6" s="89"/>
      <c r="IW6" s="89"/>
      <c r="IX6" s="89"/>
      <c r="IY6" s="89"/>
      <c r="IZ6" s="89"/>
      <c r="JA6" s="89"/>
      <c r="JB6" s="89"/>
      <c r="JC6" s="89"/>
      <c r="JD6" s="89"/>
      <c r="JE6" s="89"/>
      <c r="JF6" s="89"/>
      <c r="JG6" s="89"/>
      <c r="JH6" s="89"/>
      <c r="JI6" s="89"/>
      <c r="JJ6" s="89"/>
      <c r="JK6" s="89"/>
      <c r="JL6" s="89"/>
      <c r="JM6" s="89"/>
      <c r="JN6" s="89"/>
      <c r="JO6" s="89"/>
      <c r="JP6" s="89"/>
      <c r="JQ6" s="89"/>
      <c r="JR6" s="89"/>
      <c r="JS6" s="89"/>
      <c r="JT6" s="89"/>
      <c r="JU6" s="89"/>
      <c r="JV6" s="89"/>
      <c r="JW6" s="89"/>
      <c r="JX6" s="89"/>
      <c r="JY6" s="89"/>
      <c r="JZ6" s="89"/>
      <c r="KA6" s="89"/>
      <c r="KB6" s="89"/>
      <c r="KC6" s="89"/>
      <c r="KD6" s="89"/>
      <c r="KE6" s="89"/>
      <c r="KF6" s="89"/>
      <c r="KG6" s="89"/>
      <c r="KH6" s="89"/>
      <c r="KI6" s="89"/>
      <c r="KJ6" s="89"/>
      <c r="KK6" s="89"/>
      <c r="KL6" s="89"/>
      <c r="KM6" s="89"/>
      <c r="KN6" s="89"/>
      <c r="KO6" s="89"/>
      <c r="KP6" s="89"/>
      <c r="KQ6" s="89"/>
      <c r="KR6" s="89"/>
      <c r="KS6" s="89"/>
      <c r="KT6" s="89"/>
      <c r="KU6" s="89"/>
      <c r="KV6" s="89"/>
      <c r="KW6" s="89"/>
      <c r="KX6" s="89"/>
      <c r="KY6" s="89"/>
      <c r="KZ6" s="89"/>
      <c r="LA6" s="89"/>
      <c r="LB6" s="89"/>
      <c r="LC6" s="89"/>
      <c r="LD6" s="89"/>
      <c r="LE6" s="89"/>
      <c r="LF6" s="89"/>
      <c r="LG6" s="89"/>
      <c r="LH6" s="89"/>
      <c r="LI6" s="89"/>
      <c r="LJ6" s="89"/>
      <c r="LK6" s="89"/>
      <c r="LL6" s="89"/>
      <c r="LM6" s="89"/>
      <c r="LN6" s="89"/>
      <c r="LO6" s="89"/>
      <c r="LP6" s="89"/>
      <c r="LQ6" s="89"/>
      <c r="LR6" s="89"/>
      <c r="LS6" s="89"/>
      <c r="LT6" s="89"/>
      <c r="LU6" s="89"/>
      <c r="LV6" s="89"/>
      <c r="LW6" s="89"/>
      <c r="LX6" s="89"/>
      <c r="LY6" s="89"/>
      <c r="LZ6" s="89"/>
      <c r="MA6" s="89"/>
      <c r="MB6" s="89"/>
      <c r="MC6" s="89"/>
      <c r="MD6" s="89"/>
      <c r="ME6" s="89"/>
      <c r="MF6" s="89"/>
      <c r="MG6" s="89"/>
    </row>
    <row r="7" spans="1:345" s="88" customFormat="1" ht="35.5" hidden="1" thickBot="1" x14ac:dyDescent="0.75">
      <c r="A7" s="89"/>
      <c r="C7" s="90"/>
      <c r="D7" s="90"/>
      <c r="E7" s="89"/>
      <c r="F7" s="89"/>
      <c r="G7" s="89"/>
      <c r="H7" s="89"/>
      <c r="I7" s="89"/>
      <c r="J7" s="89"/>
      <c r="K7" s="89"/>
      <c r="L7" s="89"/>
      <c r="M7" s="89"/>
      <c r="N7" s="89"/>
      <c r="O7" s="89"/>
      <c r="P7" s="89"/>
      <c r="Q7" s="89"/>
      <c r="R7" s="89"/>
      <c r="S7" s="89"/>
      <c r="T7" s="89"/>
      <c r="U7" s="89"/>
      <c r="V7" s="89"/>
      <c r="W7" s="89"/>
      <c r="X7" s="89"/>
      <c r="Y7" s="89"/>
      <c r="Z7" s="89"/>
      <c r="AA7" s="89"/>
      <c r="AB7" s="89"/>
      <c r="AC7" s="89"/>
      <c r="AD7" s="89"/>
      <c r="AE7" s="89"/>
      <c r="AF7" s="89"/>
      <c r="AG7" s="89"/>
      <c r="AH7" s="89"/>
      <c r="AI7" s="89"/>
      <c r="AJ7" s="89"/>
      <c r="AK7" s="89"/>
      <c r="AL7" s="89"/>
      <c r="AM7" s="89"/>
      <c r="AN7" s="89"/>
      <c r="AO7" s="89"/>
      <c r="AP7" s="89"/>
      <c r="AQ7" s="89"/>
      <c r="AR7" s="89"/>
      <c r="AS7" s="89"/>
      <c r="AT7" s="89"/>
      <c r="AU7" s="89"/>
      <c r="AV7" s="89"/>
      <c r="AW7" s="89"/>
      <c r="AX7" s="89"/>
      <c r="AY7" s="89"/>
      <c r="AZ7" s="89"/>
      <c r="BA7" s="89"/>
      <c r="BB7" s="89"/>
      <c r="BC7" s="89"/>
      <c r="BD7" s="89"/>
      <c r="BE7" s="89"/>
      <c r="BF7" s="89"/>
      <c r="BG7" s="89"/>
      <c r="BH7" s="89"/>
      <c r="BI7" s="89"/>
      <c r="BJ7" s="89"/>
      <c r="BK7" s="89"/>
      <c r="BL7" s="89"/>
      <c r="BM7" s="89"/>
      <c r="BN7" s="89"/>
      <c r="BO7" s="89"/>
      <c r="BP7" s="89"/>
      <c r="BQ7" s="89"/>
      <c r="BR7" s="89"/>
      <c r="BS7" s="89"/>
      <c r="BT7" s="89"/>
      <c r="BU7" s="89"/>
      <c r="BV7" s="89"/>
      <c r="BW7" s="89"/>
      <c r="BX7" s="89"/>
      <c r="BY7" s="89"/>
      <c r="BZ7" s="89"/>
      <c r="CA7" s="89"/>
      <c r="CB7" s="89"/>
      <c r="CC7" s="89"/>
      <c r="CD7" s="89"/>
      <c r="CE7" s="89"/>
      <c r="CF7" s="89"/>
      <c r="CG7" s="89"/>
      <c r="CH7" s="89"/>
      <c r="CI7" s="89"/>
      <c r="CJ7" s="89"/>
      <c r="CK7" s="89"/>
      <c r="CL7" s="89"/>
      <c r="CM7" s="89"/>
      <c r="CN7" s="89"/>
      <c r="CO7" s="89"/>
      <c r="CP7" s="89"/>
      <c r="CQ7" s="89"/>
      <c r="CR7" s="89"/>
      <c r="CS7" s="89"/>
      <c r="CT7" s="89"/>
      <c r="CU7" s="89"/>
      <c r="CV7" s="89"/>
      <c r="CW7" s="89"/>
      <c r="CX7" s="89"/>
      <c r="CY7" s="89"/>
      <c r="CZ7" s="89"/>
      <c r="DA7" s="89"/>
      <c r="DB7" s="89"/>
      <c r="DC7" s="89"/>
      <c r="DD7" s="89"/>
      <c r="DE7" s="89"/>
      <c r="DF7" s="89"/>
      <c r="DG7" s="89"/>
      <c r="DH7" s="89"/>
      <c r="DI7" s="89"/>
      <c r="DJ7" s="89"/>
      <c r="DK7" s="89"/>
      <c r="DL7" s="89"/>
      <c r="DM7" s="89"/>
      <c r="DN7" s="89"/>
      <c r="DO7" s="89"/>
      <c r="DP7" s="89"/>
      <c r="DQ7" s="89"/>
      <c r="DR7" s="89"/>
      <c r="DS7" s="89"/>
      <c r="DT7" s="89"/>
      <c r="DU7" s="89"/>
      <c r="DV7" s="89"/>
      <c r="DW7" s="89"/>
      <c r="DX7" s="89"/>
      <c r="DY7" s="89"/>
      <c r="DZ7" s="89"/>
      <c r="EA7" s="89"/>
      <c r="EB7" s="89"/>
      <c r="EC7" s="89"/>
      <c r="ED7" s="89"/>
      <c r="EE7" s="89"/>
      <c r="EF7" s="89"/>
      <c r="EG7" s="89"/>
      <c r="EH7" s="89"/>
      <c r="EI7" s="89"/>
      <c r="EJ7" s="89"/>
      <c r="EK7" s="89"/>
      <c r="EL7" s="89"/>
      <c r="EM7" s="89"/>
      <c r="EN7" s="89"/>
      <c r="EO7" s="89"/>
      <c r="EP7" s="89"/>
      <c r="EQ7" s="89"/>
      <c r="ER7" s="89"/>
      <c r="ES7" s="89"/>
      <c r="ET7" s="89"/>
      <c r="EU7" s="89"/>
      <c r="EV7" s="89"/>
      <c r="EW7" s="89"/>
      <c r="EX7" s="89"/>
      <c r="EY7" s="89"/>
      <c r="EZ7" s="89"/>
      <c r="FA7" s="89"/>
      <c r="FB7" s="89"/>
      <c r="FC7" s="89"/>
      <c r="FD7" s="89"/>
      <c r="FE7" s="89"/>
      <c r="FF7" s="89"/>
      <c r="FG7" s="89"/>
      <c r="FH7" s="89"/>
      <c r="FI7" s="89"/>
      <c r="FJ7" s="89"/>
      <c r="FK7" s="89"/>
      <c r="FL7" s="89"/>
      <c r="FM7" s="89"/>
      <c r="FN7" s="89"/>
      <c r="FO7" s="89"/>
      <c r="FP7" s="89"/>
      <c r="FQ7" s="89"/>
      <c r="FR7" s="89"/>
      <c r="FS7" s="89"/>
      <c r="FT7" s="89"/>
      <c r="FU7" s="89"/>
      <c r="FV7" s="89"/>
      <c r="FW7" s="89"/>
      <c r="FX7" s="89"/>
      <c r="FY7" s="89"/>
      <c r="FZ7" s="89"/>
      <c r="GA7" s="89"/>
      <c r="GB7" s="89"/>
      <c r="GC7" s="89"/>
      <c r="GD7" s="89"/>
      <c r="GE7" s="89"/>
      <c r="GF7" s="89"/>
      <c r="GG7" s="89"/>
      <c r="GH7" s="89"/>
      <c r="GI7" s="89"/>
      <c r="GJ7" s="89"/>
      <c r="GK7" s="89"/>
      <c r="GL7" s="89"/>
      <c r="GM7" s="89"/>
      <c r="GN7" s="89"/>
      <c r="GO7" s="89"/>
      <c r="GP7" s="89"/>
      <c r="GQ7" s="89"/>
      <c r="GR7" s="89"/>
      <c r="GS7" s="89"/>
      <c r="GT7" s="89"/>
      <c r="GU7" s="89"/>
      <c r="GV7" s="89"/>
      <c r="GW7" s="89"/>
      <c r="GX7" s="89"/>
      <c r="GY7" s="89"/>
      <c r="GZ7" s="89"/>
      <c r="HA7" s="89"/>
      <c r="HB7" s="89"/>
      <c r="HC7" s="89"/>
      <c r="HD7" s="89"/>
      <c r="HE7" s="89"/>
      <c r="HF7" s="89"/>
      <c r="HG7" s="89"/>
      <c r="HH7" s="89"/>
      <c r="HI7" s="89"/>
      <c r="HJ7" s="89"/>
      <c r="HK7" s="89"/>
      <c r="HL7" s="89"/>
      <c r="HM7" s="89"/>
      <c r="HN7" s="89"/>
      <c r="HO7" s="89"/>
      <c r="HP7" s="89"/>
      <c r="HQ7" s="89"/>
      <c r="HR7" s="89"/>
      <c r="HS7" s="89"/>
      <c r="HT7" s="89"/>
      <c r="HU7" s="89"/>
      <c r="HV7" s="89"/>
      <c r="HW7" s="89"/>
      <c r="HX7" s="89"/>
      <c r="HY7" s="89"/>
      <c r="HZ7" s="89"/>
      <c r="IA7" s="89"/>
      <c r="IB7" s="89"/>
      <c r="IC7" s="89"/>
      <c r="ID7" s="89"/>
      <c r="IE7" s="89"/>
      <c r="IF7" s="89"/>
      <c r="IG7" s="89"/>
      <c r="IH7" s="89"/>
      <c r="II7" s="89"/>
      <c r="IJ7" s="89"/>
      <c r="IK7" s="89"/>
      <c r="IL7" s="89"/>
      <c r="IM7" s="89"/>
      <c r="IN7" s="89"/>
      <c r="IO7" s="89"/>
      <c r="IP7" s="89"/>
      <c r="IQ7" s="89"/>
      <c r="IR7" s="89"/>
      <c r="IS7" s="89"/>
      <c r="IT7" s="89"/>
      <c r="IU7" s="89"/>
      <c r="IV7" s="89"/>
      <c r="IW7" s="89"/>
      <c r="IX7" s="89"/>
      <c r="IY7" s="89"/>
      <c r="IZ7" s="89"/>
      <c r="JA7" s="89"/>
      <c r="JB7" s="89"/>
      <c r="JC7" s="89"/>
      <c r="JD7" s="89"/>
      <c r="JE7" s="89"/>
      <c r="JF7" s="89"/>
      <c r="JG7" s="89"/>
      <c r="JH7" s="89"/>
      <c r="JI7" s="89"/>
      <c r="JJ7" s="89"/>
      <c r="JK7" s="89"/>
      <c r="JL7" s="89"/>
      <c r="JM7" s="89"/>
      <c r="JN7" s="89"/>
      <c r="JO7" s="89"/>
      <c r="JP7" s="89"/>
      <c r="JQ7" s="89"/>
      <c r="JR7" s="89"/>
      <c r="JS7" s="89"/>
      <c r="JT7" s="89"/>
      <c r="JU7" s="89"/>
      <c r="JV7" s="89"/>
      <c r="JW7" s="89"/>
      <c r="JX7" s="89"/>
      <c r="JY7" s="89"/>
      <c r="JZ7" s="89"/>
      <c r="KA7" s="89"/>
      <c r="KB7" s="89"/>
      <c r="KC7" s="89"/>
      <c r="KD7" s="89"/>
      <c r="KE7" s="89"/>
      <c r="KF7" s="89"/>
      <c r="KG7" s="89"/>
      <c r="KH7" s="89"/>
      <c r="KI7" s="89"/>
      <c r="KJ7" s="89"/>
      <c r="KK7" s="89"/>
      <c r="KL7" s="89"/>
      <c r="KM7" s="89"/>
      <c r="KN7" s="89"/>
      <c r="KO7" s="89"/>
      <c r="KP7" s="89"/>
      <c r="KQ7" s="89"/>
      <c r="KR7" s="89"/>
      <c r="KS7" s="89"/>
      <c r="KT7" s="89"/>
      <c r="KU7" s="89"/>
      <c r="KV7" s="89"/>
      <c r="KW7" s="89"/>
      <c r="KX7" s="89"/>
      <c r="KY7" s="89"/>
      <c r="KZ7" s="89"/>
      <c r="LA7" s="89"/>
      <c r="LB7" s="89"/>
      <c r="LC7" s="89"/>
      <c r="LD7" s="89"/>
      <c r="LE7" s="89"/>
      <c r="LF7" s="89"/>
      <c r="LG7" s="89"/>
      <c r="LH7" s="89"/>
      <c r="LI7" s="89"/>
      <c r="LJ7" s="89"/>
      <c r="LK7" s="89"/>
      <c r="LL7" s="89"/>
      <c r="LM7" s="89"/>
      <c r="LN7" s="89"/>
      <c r="LO7" s="89"/>
      <c r="LP7" s="89"/>
      <c r="LQ7" s="89"/>
      <c r="LR7" s="89"/>
      <c r="LS7" s="89"/>
      <c r="LT7" s="89"/>
      <c r="LU7" s="89"/>
      <c r="LV7" s="89"/>
      <c r="LW7" s="89"/>
      <c r="LX7" s="89"/>
      <c r="LY7" s="89"/>
      <c r="LZ7" s="89"/>
      <c r="MA7" s="89"/>
      <c r="MB7" s="89"/>
      <c r="MC7" s="89"/>
      <c r="MD7" s="89"/>
      <c r="ME7" s="89"/>
      <c r="MF7" s="89"/>
      <c r="MG7" s="89"/>
    </row>
    <row r="8" spans="1:345" s="88" customFormat="1" ht="16" hidden="1" thickBot="1" x14ac:dyDescent="0.3">
      <c r="A8" s="89"/>
      <c r="B8" s="91"/>
      <c r="C8" s="93" t="s">
        <v>41</v>
      </c>
      <c r="D8" s="94" t="s">
        <v>278</v>
      </c>
      <c r="E8" s="89"/>
      <c r="F8" s="89"/>
      <c r="G8" s="89"/>
      <c r="H8" s="89"/>
      <c r="I8" s="89"/>
      <c r="J8" s="89"/>
      <c r="K8" s="89"/>
      <c r="L8" s="89"/>
      <c r="M8" s="89"/>
      <c r="N8" s="89"/>
      <c r="O8" s="89"/>
    </row>
    <row r="9" spans="1:345" s="88" customFormat="1" ht="16" hidden="1" thickBot="1" x14ac:dyDescent="0.3">
      <c r="A9" s="89"/>
      <c r="B9" s="91"/>
      <c r="C9" s="93" t="s">
        <v>42</v>
      </c>
      <c r="D9" s="92" t="s">
        <v>206</v>
      </c>
      <c r="E9" s="89"/>
      <c r="F9" s="89"/>
      <c r="G9" s="89"/>
      <c r="H9" s="89"/>
      <c r="I9" s="89"/>
      <c r="J9" s="89"/>
      <c r="K9" s="89"/>
      <c r="L9" s="89"/>
      <c r="M9" s="89"/>
      <c r="N9" s="89"/>
      <c r="O9" s="89"/>
    </row>
    <row r="10" spans="1:345" s="88" customFormat="1" ht="35.5" hidden="1" thickBot="1" x14ac:dyDescent="0.75">
      <c r="A10" s="89"/>
      <c r="B10" s="91"/>
      <c r="C10" s="90"/>
      <c r="D10" s="16" t="s">
        <v>4442</v>
      </c>
      <c r="E10" s="89"/>
      <c r="F10" s="89"/>
      <c r="G10" s="89"/>
      <c r="H10" s="89"/>
      <c r="I10" s="89"/>
      <c r="J10" s="89"/>
      <c r="K10" s="89"/>
      <c r="L10" s="89"/>
      <c r="M10" s="89"/>
      <c r="N10" s="89"/>
      <c r="O10" s="89"/>
    </row>
    <row r="11" spans="1:345" s="88" customFormat="1" ht="35.5" hidden="1" thickBot="1" x14ac:dyDescent="0.75">
      <c r="A11" s="89"/>
      <c r="B11" s="91"/>
      <c r="C11" s="90"/>
      <c r="D11" s="109" t="s">
        <v>4443</v>
      </c>
      <c r="E11" s="89"/>
      <c r="F11" s="89"/>
      <c r="G11" s="89"/>
      <c r="H11" s="89"/>
      <c r="I11" s="89"/>
      <c r="J11" s="89"/>
      <c r="K11" s="89"/>
      <c r="L11" s="89"/>
      <c r="M11" s="89"/>
      <c r="N11" s="89"/>
      <c r="O11" s="89"/>
    </row>
    <row r="12" spans="1:345" s="88" customFormat="1" ht="35.5" hidden="1" thickBot="1" x14ac:dyDescent="0.75">
      <c r="A12" s="89"/>
      <c r="B12" s="131">
        <f ca="1">TODAY()</f>
        <v>44473</v>
      </c>
      <c r="C12" s="131"/>
      <c r="D12" s="90"/>
      <c r="E12" s="89"/>
      <c r="F12" s="89"/>
      <c r="G12" s="89"/>
      <c r="H12" s="89"/>
      <c r="I12" s="89"/>
      <c r="J12" s="89"/>
      <c r="K12" s="89"/>
      <c r="L12" s="89"/>
      <c r="M12" s="89"/>
      <c r="N12" s="89"/>
      <c r="O12" s="89"/>
      <c r="P12" s="89"/>
      <c r="Q12" s="89"/>
      <c r="R12" s="89"/>
      <c r="S12" s="89"/>
      <c r="T12" s="89"/>
      <c r="U12" s="89"/>
      <c r="V12" s="89"/>
      <c r="W12" s="89"/>
      <c r="X12" s="89"/>
      <c r="Y12" s="89"/>
      <c r="Z12" s="89"/>
      <c r="AA12" s="89"/>
      <c r="AB12" s="89"/>
      <c r="AC12" s="89"/>
      <c r="AD12" s="89"/>
      <c r="AE12" s="89"/>
      <c r="AF12" s="89"/>
      <c r="AG12" s="89"/>
      <c r="AH12" s="89"/>
      <c r="AI12" s="89"/>
      <c r="AJ12" s="89"/>
      <c r="AK12" s="89"/>
      <c r="AL12" s="89"/>
      <c r="AM12" s="89"/>
      <c r="AN12" s="89"/>
      <c r="AO12" s="89"/>
      <c r="AP12" s="89"/>
      <c r="AQ12" s="89"/>
      <c r="AR12" s="89"/>
      <c r="AS12" s="89"/>
      <c r="AT12" s="89"/>
      <c r="AU12" s="89"/>
      <c r="AV12" s="89"/>
      <c r="AW12" s="89"/>
      <c r="AX12" s="89"/>
      <c r="AY12" s="89"/>
      <c r="AZ12" s="89"/>
      <c r="BA12" s="89"/>
      <c r="BB12" s="89"/>
      <c r="BC12" s="89"/>
      <c r="BD12" s="89"/>
      <c r="BE12" s="89"/>
      <c r="BF12" s="89"/>
      <c r="BG12" s="89"/>
      <c r="BH12" s="89"/>
      <c r="BI12" s="89"/>
      <c r="BJ12" s="89"/>
      <c r="BK12" s="89"/>
      <c r="BL12" s="89"/>
      <c r="BM12" s="89"/>
      <c r="BN12" s="89"/>
      <c r="BO12" s="89"/>
      <c r="BP12" s="89"/>
      <c r="BQ12" s="89"/>
      <c r="BR12" s="89"/>
      <c r="BS12" s="89"/>
      <c r="BT12" s="89"/>
      <c r="BU12" s="89"/>
      <c r="BV12" s="89"/>
      <c r="BW12" s="89"/>
      <c r="BX12" s="89"/>
      <c r="BY12" s="89"/>
      <c r="BZ12" s="89"/>
      <c r="CA12" s="89"/>
      <c r="CB12" s="89"/>
      <c r="CC12" s="89"/>
      <c r="CD12" s="89"/>
      <c r="CE12" s="89"/>
      <c r="CF12" s="89"/>
      <c r="CG12" s="89"/>
      <c r="CH12" s="89"/>
      <c r="CI12" s="89"/>
      <c r="CJ12" s="89"/>
      <c r="CK12" s="89"/>
      <c r="CL12" s="89"/>
      <c r="CM12" s="89"/>
      <c r="CN12" s="89"/>
      <c r="CO12" s="89"/>
      <c r="CP12" s="89"/>
      <c r="CQ12" s="89"/>
      <c r="CR12" s="89"/>
      <c r="CS12" s="89"/>
      <c r="CT12" s="89"/>
      <c r="CU12" s="89"/>
      <c r="CV12" s="89"/>
      <c r="CW12" s="89"/>
      <c r="CX12" s="89"/>
      <c r="CY12" s="89"/>
      <c r="CZ12" s="89"/>
      <c r="DA12" s="89"/>
      <c r="DB12" s="89"/>
      <c r="DC12" s="89"/>
      <c r="DD12" s="89"/>
      <c r="DE12" s="89"/>
      <c r="DF12" s="89"/>
      <c r="DG12" s="89"/>
      <c r="DH12" s="89"/>
      <c r="DI12" s="89"/>
      <c r="DJ12" s="89"/>
      <c r="DK12" s="89"/>
      <c r="DL12" s="89"/>
      <c r="DM12" s="89"/>
      <c r="DN12" s="89"/>
      <c r="DO12" s="89"/>
      <c r="DP12" s="89"/>
      <c r="DQ12" s="89"/>
      <c r="DR12" s="89"/>
      <c r="DS12" s="89"/>
      <c r="DT12" s="89"/>
      <c r="DU12" s="89"/>
      <c r="DV12" s="89"/>
      <c r="DW12" s="89"/>
      <c r="DX12" s="89"/>
      <c r="DY12" s="89"/>
      <c r="DZ12" s="89"/>
      <c r="EA12" s="89"/>
      <c r="EB12" s="89"/>
      <c r="EC12" s="89"/>
      <c r="ED12" s="89"/>
      <c r="EE12" s="89"/>
      <c r="EF12" s="89"/>
      <c r="EG12" s="89"/>
      <c r="EH12" s="89"/>
      <c r="EI12" s="89"/>
      <c r="EJ12" s="89"/>
      <c r="EK12" s="89"/>
      <c r="EL12" s="89"/>
      <c r="EM12" s="89"/>
      <c r="EN12" s="89"/>
      <c r="EO12" s="89"/>
      <c r="EP12" s="89"/>
      <c r="EQ12" s="89"/>
      <c r="ER12" s="89"/>
      <c r="ES12" s="89"/>
      <c r="ET12" s="89"/>
      <c r="EU12" s="89"/>
      <c r="EV12" s="89"/>
      <c r="EW12" s="89"/>
      <c r="EX12" s="89"/>
      <c r="EY12" s="89"/>
      <c r="EZ12" s="89"/>
      <c r="FA12" s="89"/>
      <c r="FB12" s="89"/>
      <c r="FC12" s="89"/>
      <c r="FD12" s="89"/>
      <c r="FE12" s="89"/>
      <c r="FF12" s="89"/>
      <c r="FG12" s="89"/>
      <c r="FH12" s="89"/>
      <c r="FI12" s="89"/>
      <c r="FJ12" s="89"/>
      <c r="FK12" s="89"/>
      <c r="FL12" s="89"/>
      <c r="FM12" s="89"/>
      <c r="FN12" s="89"/>
      <c r="FO12" s="89"/>
      <c r="FP12" s="89"/>
      <c r="FQ12" s="89"/>
      <c r="FR12" s="89"/>
      <c r="FS12" s="89"/>
      <c r="FT12" s="89"/>
      <c r="FU12" s="89"/>
      <c r="FV12" s="89"/>
      <c r="FW12" s="89"/>
      <c r="FX12" s="89"/>
      <c r="FY12" s="89"/>
      <c r="FZ12" s="89"/>
      <c r="GA12" s="89"/>
      <c r="GB12" s="89"/>
      <c r="GC12" s="89"/>
      <c r="GD12" s="89"/>
      <c r="GE12" s="89"/>
      <c r="GF12" s="89"/>
      <c r="GG12" s="89"/>
      <c r="GH12" s="89"/>
      <c r="GI12" s="89"/>
      <c r="GJ12" s="89"/>
      <c r="GK12" s="89"/>
      <c r="GL12" s="89"/>
      <c r="GM12" s="89"/>
      <c r="GN12" s="89"/>
      <c r="GO12" s="89"/>
      <c r="GP12" s="89"/>
      <c r="GQ12" s="89"/>
      <c r="GR12" s="89"/>
      <c r="GS12" s="89"/>
      <c r="GT12" s="89"/>
      <c r="GU12" s="89"/>
      <c r="GV12" s="89"/>
      <c r="GW12" s="89"/>
      <c r="GX12" s="89"/>
      <c r="GY12" s="89"/>
      <c r="GZ12" s="89"/>
      <c r="HA12" s="89"/>
      <c r="HB12" s="89"/>
      <c r="HC12" s="89"/>
      <c r="HD12" s="89"/>
      <c r="HE12" s="89"/>
      <c r="HF12" s="89"/>
      <c r="HG12" s="89"/>
      <c r="HH12" s="89"/>
      <c r="HI12" s="89"/>
      <c r="HJ12" s="89"/>
      <c r="HK12" s="89"/>
      <c r="HL12" s="89"/>
      <c r="HM12" s="89"/>
      <c r="HN12" s="89"/>
      <c r="HO12" s="89"/>
      <c r="HP12" s="89"/>
      <c r="HQ12" s="89"/>
      <c r="HR12" s="89"/>
      <c r="HS12" s="89"/>
      <c r="HT12" s="89"/>
      <c r="HU12" s="89"/>
      <c r="HV12" s="89"/>
      <c r="HW12" s="89"/>
      <c r="HX12" s="89"/>
      <c r="HY12" s="89"/>
      <c r="HZ12" s="89"/>
      <c r="IA12" s="89"/>
      <c r="IB12" s="89"/>
      <c r="IC12" s="89"/>
      <c r="ID12" s="89"/>
      <c r="IE12" s="89"/>
      <c r="IF12" s="89"/>
      <c r="IG12" s="89"/>
      <c r="IH12" s="89"/>
      <c r="II12" s="89"/>
      <c r="IJ12" s="89"/>
      <c r="IK12" s="89"/>
      <c r="IL12" s="89"/>
      <c r="IM12" s="89"/>
      <c r="IN12" s="89"/>
      <c r="IO12" s="89"/>
      <c r="IP12" s="89"/>
      <c r="IQ12" s="89"/>
      <c r="IR12" s="89"/>
      <c r="IS12" s="89"/>
      <c r="IT12" s="89"/>
      <c r="IU12" s="89"/>
      <c r="IV12" s="89"/>
      <c r="IW12" s="89"/>
      <c r="IX12" s="89"/>
      <c r="IY12" s="89"/>
      <c r="IZ12" s="89"/>
      <c r="JA12" s="89"/>
      <c r="JB12" s="89"/>
      <c r="JC12" s="89"/>
      <c r="JD12" s="89"/>
      <c r="JE12" s="89"/>
      <c r="JF12" s="89"/>
      <c r="JG12" s="89"/>
      <c r="JH12" s="89"/>
      <c r="JI12" s="89"/>
      <c r="JJ12" s="89"/>
      <c r="JK12" s="89"/>
      <c r="JL12" s="89"/>
      <c r="JM12" s="89"/>
      <c r="JN12" s="89"/>
      <c r="JO12" s="89"/>
      <c r="JP12" s="89"/>
      <c r="JQ12" s="89"/>
      <c r="JR12" s="89"/>
      <c r="JS12" s="89"/>
      <c r="JT12" s="89"/>
      <c r="JU12" s="89"/>
      <c r="JV12" s="89"/>
      <c r="JW12" s="89"/>
      <c r="JX12" s="89"/>
      <c r="JY12" s="89"/>
      <c r="JZ12" s="89"/>
      <c r="KA12" s="89"/>
      <c r="KB12" s="89"/>
      <c r="KC12" s="89"/>
      <c r="KD12" s="89"/>
      <c r="KE12" s="89"/>
      <c r="KF12" s="89"/>
      <c r="KG12" s="89"/>
      <c r="KH12" s="89"/>
      <c r="KI12" s="89"/>
      <c r="KJ12" s="89"/>
      <c r="KK12" s="89"/>
      <c r="KL12" s="89"/>
      <c r="KM12" s="89"/>
      <c r="KN12" s="89"/>
      <c r="KO12" s="89"/>
      <c r="KP12" s="89"/>
      <c r="KQ12" s="89"/>
      <c r="KR12" s="89"/>
      <c r="KS12" s="89"/>
      <c r="KT12" s="89"/>
      <c r="KU12" s="89"/>
      <c r="KV12" s="89"/>
      <c r="KW12" s="89"/>
      <c r="KX12" s="89"/>
      <c r="KY12" s="89"/>
      <c r="KZ12" s="89"/>
      <c r="LA12" s="89"/>
      <c r="LB12" s="89"/>
      <c r="LC12" s="89"/>
      <c r="LD12" s="89"/>
      <c r="LE12" s="89"/>
      <c r="LF12" s="89"/>
      <c r="LG12" s="89"/>
      <c r="LH12" s="89"/>
      <c r="LI12" s="89"/>
      <c r="LJ12" s="89"/>
      <c r="LK12" s="89"/>
      <c r="LL12" s="89"/>
      <c r="LM12" s="89"/>
      <c r="LN12" s="89"/>
      <c r="LO12" s="89"/>
      <c r="LP12" s="89"/>
      <c r="LQ12" s="89"/>
      <c r="LR12" s="89"/>
      <c r="LS12" s="89"/>
      <c r="LT12" s="89"/>
      <c r="LU12" s="89"/>
      <c r="LV12" s="89"/>
      <c r="LW12" s="89"/>
      <c r="LX12" s="89"/>
      <c r="LY12" s="89"/>
      <c r="LZ12" s="89"/>
      <c r="MA12" s="89"/>
      <c r="MB12" s="89"/>
      <c r="MC12" s="89"/>
      <c r="MD12" s="89"/>
      <c r="ME12" s="89"/>
      <c r="MF12" s="89"/>
      <c r="MG12" s="89"/>
    </row>
    <row r="13" spans="1:345" s="88" customFormat="1" ht="13" hidden="1" thickBot="1" x14ac:dyDescent="0.3">
      <c r="A13" s="89"/>
      <c r="B13" s="134"/>
      <c r="C13" s="134"/>
      <c r="D13" s="134"/>
      <c r="E13" s="89"/>
      <c r="F13" s="89"/>
      <c r="G13" s="89"/>
      <c r="H13" s="89"/>
      <c r="I13" s="89"/>
      <c r="J13" s="89"/>
      <c r="K13" s="89"/>
      <c r="L13" s="89"/>
      <c r="M13" s="89"/>
      <c r="N13" s="89"/>
      <c r="O13" s="89"/>
      <c r="P13" s="89"/>
      <c r="Q13" s="89"/>
      <c r="R13" s="89"/>
      <c r="S13" s="89"/>
      <c r="T13" s="89"/>
      <c r="U13" s="89"/>
      <c r="V13" s="89"/>
      <c r="W13" s="89"/>
      <c r="X13" s="89"/>
      <c r="Y13" s="89"/>
      <c r="Z13" s="89"/>
      <c r="AA13" s="89"/>
      <c r="AB13" s="89"/>
      <c r="AC13" s="89"/>
      <c r="AD13" s="89"/>
      <c r="AE13" s="89"/>
      <c r="AF13" s="89"/>
      <c r="AG13" s="89"/>
      <c r="AH13" s="89"/>
      <c r="AI13" s="89"/>
      <c r="AJ13" s="89"/>
      <c r="AK13" s="89"/>
      <c r="AL13" s="89"/>
      <c r="AM13" s="89"/>
      <c r="AN13" s="89"/>
      <c r="AO13" s="89"/>
      <c r="AP13" s="89"/>
      <c r="AQ13" s="89"/>
      <c r="AR13" s="89"/>
      <c r="AS13" s="89"/>
      <c r="AT13" s="89"/>
      <c r="AU13" s="89"/>
      <c r="AV13" s="89"/>
      <c r="AW13" s="89"/>
      <c r="AX13" s="89"/>
      <c r="AY13" s="89"/>
      <c r="AZ13" s="89"/>
      <c r="BA13" s="89"/>
      <c r="BB13" s="89"/>
      <c r="BC13" s="89"/>
      <c r="BD13" s="89"/>
      <c r="BE13" s="89"/>
      <c r="BF13" s="89"/>
      <c r="BG13" s="89"/>
      <c r="BH13" s="89"/>
      <c r="BI13" s="89"/>
      <c r="BJ13" s="89"/>
      <c r="BK13" s="89"/>
      <c r="BL13" s="89"/>
      <c r="BM13" s="89"/>
      <c r="BN13" s="89"/>
      <c r="BO13" s="89"/>
      <c r="BP13" s="89"/>
      <c r="BQ13" s="89"/>
      <c r="BR13" s="89"/>
      <c r="BS13" s="89"/>
      <c r="BT13" s="89"/>
      <c r="BU13" s="89"/>
      <c r="BV13" s="89"/>
      <c r="BW13" s="89"/>
      <c r="BX13" s="89"/>
      <c r="BY13" s="89"/>
      <c r="BZ13" s="89"/>
      <c r="CA13" s="89"/>
      <c r="CB13" s="89"/>
      <c r="CC13" s="89"/>
      <c r="CD13" s="89"/>
      <c r="CE13" s="89"/>
      <c r="CF13" s="89"/>
      <c r="CG13" s="89"/>
      <c r="CH13" s="89"/>
      <c r="CI13" s="89"/>
      <c r="CJ13" s="89"/>
      <c r="CK13" s="89"/>
      <c r="CL13" s="89"/>
      <c r="CM13" s="89"/>
      <c r="CN13" s="89"/>
      <c r="CO13" s="89"/>
      <c r="CP13" s="89"/>
      <c r="CQ13" s="89"/>
      <c r="CR13" s="89"/>
      <c r="CS13" s="89"/>
      <c r="CT13" s="89"/>
      <c r="CU13" s="89"/>
      <c r="CV13" s="89"/>
      <c r="CW13" s="89"/>
      <c r="CX13" s="89"/>
      <c r="CY13" s="89"/>
      <c r="CZ13" s="89"/>
      <c r="DA13" s="89"/>
      <c r="DB13" s="89"/>
      <c r="DC13" s="89"/>
      <c r="DD13" s="89"/>
      <c r="DE13" s="89"/>
      <c r="DF13" s="89"/>
      <c r="DG13" s="89"/>
      <c r="DH13" s="89"/>
      <c r="DI13" s="89"/>
      <c r="DJ13" s="89"/>
      <c r="DK13" s="89"/>
      <c r="DL13" s="89"/>
      <c r="DM13" s="89"/>
      <c r="DN13" s="89"/>
      <c r="DO13" s="89"/>
      <c r="DP13" s="89"/>
      <c r="DQ13" s="89"/>
      <c r="DR13" s="89"/>
      <c r="DS13" s="89"/>
      <c r="DT13" s="89"/>
      <c r="DU13" s="89"/>
      <c r="DV13" s="89"/>
      <c r="DW13" s="89"/>
      <c r="DX13" s="89"/>
      <c r="DY13" s="89"/>
      <c r="DZ13" s="89"/>
      <c r="EA13" s="89"/>
      <c r="EB13" s="89"/>
      <c r="EC13" s="89"/>
      <c r="ED13" s="89"/>
      <c r="EE13" s="89"/>
      <c r="EF13" s="89"/>
      <c r="EG13" s="89"/>
      <c r="EH13" s="89"/>
      <c r="EI13" s="89"/>
      <c r="EJ13" s="89"/>
      <c r="EK13" s="89"/>
      <c r="EL13" s="89"/>
      <c r="EM13" s="89"/>
      <c r="EN13" s="89"/>
      <c r="EO13" s="89"/>
      <c r="EP13" s="89"/>
      <c r="EQ13" s="89"/>
      <c r="ER13" s="89"/>
      <c r="ES13" s="89"/>
      <c r="ET13" s="89"/>
      <c r="EU13" s="89"/>
      <c r="EV13" s="89"/>
      <c r="EW13" s="89"/>
      <c r="EX13" s="89"/>
      <c r="EY13" s="89"/>
      <c r="EZ13" s="89"/>
      <c r="FA13" s="89"/>
      <c r="FB13" s="89"/>
      <c r="FC13" s="89"/>
      <c r="FD13" s="89"/>
      <c r="FE13" s="89"/>
      <c r="FF13" s="89"/>
      <c r="FG13" s="89"/>
      <c r="FH13" s="89"/>
      <c r="FI13" s="89"/>
      <c r="FJ13" s="89"/>
      <c r="FK13" s="89"/>
      <c r="FL13" s="89"/>
      <c r="FM13" s="89"/>
      <c r="FN13" s="89"/>
      <c r="FO13" s="89"/>
      <c r="FP13" s="89"/>
      <c r="FQ13" s="89"/>
      <c r="FR13" s="89"/>
      <c r="FS13" s="89"/>
      <c r="FT13" s="89"/>
      <c r="FU13" s="89"/>
      <c r="FV13" s="89"/>
      <c r="FW13" s="89"/>
      <c r="FX13" s="89"/>
      <c r="FY13" s="89"/>
      <c r="FZ13" s="89"/>
      <c r="GA13" s="89"/>
      <c r="GB13" s="89"/>
      <c r="GC13" s="89"/>
      <c r="GD13" s="89"/>
      <c r="GE13" s="89"/>
      <c r="GF13" s="89"/>
      <c r="GG13" s="89"/>
      <c r="GH13" s="89"/>
      <c r="GI13" s="89"/>
      <c r="GJ13" s="89"/>
      <c r="GK13" s="89"/>
      <c r="GL13" s="89"/>
      <c r="GM13" s="89"/>
      <c r="GN13" s="89"/>
      <c r="GO13" s="89"/>
      <c r="GP13" s="89"/>
      <c r="GQ13" s="89"/>
      <c r="GR13" s="89"/>
      <c r="GS13" s="89"/>
      <c r="GT13" s="89"/>
      <c r="GU13" s="89"/>
      <c r="GV13" s="89"/>
      <c r="GW13" s="89"/>
      <c r="GX13" s="89"/>
      <c r="GY13" s="89"/>
      <c r="GZ13" s="89"/>
      <c r="HA13" s="89"/>
      <c r="HB13" s="89"/>
      <c r="HC13" s="89"/>
      <c r="HD13" s="89"/>
      <c r="HE13" s="89"/>
      <c r="HF13" s="89"/>
      <c r="HG13" s="89"/>
      <c r="HH13" s="89"/>
      <c r="HI13" s="89"/>
      <c r="HJ13" s="89"/>
      <c r="HK13" s="89"/>
      <c r="HL13" s="89"/>
      <c r="HM13" s="89"/>
      <c r="HN13" s="89"/>
      <c r="HO13" s="89"/>
      <c r="HP13" s="89"/>
      <c r="HQ13" s="89"/>
      <c r="HR13" s="89"/>
      <c r="HS13" s="89"/>
      <c r="HT13" s="89"/>
      <c r="HU13" s="89"/>
      <c r="HV13" s="89"/>
      <c r="HW13" s="89"/>
      <c r="HX13" s="89"/>
      <c r="HY13" s="89"/>
      <c r="HZ13" s="89"/>
      <c r="IA13" s="89"/>
      <c r="IB13" s="89"/>
      <c r="IC13" s="89"/>
      <c r="ID13" s="89"/>
      <c r="IE13" s="89"/>
      <c r="IF13" s="89"/>
      <c r="IG13" s="89"/>
      <c r="IH13" s="89"/>
      <c r="II13" s="89"/>
      <c r="IJ13" s="89"/>
      <c r="IK13" s="89"/>
      <c r="IL13" s="89"/>
      <c r="IM13" s="89"/>
      <c r="IN13" s="89"/>
      <c r="IO13" s="89"/>
      <c r="IP13" s="89"/>
      <c r="IQ13" s="89"/>
      <c r="IR13" s="89"/>
      <c r="IS13" s="89"/>
      <c r="IT13" s="89"/>
      <c r="IU13" s="89"/>
      <c r="IV13" s="89"/>
      <c r="IW13" s="89"/>
      <c r="IX13" s="89"/>
      <c r="IY13" s="89"/>
      <c r="IZ13" s="89"/>
      <c r="JA13" s="89"/>
      <c r="JB13" s="89"/>
      <c r="JC13" s="89"/>
      <c r="JD13" s="89"/>
      <c r="JE13" s="89"/>
      <c r="JF13" s="89"/>
      <c r="JG13" s="89"/>
      <c r="JH13" s="89"/>
      <c r="JI13" s="89"/>
      <c r="JJ13" s="89"/>
      <c r="JK13" s="89"/>
      <c r="JL13" s="89"/>
      <c r="JM13" s="89"/>
      <c r="JN13" s="89"/>
      <c r="JO13" s="89"/>
      <c r="JP13" s="89"/>
      <c r="JQ13" s="89"/>
      <c r="JR13" s="89"/>
      <c r="JS13" s="89"/>
      <c r="JT13" s="89"/>
      <c r="JU13" s="89"/>
      <c r="JV13" s="89"/>
      <c r="JW13" s="89"/>
      <c r="JX13" s="89"/>
      <c r="JY13" s="89"/>
      <c r="JZ13" s="89"/>
      <c r="KA13" s="89"/>
      <c r="KB13" s="89"/>
      <c r="KC13" s="89"/>
      <c r="KD13" s="89"/>
      <c r="KE13" s="89"/>
      <c r="KF13" s="89"/>
      <c r="KG13" s="89"/>
      <c r="KH13" s="89"/>
      <c r="KI13" s="89"/>
      <c r="KJ13" s="89"/>
      <c r="KK13" s="89"/>
      <c r="KL13" s="89"/>
      <c r="KM13" s="89"/>
      <c r="KN13" s="89"/>
      <c r="KO13" s="89"/>
      <c r="KP13" s="89"/>
      <c r="KQ13" s="89"/>
      <c r="KR13" s="89"/>
      <c r="KS13" s="89"/>
      <c r="KT13" s="89"/>
      <c r="KU13" s="89"/>
      <c r="KV13" s="89"/>
      <c r="KW13" s="89"/>
      <c r="KX13" s="89"/>
      <c r="KY13" s="89"/>
      <c r="KZ13" s="89"/>
      <c r="LA13" s="89"/>
      <c r="LB13" s="89"/>
      <c r="LC13" s="89"/>
      <c r="LD13" s="89"/>
      <c r="LE13" s="89"/>
      <c r="LF13" s="89"/>
      <c r="LG13" s="89"/>
      <c r="LH13" s="89"/>
      <c r="LI13" s="89"/>
      <c r="LJ13" s="89"/>
      <c r="LK13" s="89"/>
      <c r="LL13" s="89"/>
      <c r="LM13" s="89"/>
      <c r="LN13" s="89"/>
      <c r="LO13" s="89"/>
      <c r="LP13" s="89"/>
      <c r="LQ13" s="89"/>
      <c r="LR13" s="89"/>
      <c r="LS13" s="89"/>
      <c r="LT13" s="89"/>
      <c r="LU13" s="89"/>
      <c r="LV13" s="89"/>
      <c r="LW13" s="89"/>
      <c r="LX13" s="89"/>
      <c r="LY13" s="89"/>
      <c r="LZ13" s="89"/>
      <c r="MA13" s="89"/>
      <c r="MB13" s="89"/>
      <c r="MC13" s="89"/>
      <c r="MD13" s="89"/>
      <c r="ME13" s="89"/>
      <c r="MF13" s="89"/>
      <c r="MG13" s="89"/>
    </row>
    <row r="14" spans="1:345" s="88" customFormat="1" ht="13" hidden="1" thickBot="1" x14ac:dyDescent="0.3">
      <c r="A14" s="89"/>
      <c r="B14" s="135"/>
      <c r="C14" s="135"/>
      <c r="D14" s="135"/>
      <c r="E14" s="89"/>
      <c r="F14" s="89"/>
      <c r="G14" s="89"/>
      <c r="H14" s="89"/>
      <c r="I14" s="89"/>
      <c r="J14" s="89"/>
      <c r="K14" s="89"/>
      <c r="L14" s="89"/>
      <c r="M14" s="89"/>
      <c r="N14" s="89"/>
      <c r="O14" s="89"/>
      <c r="P14" s="89"/>
      <c r="Q14" s="89"/>
      <c r="R14" s="89"/>
      <c r="S14" s="89"/>
      <c r="T14" s="89"/>
      <c r="U14" s="89"/>
      <c r="V14" s="89"/>
      <c r="W14" s="89"/>
      <c r="X14" s="89"/>
      <c r="Y14" s="89"/>
      <c r="Z14" s="89"/>
      <c r="AA14" s="89"/>
      <c r="AB14" s="89"/>
      <c r="AC14" s="89"/>
      <c r="AD14" s="89"/>
      <c r="AE14" s="89"/>
      <c r="AF14" s="89"/>
      <c r="AG14" s="89"/>
      <c r="AH14" s="89"/>
      <c r="AI14" s="89"/>
      <c r="AJ14" s="89"/>
      <c r="AK14" s="89"/>
      <c r="AL14" s="89"/>
      <c r="AM14" s="89"/>
      <c r="AN14" s="89"/>
      <c r="AO14" s="89"/>
      <c r="AP14" s="89"/>
      <c r="AQ14" s="89"/>
      <c r="AR14" s="89"/>
      <c r="AS14" s="89"/>
      <c r="AT14" s="89"/>
      <c r="AU14" s="89"/>
      <c r="AV14" s="89"/>
      <c r="AW14" s="89"/>
      <c r="AX14" s="89"/>
      <c r="AY14" s="89"/>
      <c r="AZ14" s="89"/>
      <c r="BA14" s="89"/>
      <c r="BB14" s="89"/>
      <c r="BC14" s="89"/>
      <c r="BD14" s="89"/>
      <c r="BE14" s="89"/>
      <c r="BF14" s="89"/>
      <c r="BG14" s="89"/>
      <c r="BH14" s="89"/>
      <c r="BI14" s="89"/>
      <c r="BJ14" s="89"/>
      <c r="BK14" s="89"/>
      <c r="BL14" s="89"/>
      <c r="BM14" s="89"/>
      <c r="BN14" s="89"/>
      <c r="BO14" s="89"/>
      <c r="BP14" s="89"/>
      <c r="BQ14" s="89"/>
      <c r="BR14" s="89"/>
      <c r="BS14" s="89"/>
      <c r="BT14" s="89"/>
      <c r="BU14" s="89"/>
      <c r="BV14" s="89"/>
      <c r="BW14" s="89"/>
      <c r="BX14" s="89"/>
      <c r="BY14" s="89"/>
      <c r="BZ14" s="89"/>
      <c r="CA14" s="89"/>
      <c r="CB14" s="89"/>
      <c r="CC14" s="89"/>
      <c r="CD14" s="89"/>
      <c r="CE14" s="89"/>
      <c r="CF14" s="89"/>
      <c r="CG14" s="89"/>
      <c r="CH14" s="89"/>
      <c r="CI14" s="89"/>
      <c r="CJ14" s="89"/>
      <c r="CK14" s="89"/>
      <c r="CL14" s="89"/>
      <c r="CM14" s="89"/>
      <c r="CN14" s="89"/>
      <c r="CO14" s="89"/>
      <c r="CP14" s="89"/>
      <c r="CQ14" s="89"/>
      <c r="CR14" s="89"/>
      <c r="CS14" s="89"/>
      <c r="CT14" s="89"/>
      <c r="CU14" s="89"/>
      <c r="CV14" s="89"/>
      <c r="CW14" s="89"/>
      <c r="CX14" s="89"/>
      <c r="CY14" s="89"/>
      <c r="CZ14" s="89"/>
      <c r="DA14" s="89"/>
      <c r="DB14" s="89"/>
      <c r="DC14" s="89"/>
      <c r="DD14" s="89"/>
      <c r="DE14" s="89"/>
      <c r="DF14" s="89"/>
      <c r="DG14" s="89"/>
      <c r="DH14" s="89"/>
      <c r="DI14" s="89"/>
      <c r="DJ14" s="89"/>
      <c r="DK14" s="89"/>
      <c r="DL14" s="89"/>
      <c r="DM14" s="89"/>
      <c r="DN14" s="89"/>
      <c r="DO14" s="89"/>
      <c r="DP14" s="89"/>
      <c r="DQ14" s="89"/>
      <c r="DR14" s="89"/>
      <c r="DS14" s="89"/>
      <c r="DT14" s="89"/>
      <c r="DU14" s="89"/>
      <c r="DV14" s="89"/>
      <c r="DW14" s="89"/>
      <c r="DX14" s="89"/>
      <c r="DY14" s="89"/>
      <c r="DZ14" s="89"/>
      <c r="EA14" s="89"/>
      <c r="EB14" s="89"/>
      <c r="EC14" s="89"/>
      <c r="ED14" s="89"/>
      <c r="EE14" s="89"/>
      <c r="EF14" s="89"/>
      <c r="EG14" s="89"/>
      <c r="EH14" s="89"/>
      <c r="EI14" s="89"/>
      <c r="EJ14" s="89"/>
      <c r="EK14" s="89"/>
      <c r="EL14" s="89"/>
      <c r="EM14" s="89"/>
      <c r="EN14" s="89"/>
      <c r="EO14" s="89"/>
      <c r="EP14" s="89"/>
      <c r="EQ14" s="89"/>
      <c r="ER14" s="89"/>
      <c r="ES14" s="89"/>
      <c r="ET14" s="89"/>
      <c r="EU14" s="89"/>
      <c r="EV14" s="89"/>
      <c r="EW14" s="89"/>
      <c r="EX14" s="89"/>
      <c r="EY14" s="89"/>
      <c r="EZ14" s="89"/>
      <c r="FA14" s="89"/>
      <c r="FB14" s="89"/>
      <c r="FC14" s="89"/>
      <c r="FD14" s="89"/>
      <c r="FE14" s="89"/>
      <c r="FF14" s="89"/>
      <c r="FG14" s="89"/>
      <c r="FH14" s="89"/>
      <c r="FI14" s="89"/>
      <c r="FJ14" s="89"/>
      <c r="FK14" s="89"/>
      <c r="FL14" s="89"/>
      <c r="FM14" s="89"/>
      <c r="FN14" s="89"/>
      <c r="FO14" s="89"/>
      <c r="FP14" s="89"/>
      <c r="FQ14" s="89"/>
      <c r="FR14" s="89"/>
      <c r="FS14" s="89"/>
      <c r="FT14" s="89"/>
      <c r="FU14" s="89"/>
      <c r="FV14" s="89"/>
      <c r="FW14" s="89"/>
      <c r="FX14" s="89"/>
      <c r="FY14" s="89"/>
      <c r="FZ14" s="89"/>
      <c r="GA14" s="89"/>
      <c r="GB14" s="89"/>
      <c r="GC14" s="89"/>
      <c r="GD14" s="89"/>
      <c r="GE14" s="89"/>
      <c r="GF14" s="89"/>
      <c r="GG14" s="89"/>
      <c r="GH14" s="89"/>
      <c r="GI14" s="89"/>
      <c r="GJ14" s="89"/>
      <c r="GK14" s="89"/>
      <c r="GL14" s="89"/>
      <c r="GM14" s="89"/>
      <c r="GN14" s="89"/>
      <c r="GO14" s="89"/>
      <c r="GP14" s="89"/>
      <c r="GQ14" s="89"/>
      <c r="GR14" s="89"/>
      <c r="GS14" s="89"/>
      <c r="GT14" s="89"/>
      <c r="GU14" s="89"/>
      <c r="GV14" s="89"/>
      <c r="GW14" s="89"/>
      <c r="GX14" s="89"/>
      <c r="GY14" s="89"/>
      <c r="GZ14" s="89"/>
      <c r="HA14" s="89"/>
      <c r="HB14" s="89"/>
      <c r="HC14" s="89"/>
      <c r="HD14" s="89"/>
      <c r="HE14" s="89"/>
      <c r="HF14" s="89"/>
      <c r="HG14" s="89"/>
      <c r="HH14" s="89"/>
      <c r="HI14" s="89"/>
      <c r="HJ14" s="89"/>
      <c r="HK14" s="89"/>
      <c r="HL14" s="89"/>
      <c r="HM14" s="89"/>
      <c r="HN14" s="89"/>
      <c r="HO14" s="89"/>
      <c r="HP14" s="89"/>
      <c r="HQ14" s="89"/>
      <c r="HR14" s="89"/>
      <c r="HS14" s="89"/>
      <c r="HT14" s="89"/>
      <c r="HU14" s="89"/>
      <c r="HV14" s="89"/>
      <c r="HW14" s="89"/>
      <c r="HX14" s="89"/>
      <c r="HY14" s="89"/>
      <c r="HZ14" s="89"/>
      <c r="IA14" s="89"/>
      <c r="IB14" s="89"/>
      <c r="IC14" s="89"/>
      <c r="ID14" s="89"/>
      <c r="IE14" s="89"/>
      <c r="IF14" s="89"/>
      <c r="IG14" s="89"/>
      <c r="IH14" s="89"/>
      <c r="II14" s="89"/>
      <c r="IJ14" s="89"/>
      <c r="IK14" s="89"/>
      <c r="IL14" s="89"/>
      <c r="IM14" s="89"/>
      <c r="IN14" s="89"/>
      <c r="IO14" s="89"/>
      <c r="IP14" s="89"/>
      <c r="IQ14" s="89"/>
      <c r="IR14" s="89"/>
      <c r="IS14" s="89"/>
      <c r="IT14" s="89"/>
      <c r="IU14" s="89"/>
      <c r="IV14" s="89"/>
      <c r="IW14" s="89"/>
      <c r="IX14" s="89"/>
      <c r="IY14" s="89"/>
      <c r="IZ14" s="89"/>
      <c r="JA14" s="89"/>
      <c r="JB14" s="89"/>
      <c r="JC14" s="89"/>
      <c r="JD14" s="89"/>
      <c r="JE14" s="89"/>
      <c r="JF14" s="89"/>
      <c r="JG14" s="89"/>
      <c r="JH14" s="89"/>
      <c r="JI14" s="89"/>
      <c r="JJ14" s="89"/>
      <c r="JK14" s="89"/>
      <c r="JL14" s="89"/>
      <c r="JM14" s="89"/>
      <c r="JN14" s="89"/>
      <c r="JO14" s="89"/>
      <c r="JP14" s="89"/>
      <c r="JQ14" s="89"/>
      <c r="JR14" s="89"/>
      <c r="JS14" s="89"/>
      <c r="JT14" s="89"/>
      <c r="JU14" s="89"/>
      <c r="JV14" s="89"/>
      <c r="JW14" s="89"/>
      <c r="JX14" s="89"/>
      <c r="JY14" s="89"/>
      <c r="JZ14" s="89"/>
      <c r="KA14" s="89"/>
      <c r="KB14" s="89"/>
      <c r="KC14" s="89"/>
      <c r="KD14" s="89"/>
      <c r="KE14" s="89"/>
      <c r="KF14" s="89"/>
      <c r="KG14" s="89"/>
      <c r="KH14" s="89"/>
      <c r="KI14" s="89"/>
      <c r="KJ14" s="89"/>
      <c r="KK14" s="89"/>
      <c r="KL14" s="89"/>
      <c r="KM14" s="89"/>
      <c r="KN14" s="89"/>
      <c r="KO14" s="89"/>
      <c r="KP14" s="89"/>
      <c r="KQ14" s="89"/>
      <c r="KR14" s="89"/>
      <c r="KS14" s="89"/>
      <c r="KT14" s="89"/>
      <c r="KU14" s="89"/>
      <c r="KV14" s="89"/>
      <c r="KW14" s="89"/>
      <c r="KX14" s="89"/>
      <c r="KY14" s="89"/>
      <c r="KZ14" s="89"/>
      <c r="LA14" s="89"/>
      <c r="LB14" s="89"/>
      <c r="LC14" s="89"/>
      <c r="LD14" s="89"/>
      <c r="LE14" s="89"/>
      <c r="LF14" s="89"/>
      <c r="LG14" s="89"/>
      <c r="LH14" s="89"/>
      <c r="LI14" s="89"/>
      <c r="LJ14" s="89"/>
      <c r="LK14" s="89"/>
      <c r="LL14" s="89"/>
      <c r="LM14" s="89"/>
      <c r="LN14" s="89"/>
      <c r="LO14" s="89"/>
      <c r="LP14" s="89"/>
      <c r="LQ14" s="89"/>
      <c r="LR14" s="89"/>
      <c r="LS14" s="89"/>
      <c r="LT14" s="89"/>
      <c r="LU14" s="89"/>
      <c r="LV14" s="89"/>
      <c r="LW14" s="89"/>
      <c r="LX14" s="89"/>
      <c r="LY14" s="89"/>
      <c r="LZ14" s="89"/>
      <c r="MA14" s="89"/>
      <c r="MB14" s="89"/>
      <c r="MC14" s="89"/>
      <c r="MD14" s="89"/>
      <c r="ME14" s="89"/>
      <c r="MF14" s="89"/>
      <c r="MG14" s="89"/>
    </row>
    <row r="15" spans="1:345" ht="39" x14ac:dyDescent="0.25">
      <c r="B15" s="87" t="s">
        <v>0</v>
      </c>
      <c r="C15" s="86" t="s">
        <v>1</v>
      </c>
      <c r="D15" s="86" t="s">
        <v>6</v>
      </c>
      <c r="E15" s="86" t="s">
        <v>2</v>
      </c>
      <c r="F15" s="86" t="s">
        <v>49</v>
      </c>
      <c r="G15" s="86" t="s">
        <v>3</v>
      </c>
      <c r="H15" s="86" t="s">
        <v>45</v>
      </c>
      <c r="I15" s="86" t="s">
        <v>46</v>
      </c>
      <c r="J15" s="86" t="s">
        <v>4</v>
      </c>
      <c r="K15" s="86" t="s">
        <v>5</v>
      </c>
      <c r="L15" s="86" t="s">
        <v>7</v>
      </c>
      <c r="M15" s="85" t="s">
        <v>4441</v>
      </c>
      <c r="N15" s="85" t="s">
        <v>44</v>
      </c>
      <c r="O15" s="85" t="s">
        <v>208</v>
      </c>
    </row>
    <row r="16" spans="1:345" ht="36" hidden="1" customHeight="1" x14ac:dyDescent="0.25">
      <c r="B16" s="84">
        <v>1646</v>
      </c>
      <c r="C16" s="83" t="s">
        <v>12</v>
      </c>
      <c r="D16" s="82" t="s">
        <v>1156</v>
      </c>
      <c r="E16" s="81">
        <v>18145</v>
      </c>
      <c r="F16" s="27">
        <f t="shared" ref="F16:F79" ca="1" si="0">IF(E16&lt;&gt;"",TODAY()-E16,"")</f>
        <v>26328</v>
      </c>
      <c r="G16" s="79"/>
      <c r="H16" s="80"/>
      <c r="I16" s="80"/>
      <c r="J16" s="79"/>
      <c r="K16" s="78"/>
      <c r="L16" s="77">
        <v>43713</v>
      </c>
      <c r="M16" s="68"/>
      <c r="N16" s="76" t="s">
        <v>686</v>
      </c>
      <c r="O16" s="75" t="s">
        <v>1157</v>
      </c>
      <c r="R16" s="74"/>
    </row>
    <row r="17" spans="2:18" ht="36" hidden="1" customHeight="1" x14ac:dyDescent="0.25">
      <c r="B17" s="84">
        <v>1643</v>
      </c>
      <c r="C17" s="83" t="s">
        <v>36</v>
      </c>
      <c r="D17" s="82" t="s">
        <v>885</v>
      </c>
      <c r="E17" s="81">
        <v>39704</v>
      </c>
      <c r="F17" s="27">
        <f t="shared" ca="1" si="0"/>
        <v>4769</v>
      </c>
      <c r="G17" s="79" t="s">
        <v>603</v>
      </c>
      <c r="H17" s="80"/>
      <c r="I17" s="80"/>
      <c r="J17" s="79" t="s">
        <v>592</v>
      </c>
      <c r="K17" s="78" t="s">
        <v>580</v>
      </c>
      <c r="L17" s="77">
        <v>43361</v>
      </c>
      <c r="M17" s="68"/>
      <c r="N17" s="76"/>
      <c r="O17" s="75" t="s">
        <v>886</v>
      </c>
      <c r="R17" s="74"/>
    </row>
    <row r="18" spans="2:18" ht="36" hidden="1" customHeight="1" x14ac:dyDescent="0.25">
      <c r="B18" s="84">
        <v>1641</v>
      </c>
      <c r="C18" s="83" t="s">
        <v>40</v>
      </c>
      <c r="D18" s="82" t="s">
        <v>582</v>
      </c>
      <c r="E18" s="81">
        <v>42716</v>
      </c>
      <c r="F18" s="27">
        <f t="shared" ca="1" si="0"/>
        <v>1757</v>
      </c>
      <c r="G18" s="79" t="s">
        <v>578</v>
      </c>
      <c r="H18" s="80"/>
      <c r="I18" s="80"/>
      <c r="J18" s="79" t="s">
        <v>579</v>
      </c>
      <c r="K18" s="78" t="s">
        <v>580</v>
      </c>
      <c r="L18" s="77">
        <v>42796</v>
      </c>
      <c r="M18" s="68"/>
      <c r="N18" s="76"/>
      <c r="O18" s="75" t="s">
        <v>583</v>
      </c>
      <c r="R18" s="74"/>
    </row>
    <row r="19" spans="2:18" ht="36" hidden="1" customHeight="1" x14ac:dyDescent="0.25">
      <c r="B19" s="84">
        <v>1817</v>
      </c>
      <c r="C19" s="83" t="s">
        <v>40</v>
      </c>
      <c r="D19" s="82" t="s">
        <v>1455</v>
      </c>
      <c r="E19" s="81">
        <v>42744</v>
      </c>
      <c r="F19" s="27">
        <f t="shared" ca="1" si="0"/>
        <v>1729</v>
      </c>
      <c r="G19" s="79" t="s">
        <v>599</v>
      </c>
      <c r="H19" s="80"/>
      <c r="I19" s="80"/>
      <c r="J19" s="79" t="s">
        <v>592</v>
      </c>
      <c r="K19" s="78" t="s">
        <v>623</v>
      </c>
      <c r="L19" s="77">
        <v>42787</v>
      </c>
      <c r="M19" s="68"/>
      <c r="N19" s="76" t="s">
        <v>1456</v>
      </c>
      <c r="O19" s="75" t="s">
        <v>1457</v>
      </c>
      <c r="R19" s="74"/>
    </row>
    <row r="20" spans="2:18" ht="36" hidden="1" customHeight="1" x14ac:dyDescent="0.25">
      <c r="B20" s="84">
        <v>1641</v>
      </c>
      <c r="C20" s="83" t="s">
        <v>38</v>
      </c>
      <c r="D20" s="82" t="s">
        <v>585</v>
      </c>
      <c r="E20" s="81">
        <v>42745</v>
      </c>
      <c r="F20" s="27">
        <f t="shared" ca="1" si="0"/>
        <v>1728</v>
      </c>
      <c r="G20" s="79" t="s">
        <v>586</v>
      </c>
      <c r="H20" s="80"/>
      <c r="I20" s="80"/>
      <c r="J20" s="79" t="s">
        <v>579</v>
      </c>
      <c r="K20" s="78" t="s">
        <v>580</v>
      </c>
      <c r="L20" s="77">
        <v>42800</v>
      </c>
      <c r="M20" s="68"/>
      <c r="N20" s="76"/>
      <c r="O20" s="75" t="s">
        <v>587</v>
      </c>
      <c r="R20" s="74"/>
    </row>
    <row r="21" spans="2:18" ht="36" hidden="1" customHeight="1" x14ac:dyDescent="0.25">
      <c r="B21" s="84">
        <v>1825</v>
      </c>
      <c r="C21" s="83" t="s">
        <v>24</v>
      </c>
      <c r="D21" s="82" t="s">
        <v>2941</v>
      </c>
      <c r="E21" s="81">
        <v>42752</v>
      </c>
      <c r="F21" s="27">
        <f t="shared" ca="1" si="0"/>
        <v>1721</v>
      </c>
      <c r="G21" s="79" t="s">
        <v>2942</v>
      </c>
      <c r="H21" s="80"/>
      <c r="I21" s="80"/>
      <c r="J21" s="79" t="s">
        <v>1301</v>
      </c>
      <c r="K21" s="78" t="s">
        <v>1301</v>
      </c>
      <c r="L21" s="77">
        <v>42787</v>
      </c>
      <c r="M21" s="68"/>
      <c r="N21" s="76" t="s">
        <v>2943</v>
      </c>
      <c r="O21" s="75" t="s">
        <v>2944</v>
      </c>
      <c r="R21" s="74"/>
    </row>
    <row r="22" spans="2:18" ht="36" hidden="1" customHeight="1" x14ac:dyDescent="0.25">
      <c r="B22" s="84">
        <v>1823</v>
      </c>
      <c r="C22" s="83" t="s">
        <v>24</v>
      </c>
      <c r="D22" s="82" t="s">
        <v>2490</v>
      </c>
      <c r="E22" s="81">
        <v>42753</v>
      </c>
      <c r="F22" s="27">
        <f t="shared" ca="1" si="0"/>
        <v>1720</v>
      </c>
      <c r="G22" s="79" t="s">
        <v>2491</v>
      </c>
      <c r="H22" s="80"/>
      <c r="I22" s="80"/>
      <c r="J22" s="79" t="s">
        <v>579</v>
      </c>
      <c r="K22" s="78" t="s">
        <v>623</v>
      </c>
      <c r="L22" s="77">
        <v>42776</v>
      </c>
      <c r="M22" s="68"/>
      <c r="N22" s="76"/>
      <c r="O22" s="75" t="s">
        <v>2389</v>
      </c>
      <c r="R22" s="74"/>
    </row>
    <row r="23" spans="2:18" ht="36" hidden="1" customHeight="1" x14ac:dyDescent="0.25">
      <c r="B23" s="84">
        <v>1823</v>
      </c>
      <c r="C23" s="83" t="s">
        <v>40</v>
      </c>
      <c r="D23" s="82" t="s">
        <v>2495</v>
      </c>
      <c r="E23" s="81">
        <v>42753</v>
      </c>
      <c r="F23" s="27">
        <f t="shared" ca="1" si="0"/>
        <v>1720</v>
      </c>
      <c r="G23" s="79" t="s">
        <v>599</v>
      </c>
      <c r="H23" s="80"/>
      <c r="I23" s="80"/>
      <c r="J23" s="79" t="s">
        <v>592</v>
      </c>
      <c r="K23" s="78" t="s">
        <v>623</v>
      </c>
      <c r="L23" s="77">
        <v>42787</v>
      </c>
      <c r="M23" s="68"/>
      <c r="N23" s="76"/>
      <c r="O23" s="75" t="s">
        <v>2496</v>
      </c>
      <c r="R23" s="74"/>
    </row>
    <row r="24" spans="2:18" ht="36" hidden="1" customHeight="1" x14ac:dyDescent="0.25">
      <c r="B24" s="84">
        <v>1819</v>
      </c>
      <c r="C24" s="83" t="s">
        <v>20</v>
      </c>
      <c r="D24" s="82" t="s">
        <v>1824</v>
      </c>
      <c r="E24" s="81">
        <v>42754</v>
      </c>
      <c r="F24" s="27">
        <f t="shared" ca="1" si="0"/>
        <v>1719</v>
      </c>
      <c r="G24" s="79" t="s">
        <v>599</v>
      </c>
      <c r="H24" s="80"/>
      <c r="I24" s="80"/>
      <c r="J24" s="79" t="s">
        <v>592</v>
      </c>
      <c r="K24" s="78" t="s">
        <v>623</v>
      </c>
      <c r="L24" s="77">
        <v>42787</v>
      </c>
      <c r="M24" s="68"/>
      <c r="N24" s="76"/>
      <c r="O24" s="75" t="s">
        <v>1825</v>
      </c>
      <c r="R24" s="74"/>
    </row>
    <row r="25" spans="2:18" ht="36" hidden="1" customHeight="1" x14ac:dyDescent="0.25">
      <c r="B25" s="84">
        <v>1821</v>
      </c>
      <c r="C25" s="83" t="s">
        <v>40</v>
      </c>
      <c r="D25" s="82" t="s">
        <v>2250</v>
      </c>
      <c r="E25" s="81">
        <v>42754</v>
      </c>
      <c r="F25" s="27">
        <f t="shared" ca="1" si="0"/>
        <v>1719</v>
      </c>
      <c r="G25" s="79" t="s">
        <v>2251</v>
      </c>
      <c r="H25" s="80"/>
      <c r="I25" s="80"/>
      <c r="J25" s="79" t="s">
        <v>579</v>
      </c>
      <c r="K25" s="78" t="s">
        <v>623</v>
      </c>
      <c r="L25" s="77">
        <v>42804</v>
      </c>
      <c r="M25" s="68"/>
      <c r="N25" s="76"/>
      <c r="O25" s="75" t="s">
        <v>1264</v>
      </c>
      <c r="R25" s="74"/>
    </row>
    <row r="26" spans="2:18" ht="36" hidden="1" customHeight="1" x14ac:dyDescent="0.25">
      <c r="B26" s="84">
        <v>1829</v>
      </c>
      <c r="C26" s="83" t="s">
        <v>40</v>
      </c>
      <c r="D26" s="82" t="s">
        <v>1263</v>
      </c>
      <c r="E26" s="81">
        <v>42755</v>
      </c>
      <c r="F26" s="27">
        <f t="shared" ca="1" si="0"/>
        <v>1718</v>
      </c>
      <c r="G26" s="79" t="s">
        <v>1723</v>
      </c>
      <c r="H26" s="80"/>
      <c r="I26" s="80"/>
      <c r="J26" s="79" t="s">
        <v>579</v>
      </c>
      <c r="K26" s="78" t="s">
        <v>623</v>
      </c>
      <c r="L26" s="77">
        <v>42804</v>
      </c>
      <c r="M26" s="68"/>
      <c r="N26" s="76"/>
      <c r="O26" s="75" t="s">
        <v>1264</v>
      </c>
      <c r="R26" s="74"/>
    </row>
    <row r="27" spans="2:18" ht="36" hidden="1" customHeight="1" x14ac:dyDescent="0.25">
      <c r="B27" s="84">
        <v>1823</v>
      </c>
      <c r="C27" s="83" t="s">
        <v>23</v>
      </c>
      <c r="D27" s="82" t="s">
        <v>1655</v>
      </c>
      <c r="E27" s="81">
        <v>42758</v>
      </c>
      <c r="F27" s="27">
        <f t="shared" ca="1" si="0"/>
        <v>1715</v>
      </c>
      <c r="G27" s="79" t="s">
        <v>2491</v>
      </c>
      <c r="H27" s="80"/>
      <c r="I27" s="80"/>
      <c r="J27" s="79" t="s">
        <v>579</v>
      </c>
      <c r="K27" s="78" t="s">
        <v>623</v>
      </c>
      <c r="L27" s="77">
        <v>42776</v>
      </c>
      <c r="M27" s="68"/>
      <c r="N27" s="76"/>
      <c r="O27" s="75" t="s">
        <v>2492</v>
      </c>
      <c r="R27" s="74"/>
    </row>
    <row r="28" spans="2:18" ht="36" hidden="1" customHeight="1" x14ac:dyDescent="0.25">
      <c r="B28" s="84">
        <v>1823</v>
      </c>
      <c r="C28" s="83" t="s">
        <v>40</v>
      </c>
      <c r="D28" s="82" t="s">
        <v>2493</v>
      </c>
      <c r="E28" s="81">
        <v>42758</v>
      </c>
      <c r="F28" s="27">
        <f t="shared" ca="1" si="0"/>
        <v>1715</v>
      </c>
      <c r="G28" s="79" t="s">
        <v>2491</v>
      </c>
      <c r="H28" s="80"/>
      <c r="I28" s="80"/>
      <c r="J28" s="79" t="s">
        <v>579</v>
      </c>
      <c r="K28" s="78" t="s">
        <v>623</v>
      </c>
      <c r="L28" s="77">
        <v>42776</v>
      </c>
      <c r="M28" s="68"/>
      <c r="N28" s="76"/>
      <c r="O28" s="75" t="s">
        <v>2494</v>
      </c>
      <c r="R28" s="74"/>
    </row>
    <row r="29" spans="2:18" ht="36" hidden="1" customHeight="1" x14ac:dyDescent="0.25">
      <c r="B29" s="84">
        <v>1819</v>
      </c>
      <c r="C29" s="83" t="s">
        <v>23</v>
      </c>
      <c r="D29" s="82" t="s">
        <v>1826</v>
      </c>
      <c r="E29" s="81">
        <v>42761</v>
      </c>
      <c r="F29" s="27">
        <f t="shared" ca="1" si="0"/>
        <v>1712</v>
      </c>
      <c r="G29" s="79" t="s">
        <v>599</v>
      </c>
      <c r="H29" s="80"/>
      <c r="I29" s="80"/>
      <c r="J29" s="79" t="s">
        <v>592</v>
      </c>
      <c r="K29" s="78" t="s">
        <v>623</v>
      </c>
      <c r="L29" s="77">
        <v>42787</v>
      </c>
      <c r="M29" s="68"/>
      <c r="N29" s="76"/>
      <c r="O29" s="75" t="s">
        <v>1654</v>
      </c>
      <c r="R29" s="74"/>
    </row>
    <row r="30" spans="2:18" ht="36" hidden="1" customHeight="1" x14ac:dyDescent="0.25">
      <c r="B30" s="84">
        <v>1817</v>
      </c>
      <c r="C30" s="83" t="s">
        <v>23</v>
      </c>
      <c r="D30" s="82" t="s">
        <v>1458</v>
      </c>
      <c r="E30" s="81">
        <v>42762</v>
      </c>
      <c r="F30" s="27">
        <f t="shared" ca="1" si="0"/>
        <v>1711</v>
      </c>
      <c r="G30" s="79" t="s">
        <v>599</v>
      </c>
      <c r="H30" s="80"/>
      <c r="I30" s="80"/>
      <c r="J30" s="79" t="s">
        <v>592</v>
      </c>
      <c r="K30" s="78" t="s">
        <v>623</v>
      </c>
      <c r="L30" s="77">
        <v>42787</v>
      </c>
      <c r="M30" s="68"/>
      <c r="N30" s="76"/>
      <c r="O30" s="75" t="s">
        <v>1459</v>
      </c>
      <c r="R30" s="74"/>
    </row>
    <row r="31" spans="2:18" ht="36" hidden="1" customHeight="1" x14ac:dyDescent="0.25">
      <c r="B31" s="84">
        <v>1826</v>
      </c>
      <c r="C31" s="83" t="s">
        <v>40</v>
      </c>
      <c r="D31" s="82" t="s">
        <v>3173</v>
      </c>
      <c r="E31" s="81">
        <v>42767</v>
      </c>
      <c r="F31" s="27">
        <f t="shared" ca="1" si="0"/>
        <v>1706</v>
      </c>
      <c r="G31" s="79" t="s">
        <v>578</v>
      </c>
      <c r="H31" s="80"/>
      <c r="I31" s="80"/>
      <c r="J31" s="79" t="s">
        <v>579</v>
      </c>
      <c r="K31" s="78" t="s">
        <v>623</v>
      </c>
      <c r="L31" s="77">
        <v>42812</v>
      </c>
      <c r="M31" s="68"/>
      <c r="N31" s="76"/>
      <c r="O31" s="75" t="s">
        <v>3174</v>
      </c>
      <c r="R31" s="74"/>
    </row>
    <row r="32" spans="2:18" ht="36" hidden="1" customHeight="1" x14ac:dyDescent="0.25">
      <c r="B32" s="84">
        <v>1826</v>
      </c>
      <c r="C32" s="83" t="s">
        <v>40</v>
      </c>
      <c r="D32" s="82" t="s">
        <v>3170</v>
      </c>
      <c r="E32" s="81">
        <v>42769</v>
      </c>
      <c r="F32" s="27">
        <f t="shared" ca="1" si="0"/>
        <v>1704</v>
      </c>
      <c r="G32" s="79" t="s">
        <v>578</v>
      </c>
      <c r="H32" s="80"/>
      <c r="I32" s="80"/>
      <c r="J32" s="79" t="s">
        <v>579</v>
      </c>
      <c r="K32" s="78" t="s">
        <v>623</v>
      </c>
      <c r="L32" s="77">
        <v>42812</v>
      </c>
      <c r="M32" s="68"/>
      <c r="N32" s="76" t="s">
        <v>3171</v>
      </c>
      <c r="O32" s="75" t="s">
        <v>3172</v>
      </c>
      <c r="R32" s="74"/>
    </row>
    <row r="33" spans="2:18" ht="36" hidden="1" customHeight="1" x14ac:dyDescent="0.25">
      <c r="B33" s="84">
        <v>1830</v>
      </c>
      <c r="C33" s="83" t="s">
        <v>31</v>
      </c>
      <c r="D33" s="82" t="s">
        <v>3877</v>
      </c>
      <c r="E33" s="81">
        <v>42769</v>
      </c>
      <c r="F33" s="27">
        <f t="shared" ca="1" si="0"/>
        <v>1704</v>
      </c>
      <c r="G33" s="79" t="s">
        <v>3726</v>
      </c>
      <c r="H33" s="80"/>
      <c r="I33" s="80"/>
      <c r="J33" s="79" t="s">
        <v>597</v>
      </c>
      <c r="K33" s="78" t="s">
        <v>623</v>
      </c>
      <c r="L33" s="77">
        <v>42787</v>
      </c>
      <c r="M33" s="68"/>
      <c r="N33" s="76"/>
      <c r="O33" s="75" t="s">
        <v>3878</v>
      </c>
      <c r="R33" s="74"/>
    </row>
    <row r="34" spans="2:18" ht="36" hidden="1" customHeight="1" x14ac:dyDescent="0.25">
      <c r="B34" s="84">
        <v>1822</v>
      </c>
      <c r="C34" s="83" t="s">
        <v>24</v>
      </c>
      <c r="D34" s="82" t="s">
        <v>2388</v>
      </c>
      <c r="E34" s="81">
        <v>42772</v>
      </c>
      <c r="F34" s="27">
        <f t="shared" ca="1" si="0"/>
        <v>1701</v>
      </c>
      <c r="G34" s="79" t="s">
        <v>599</v>
      </c>
      <c r="H34" s="80"/>
      <c r="I34" s="80"/>
      <c r="J34" s="79" t="s">
        <v>592</v>
      </c>
      <c r="K34" s="78" t="s">
        <v>623</v>
      </c>
      <c r="L34" s="77">
        <v>42787</v>
      </c>
      <c r="M34" s="68"/>
      <c r="N34" s="76"/>
      <c r="O34" s="75" t="s">
        <v>2389</v>
      </c>
      <c r="R34" s="74"/>
    </row>
    <row r="35" spans="2:18" ht="36" hidden="1" customHeight="1" x14ac:dyDescent="0.25">
      <c r="B35" s="84">
        <v>1823</v>
      </c>
      <c r="C35" s="83" t="s">
        <v>40</v>
      </c>
      <c r="D35" s="82" t="s">
        <v>2497</v>
      </c>
      <c r="E35" s="81">
        <v>42772</v>
      </c>
      <c r="F35" s="27">
        <f t="shared" ca="1" si="0"/>
        <v>1701</v>
      </c>
      <c r="G35" s="79" t="s">
        <v>599</v>
      </c>
      <c r="H35" s="80"/>
      <c r="I35" s="80"/>
      <c r="J35" s="79" t="s">
        <v>592</v>
      </c>
      <c r="K35" s="78" t="s">
        <v>623</v>
      </c>
      <c r="L35" s="77">
        <v>42787</v>
      </c>
      <c r="M35" s="68"/>
      <c r="N35" s="76"/>
      <c r="O35" s="75" t="s">
        <v>2498</v>
      </c>
      <c r="R35" s="74"/>
    </row>
    <row r="36" spans="2:18" ht="36" hidden="1" customHeight="1" x14ac:dyDescent="0.25">
      <c r="B36" s="84">
        <v>1645</v>
      </c>
      <c r="C36" s="83" t="s">
        <v>12</v>
      </c>
      <c r="D36" s="82" t="s">
        <v>1004</v>
      </c>
      <c r="E36" s="81">
        <v>42773</v>
      </c>
      <c r="F36" s="27">
        <f t="shared" ca="1" si="0"/>
        <v>1700</v>
      </c>
      <c r="G36" s="79" t="s">
        <v>603</v>
      </c>
      <c r="H36" s="80"/>
      <c r="I36" s="80"/>
      <c r="J36" s="79" t="s">
        <v>592</v>
      </c>
      <c r="K36" s="78" t="s">
        <v>580</v>
      </c>
      <c r="L36" s="77">
        <v>42781</v>
      </c>
      <c r="M36" s="68"/>
      <c r="N36" s="76"/>
      <c r="O36" s="75" t="s">
        <v>1005</v>
      </c>
      <c r="R36" s="74"/>
    </row>
    <row r="37" spans="2:18" ht="36" hidden="1" customHeight="1" x14ac:dyDescent="0.25">
      <c r="B37" s="84">
        <v>1829</v>
      </c>
      <c r="C37" s="83" t="s">
        <v>23</v>
      </c>
      <c r="D37" s="82" t="s">
        <v>3703</v>
      </c>
      <c r="E37" s="81">
        <v>42774</v>
      </c>
      <c r="F37" s="27">
        <f t="shared" ca="1" si="0"/>
        <v>1699</v>
      </c>
      <c r="G37" s="79" t="s">
        <v>599</v>
      </c>
      <c r="H37" s="80"/>
      <c r="I37" s="80"/>
      <c r="J37" s="79" t="s">
        <v>592</v>
      </c>
      <c r="K37" s="78" t="s">
        <v>623</v>
      </c>
      <c r="L37" s="77">
        <v>42787</v>
      </c>
      <c r="M37" s="68"/>
      <c r="N37" s="76"/>
      <c r="O37" s="75" t="s">
        <v>2116</v>
      </c>
      <c r="R37" s="74"/>
    </row>
    <row r="38" spans="2:18" ht="36" hidden="1" customHeight="1" x14ac:dyDescent="0.25">
      <c r="B38" s="84">
        <v>1830</v>
      </c>
      <c r="C38" s="83" t="s">
        <v>40</v>
      </c>
      <c r="D38" s="82" t="s">
        <v>3879</v>
      </c>
      <c r="E38" s="81">
        <v>42775</v>
      </c>
      <c r="F38" s="27">
        <f t="shared" ca="1" si="0"/>
        <v>1698</v>
      </c>
      <c r="G38" s="79" t="s">
        <v>3726</v>
      </c>
      <c r="H38" s="80"/>
      <c r="I38" s="80"/>
      <c r="J38" s="79" t="s">
        <v>597</v>
      </c>
      <c r="K38" s="78" t="s">
        <v>623</v>
      </c>
      <c r="L38" s="77">
        <v>42787</v>
      </c>
      <c r="M38" s="68"/>
      <c r="N38" s="76"/>
      <c r="O38" s="75" t="s">
        <v>3880</v>
      </c>
      <c r="R38" s="74"/>
    </row>
    <row r="39" spans="2:18" ht="36" hidden="1" customHeight="1" x14ac:dyDescent="0.25">
      <c r="B39" s="84">
        <v>1830</v>
      </c>
      <c r="C39" s="83" t="s">
        <v>40</v>
      </c>
      <c r="D39" s="82" t="s">
        <v>3881</v>
      </c>
      <c r="E39" s="81">
        <v>42775</v>
      </c>
      <c r="F39" s="27">
        <f t="shared" ca="1" si="0"/>
        <v>1698</v>
      </c>
      <c r="G39" s="79" t="s">
        <v>3726</v>
      </c>
      <c r="H39" s="80"/>
      <c r="I39" s="80"/>
      <c r="J39" s="79" t="s">
        <v>597</v>
      </c>
      <c r="K39" s="78" t="s">
        <v>623</v>
      </c>
      <c r="L39" s="77">
        <v>42787</v>
      </c>
      <c r="M39" s="68"/>
      <c r="N39" s="76"/>
      <c r="O39" s="75" t="s">
        <v>3882</v>
      </c>
      <c r="R39" s="74"/>
    </row>
    <row r="40" spans="2:18" ht="36" hidden="1" customHeight="1" x14ac:dyDescent="0.25">
      <c r="B40" s="84">
        <v>1644</v>
      </c>
      <c r="C40" s="83" t="s">
        <v>40</v>
      </c>
      <c r="D40" s="82" t="s">
        <v>947</v>
      </c>
      <c r="E40" s="81">
        <v>42776</v>
      </c>
      <c r="F40" s="27">
        <f t="shared" ca="1" si="0"/>
        <v>1697</v>
      </c>
      <c r="G40" s="79" t="s">
        <v>948</v>
      </c>
      <c r="H40" s="80"/>
      <c r="I40" s="80"/>
      <c r="J40" s="79" t="s">
        <v>592</v>
      </c>
      <c r="K40" s="78" t="s">
        <v>580</v>
      </c>
      <c r="L40" s="77">
        <v>42807</v>
      </c>
      <c r="M40" s="68"/>
      <c r="N40" s="76"/>
      <c r="O40" s="75" t="s">
        <v>949</v>
      </c>
      <c r="R40" s="74"/>
    </row>
    <row r="41" spans="2:18" ht="36" hidden="1" customHeight="1" x14ac:dyDescent="0.25">
      <c r="B41" s="84">
        <v>1828</v>
      </c>
      <c r="C41" s="83" t="s">
        <v>40</v>
      </c>
      <c r="D41" s="82" t="s">
        <v>3470</v>
      </c>
      <c r="E41" s="81">
        <v>42776</v>
      </c>
      <c r="F41" s="27">
        <f t="shared" ca="1" si="0"/>
        <v>1697</v>
      </c>
      <c r="G41" s="79" t="s">
        <v>599</v>
      </c>
      <c r="H41" s="80"/>
      <c r="I41" s="80"/>
      <c r="J41" s="79" t="s">
        <v>592</v>
      </c>
      <c r="K41" s="78" t="s">
        <v>623</v>
      </c>
      <c r="L41" s="77">
        <v>42787</v>
      </c>
      <c r="M41" s="68"/>
      <c r="N41" s="76"/>
      <c r="O41" s="75" t="s">
        <v>3471</v>
      </c>
      <c r="R41" s="74"/>
    </row>
    <row r="42" spans="2:18" ht="36" hidden="1" customHeight="1" x14ac:dyDescent="0.25">
      <c r="B42" s="84">
        <v>1826</v>
      </c>
      <c r="C42" s="83" t="s">
        <v>40</v>
      </c>
      <c r="D42" s="82" t="s">
        <v>3166</v>
      </c>
      <c r="E42" s="81">
        <v>42779</v>
      </c>
      <c r="F42" s="27">
        <f t="shared" ca="1" si="0"/>
        <v>1694</v>
      </c>
      <c r="G42" s="79" t="s">
        <v>599</v>
      </c>
      <c r="H42" s="80"/>
      <c r="I42" s="80"/>
      <c r="J42" s="79" t="s">
        <v>592</v>
      </c>
      <c r="K42" s="78" t="s">
        <v>623</v>
      </c>
      <c r="L42" s="77">
        <v>42787</v>
      </c>
      <c r="M42" s="68"/>
      <c r="N42" s="76"/>
      <c r="O42" s="75" t="s">
        <v>3167</v>
      </c>
      <c r="R42" s="74"/>
    </row>
    <row r="43" spans="2:18" ht="36" hidden="1" customHeight="1" x14ac:dyDescent="0.25">
      <c r="B43" s="84">
        <v>1830</v>
      </c>
      <c r="C43" s="83" t="s">
        <v>18</v>
      </c>
      <c r="D43" s="82" t="s">
        <v>3883</v>
      </c>
      <c r="E43" s="81">
        <v>42779</v>
      </c>
      <c r="F43" s="27">
        <f t="shared" ca="1" si="0"/>
        <v>1694</v>
      </c>
      <c r="G43" s="79" t="s">
        <v>1325</v>
      </c>
      <c r="H43" s="80"/>
      <c r="I43" s="80"/>
      <c r="J43" s="79" t="s">
        <v>579</v>
      </c>
      <c r="K43" s="78" t="s">
        <v>623</v>
      </c>
      <c r="L43" s="77">
        <v>42802</v>
      </c>
      <c r="M43" s="68"/>
      <c r="N43" s="76" t="s">
        <v>3884</v>
      </c>
      <c r="O43" s="75" t="s">
        <v>3885</v>
      </c>
      <c r="R43" s="74"/>
    </row>
    <row r="44" spans="2:18" ht="36" hidden="1" customHeight="1" x14ac:dyDescent="0.25">
      <c r="B44" s="84">
        <v>1822</v>
      </c>
      <c r="C44" s="83" t="s">
        <v>23</v>
      </c>
      <c r="D44" s="82" t="s">
        <v>2390</v>
      </c>
      <c r="E44" s="81">
        <v>42780</v>
      </c>
      <c r="F44" s="27">
        <f t="shared" ca="1" si="0"/>
        <v>1693</v>
      </c>
      <c r="G44" s="79" t="s">
        <v>599</v>
      </c>
      <c r="H44" s="80"/>
      <c r="I44" s="80"/>
      <c r="J44" s="79" t="s">
        <v>592</v>
      </c>
      <c r="K44" s="78" t="s">
        <v>623</v>
      </c>
      <c r="L44" s="77">
        <v>42787</v>
      </c>
      <c r="M44" s="68"/>
      <c r="N44" s="76"/>
      <c r="O44" s="75" t="s">
        <v>2391</v>
      </c>
      <c r="R44" s="74"/>
    </row>
    <row r="45" spans="2:18" ht="36" hidden="1" customHeight="1" x14ac:dyDescent="0.25">
      <c r="B45" s="84">
        <v>1822</v>
      </c>
      <c r="C45" s="83" t="s">
        <v>23</v>
      </c>
      <c r="D45" s="82" t="s">
        <v>1269</v>
      </c>
      <c r="E45" s="81">
        <v>42780</v>
      </c>
      <c r="F45" s="27">
        <f t="shared" ca="1" si="0"/>
        <v>1693</v>
      </c>
      <c r="G45" s="79" t="s">
        <v>599</v>
      </c>
      <c r="H45" s="80"/>
      <c r="I45" s="80"/>
      <c r="J45" s="79" t="s">
        <v>592</v>
      </c>
      <c r="K45" s="78" t="s">
        <v>623</v>
      </c>
      <c r="L45" s="77">
        <v>42787</v>
      </c>
      <c r="M45" s="68"/>
      <c r="N45" s="76"/>
      <c r="O45" s="75" t="s">
        <v>1654</v>
      </c>
      <c r="R45" s="74"/>
    </row>
    <row r="46" spans="2:18" ht="36" hidden="1" customHeight="1" x14ac:dyDescent="0.25">
      <c r="B46" s="84">
        <v>1823</v>
      </c>
      <c r="C46" s="83" t="s">
        <v>15</v>
      </c>
      <c r="D46" s="82" t="s">
        <v>2499</v>
      </c>
      <c r="E46" s="81">
        <v>42780</v>
      </c>
      <c r="F46" s="27">
        <f t="shared" ca="1" si="0"/>
        <v>1693</v>
      </c>
      <c r="G46" s="79" t="s">
        <v>599</v>
      </c>
      <c r="H46" s="80"/>
      <c r="I46" s="80"/>
      <c r="J46" s="79" t="s">
        <v>592</v>
      </c>
      <c r="K46" s="78" t="s">
        <v>623</v>
      </c>
      <c r="L46" s="77">
        <v>42787</v>
      </c>
      <c r="M46" s="68"/>
      <c r="N46" s="76"/>
      <c r="O46" s="75" t="s">
        <v>2500</v>
      </c>
      <c r="R46" s="74"/>
    </row>
    <row r="47" spans="2:18" ht="36" hidden="1" customHeight="1" x14ac:dyDescent="0.25">
      <c r="B47" s="84">
        <v>1828</v>
      </c>
      <c r="C47" s="83" t="s">
        <v>24</v>
      </c>
      <c r="D47" s="82" t="s">
        <v>3472</v>
      </c>
      <c r="E47" s="81">
        <v>42780</v>
      </c>
      <c r="F47" s="27">
        <f t="shared" ca="1" si="0"/>
        <v>1693</v>
      </c>
      <c r="G47" s="79" t="s">
        <v>599</v>
      </c>
      <c r="H47" s="80"/>
      <c r="I47" s="80"/>
      <c r="J47" s="79" t="s">
        <v>592</v>
      </c>
      <c r="K47" s="78" t="s">
        <v>623</v>
      </c>
      <c r="L47" s="77">
        <v>42787</v>
      </c>
      <c r="M47" s="68"/>
      <c r="N47" s="76"/>
      <c r="O47" s="75" t="s">
        <v>3473</v>
      </c>
      <c r="R47" s="74"/>
    </row>
    <row r="48" spans="2:18" ht="36" hidden="1" customHeight="1" x14ac:dyDescent="0.25">
      <c r="B48" s="84">
        <v>1820</v>
      </c>
      <c r="C48" s="83" t="s">
        <v>23</v>
      </c>
      <c r="D48" s="82" t="s">
        <v>1269</v>
      </c>
      <c r="E48" s="81">
        <v>42781</v>
      </c>
      <c r="F48" s="27">
        <f t="shared" ca="1" si="0"/>
        <v>1692</v>
      </c>
      <c r="G48" s="79" t="s">
        <v>599</v>
      </c>
      <c r="H48" s="80"/>
      <c r="I48" s="80"/>
      <c r="J48" s="79" t="s">
        <v>592</v>
      </c>
      <c r="K48" s="78" t="s">
        <v>623</v>
      </c>
      <c r="L48" s="77">
        <v>42787</v>
      </c>
      <c r="M48" s="68"/>
      <c r="N48" s="76"/>
      <c r="O48" s="75" t="s">
        <v>2054</v>
      </c>
      <c r="R48" s="74"/>
    </row>
    <row r="49" spans="2:18" ht="36" hidden="1" customHeight="1" x14ac:dyDescent="0.25">
      <c r="B49" s="84">
        <v>1642</v>
      </c>
      <c r="C49" s="83" t="s">
        <v>12</v>
      </c>
      <c r="D49" s="82" t="s">
        <v>717</v>
      </c>
      <c r="E49" s="81">
        <v>42782</v>
      </c>
      <c r="F49" s="27">
        <f t="shared" ca="1" si="0"/>
        <v>1691</v>
      </c>
      <c r="G49" s="79" t="s">
        <v>603</v>
      </c>
      <c r="H49" s="80"/>
      <c r="I49" s="80"/>
      <c r="J49" s="79" t="s">
        <v>592</v>
      </c>
      <c r="K49" s="78" t="s">
        <v>580</v>
      </c>
      <c r="L49" s="77">
        <v>42783</v>
      </c>
      <c r="M49" s="68"/>
      <c r="N49" s="76" t="s">
        <v>718</v>
      </c>
      <c r="O49" s="75"/>
      <c r="R49" s="74"/>
    </row>
    <row r="50" spans="2:18" ht="36" hidden="1" customHeight="1" x14ac:dyDescent="0.25">
      <c r="B50" s="84">
        <v>1642</v>
      </c>
      <c r="C50" s="83" t="s">
        <v>40</v>
      </c>
      <c r="D50" s="82" t="s">
        <v>719</v>
      </c>
      <c r="E50" s="81">
        <v>42782</v>
      </c>
      <c r="F50" s="27">
        <f t="shared" ca="1" si="0"/>
        <v>1691</v>
      </c>
      <c r="G50" s="79" t="s">
        <v>603</v>
      </c>
      <c r="H50" s="80"/>
      <c r="I50" s="80"/>
      <c r="J50" s="79" t="s">
        <v>592</v>
      </c>
      <c r="K50" s="78" t="s">
        <v>580</v>
      </c>
      <c r="L50" s="77">
        <v>42783</v>
      </c>
      <c r="M50" s="68"/>
      <c r="N50" s="76" t="s">
        <v>718</v>
      </c>
      <c r="O50" s="75"/>
      <c r="R50" s="74"/>
    </row>
    <row r="51" spans="2:18" ht="36" hidden="1" customHeight="1" x14ac:dyDescent="0.25">
      <c r="B51" s="84">
        <v>1818</v>
      </c>
      <c r="C51" s="83" t="s">
        <v>23</v>
      </c>
      <c r="D51" s="82" t="s">
        <v>1269</v>
      </c>
      <c r="E51" s="81">
        <v>42782</v>
      </c>
      <c r="F51" s="27">
        <f t="shared" ca="1" si="0"/>
        <v>1691</v>
      </c>
      <c r="G51" s="79" t="s">
        <v>599</v>
      </c>
      <c r="H51" s="80"/>
      <c r="I51" s="80"/>
      <c r="J51" s="79" t="s">
        <v>592</v>
      </c>
      <c r="K51" s="78" t="s">
        <v>623</v>
      </c>
      <c r="L51" s="77">
        <v>42787</v>
      </c>
      <c r="M51" s="68"/>
      <c r="N51" s="76"/>
      <c r="O51" s="75" t="s">
        <v>1654</v>
      </c>
      <c r="R51" s="74"/>
    </row>
    <row r="52" spans="2:18" ht="36" hidden="1" customHeight="1" x14ac:dyDescent="0.25">
      <c r="B52" s="84">
        <v>1826</v>
      </c>
      <c r="C52" s="83" t="s">
        <v>11</v>
      </c>
      <c r="D52" s="82" t="s">
        <v>3168</v>
      </c>
      <c r="E52" s="81">
        <v>42782</v>
      </c>
      <c r="F52" s="27">
        <f t="shared" ca="1" si="0"/>
        <v>1691</v>
      </c>
      <c r="G52" s="79" t="s">
        <v>599</v>
      </c>
      <c r="H52" s="80"/>
      <c r="I52" s="80"/>
      <c r="J52" s="79" t="s">
        <v>592</v>
      </c>
      <c r="K52" s="78" t="s">
        <v>623</v>
      </c>
      <c r="L52" s="77">
        <v>42787</v>
      </c>
      <c r="M52" s="68"/>
      <c r="N52" s="76"/>
      <c r="O52" s="75" t="s">
        <v>3169</v>
      </c>
      <c r="R52" s="74"/>
    </row>
    <row r="53" spans="2:18" ht="36" hidden="1" customHeight="1" x14ac:dyDescent="0.25">
      <c r="B53" s="84">
        <v>1827</v>
      </c>
      <c r="C53" s="83" t="s">
        <v>23</v>
      </c>
      <c r="D53" s="82" t="s">
        <v>1269</v>
      </c>
      <c r="E53" s="81">
        <v>42782</v>
      </c>
      <c r="F53" s="27">
        <f t="shared" ca="1" si="0"/>
        <v>1691</v>
      </c>
      <c r="G53" s="79" t="s">
        <v>599</v>
      </c>
      <c r="H53" s="80"/>
      <c r="I53" s="80"/>
      <c r="J53" s="79" t="s">
        <v>592</v>
      </c>
      <c r="K53" s="78" t="s">
        <v>623</v>
      </c>
      <c r="L53" s="77">
        <v>42787</v>
      </c>
      <c r="M53" s="68"/>
      <c r="N53" s="76"/>
      <c r="O53" s="75" t="s">
        <v>3281</v>
      </c>
      <c r="R53" s="74"/>
    </row>
    <row r="54" spans="2:18" ht="36" hidden="1" customHeight="1" x14ac:dyDescent="0.25">
      <c r="B54" s="84">
        <v>1647</v>
      </c>
      <c r="C54" s="83" t="s">
        <v>23</v>
      </c>
      <c r="D54" s="82" t="s">
        <v>1184</v>
      </c>
      <c r="E54" s="81">
        <v>42783</v>
      </c>
      <c r="F54" s="27">
        <f t="shared" ca="1" si="0"/>
        <v>1690</v>
      </c>
      <c r="G54" s="79" t="s">
        <v>599</v>
      </c>
      <c r="H54" s="80"/>
      <c r="I54" s="80"/>
      <c r="J54" s="79" t="s">
        <v>592</v>
      </c>
      <c r="K54" s="78" t="s">
        <v>623</v>
      </c>
      <c r="L54" s="77">
        <v>42787</v>
      </c>
      <c r="M54" s="68"/>
      <c r="N54" s="76"/>
      <c r="O54" s="75" t="s">
        <v>1185</v>
      </c>
      <c r="R54" s="74"/>
    </row>
    <row r="55" spans="2:18" ht="36" hidden="1" customHeight="1" x14ac:dyDescent="0.25">
      <c r="B55" s="84">
        <v>1647</v>
      </c>
      <c r="C55" s="83" t="s">
        <v>40</v>
      </c>
      <c r="D55" s="82" t="s">
        <v>1186</v>
      </c>
      <c r="E55" s="81">
        <v>42783</v>
      </c>
      <c r="F55" s="27">
        <f t="shared" ca="1" si="0"/>
        <v>1690</v>
      </c>
      <c r="G55" s="79" t="s">
        <v>599</v>
      </c>
      <c r="H55" s="80"/>
      <c r="I55" s="80"/>
      <c r="J55" s="79" t="s">
        <v>592</v>
      </c>
      <c r="K55" s="78" t="s">
        <v>623</v>
      </c>
      <c r="L55" s="77">
        <v>42787</v>
      </c>
      <c r="M55" s="68"/>
      <c r="N55" s="76"/>
      <c r="O55" s="75" t="s">
        <v>1187</v>
      </c>
      <c r="R55" s="74"/>
    </row>
    <row r="56" spans="2:18" ht="36" hidden="1" customHeight="1" x14ac:dyDescent="0.25">
      <c r="B56" s="84">
        <v>1820</v>
      </c>
      <c r="C56" s="83" t="s">
        <v>23</v>
      </c>
      <c r="D56" s="82" t="s">
        <v>2055</v>
      </c>
      <c r="E56" s="81">
        <v>42783</v>
      </c>
      <c r="F56" s="27">
        <f t="shared" ca="1" si="0"/>
        <v>1690</v>
      </c>
      <c r="G56" s="79" t="s">
        <v>599</v>
      </c>
      <c r="H56" s="80"/>
      <c r="I56" s="80"/>
      <c r="J56" s="79" t="s">
        <v>592</v>
      </c>
      <c r="K56" s="78" t="s">
        <v>623</v>
      </c>
      <c r="L56" s="77">
        <v>42787</v>
      </c>
      <c r="M56" s="68"/>
      <c r="N56" s="76"/>
      <c r="O56" s="75" t="s">
        <v>2054</v>
      </c>
      <c r="R56" s="74"/>
    </row>
    <row r="57" spans="2:18" ht="36" hidden="1" customHeight="1" x14ac:dyDescent="0.25">
      <c r="B57" s="84">
        <v>1829</v>
      </c>
      <c r="C57" s="83" t="s">
        <v>11</v>
      </c>
      <c r="D57" s="82" t="s">
        <v>3168</v>
      </c>
      <c r="E57" s="81">
        <v>42783</v>
      </c>
      <c r="F57" s="27">
        <f t="shared" ca="1" si="0"/>
        <v>1690</v>
      </c>
      <c r="G57" s="79" t="s">
        <v>1723</v>
      </c>
      <c r="H57" s="80"/>
      <c r="I57" s="80"/>
      <c r="J57" s="79" t="s">
        <v>579</v>
      </c>
      <c r="K57" s="78" t="s">
        <v>623</v>
      </c>
      <c r="L57" s="77">
        <v>42794</v>
      </c>
      <c r="M57" s="68"/>
      <c r="N57" s="76"/>
      <c r="O57" s="75" t="s">
        <v>3704</v>
      </c>
      <c r="R57" s="74"/>
    </row>
    <row r="58" spans="2:18" ht="36" hidden="1" customHeight="1" x14ac:dyDescent="0.25">
      <c r="B58" s="84">
        <v>1641</v>
      </c>
      <c r="C58" s="83" t="s">
        <v>12</v>
      </c>
      <c r="D58" s="82" t="s">
        <v>577</v>
      </c>
      <c r="E58" s="81">
        <v>42787</v>
      </c>
      <c r="F58" s="27">
        <f t="shared" ca="1" si="0"/>
        <v>1686</v>
      </c>
      <c r="G58" s="79" t="s">
        <v>578</v>
      </c>
      <c r="H58" s="80"/>
      <c r="I58" s="80"/>
      <c r="J58" s="79" t="s">
        <v>579</v>
      </c>
      <c r="K58" s="78" t="s">
        <v>580</v>
      </c>
      <c r="L58" s="77">
        <v>42794</v>
      </c>
      <c r="M58" s="68"/>
      <c r="N58" s="76"/>
      <c r="O58" s="75" t="s">
        <v>581</v>
      </c>
      <c r="R58" s="74"/>
    </row>
    <row r="59" spans="2:18" ht="36" hidden="1" customHeight="1" x14ac:dyDescent="0.25">
      <c r="B59" s="84">
        <v>1641</v>
      </c>
      <c r="C59" s="83" t="s">
        <v>40</v>
      </c>
      <c r="D59" s="82" t="s">
        <v>584</v>
      </c>
      <c r="E59" s="81">
        <v>42787</v>
      </c>
      <c r="F59" s="27">
        <f t="shared" ca="1" si="0"/>
        <v>1686</v>
      </c>
      <c r="G59" s="79" t="s">
        <v>578</v>
      </c>
      <c r="H59" s="80"/>
      <c r="I59" s="80"/>
      <c r="J59" s="79" t="s">
        <v>579</v>
      </c>
      <c r="K59" s="78" t="s">
        <v>580</v>
      </c>
      <c r="L59" s="77">
        <v>42796</v>
      </c>
      <c r="M59" s="68"/>
      <c r="N59" s="76"/>
      <c r="O59" s="75"/>
      <c r="R59" s="74"/>
    </row>
    <row r="60" spans="2:18" ht="36" hidden="1" customHeight="1" x14ac:dyDescent="0.25">
      <c r="B60" s="84">
        <v>1818</v>
      </c>
      <c r="C60" s="83" t="s">
        <v>23</v>
      </c>
      <c r="D60" s="82" t="s">
        <v>1655</v>
      </c>
      <c r="E60" s="81">
        <v>42788</v>
      </c>
      <c r="F60" s="27">
        <f t="shared" ca="1" si="0"/>
        <v>1685</v>
      </c>
      <c r="G60" s="79" t="s">
        <v>1261</v>
      </c>
      <c r="H60" s="80"/>
      <c r="I60" s="80"/>
      <c r="J60" s="79" t="s">
        <v>765</v>
      </c>
      <c r="K60" s="78" t="s">
        <v>623</v>
      </c>
      <c r="L60" s="77">
        <v>42800</v>
      </c>
      <c r="M60" s="68"/>
      <c r="N60" s="76"/>
      <c r="O60" s="75"/>
      <c r="R60" s="74"/>
    </row>
    <row r="61" spans="2:18" ht="36" hidden="1" customHeight="1" x14ac:dyDescent="0.25">
      <c r="B61" s="84">
        <v>1819</v>
      </c>
      <c r="C61" s="83" t="s">
        <v>23</v>
      </c>
      <c r="D61" s="82" t="s">
        <v>1827</v>
      </c>
      <c r="E61" s="81">
        <v>42788</v>
      </c>
      <c r="F61" s="27">
        <f t="shared" ca="1" si="0"/>
        <v>1685</v>
      </c>
      <c r="G61" s="79" t="s">
        <v>1261</v>
      </c>
      <c r="H61" s="80"/>
      <c r="I61" s="80"/>
      <c r="J61" s="79" t="s">
        <v>765</v>
      </c>
      <c r="K61" s="78" t="s">
        <v>623</v>
      </c>
      <c r="L61" s="77">
        <v>42800</v>
      </c>
      <c r="M61" s="68"/>
      <c r="N61" s="76"/>
      <c r="O61" s="75"/>
      <c r="R61" s="74"/>
    </row>
    <row r="62" spans="2:18" ht="36" hidden="1" customHeight="1" x14ac:dyDescent="0.25">
      <c r="B62" s="84">
        <v>1820</v>
      </c>
      <c r="C62" s="83" t="s">
        <v>23</v>
      </c>
      <c r="D62" s="82" t="s">
        <v>2055</v>
      </c>
      <c r="E62" s="81">
        <v>42788</v>
      </c>
      <c r="F62" s="27">
        <f t="shared" ca="1" si="0"/>
        <v>1685</v>
      </c>
      <c r="G62" s="79" t="s">
        <v>2056</v>
      </c>
      <c r="H62" s="80"/>
      <c r="I62" s="80"/>
      <c r="J62" s="79" t="s">
        <v>579</v>
      </c>
      <c r="K62" s="78" t="s">
        <v>623</v>
      </c>
      <c r="L62" s="77">
        <v>42803</v>
      </c>
      <c r="M62" s="68"/>
      <c r="N62" s="76"/>
      <c r="O62" s="75" t="s">
        <v>1185</v>
      </c>
      <c r="R62" s="74"/>
    </row>
    <row r="63" spans="2:18" ht="36" hidden="1" customHeight="1" x14ac:dyDescent="0.25">
      <c r="B63" s="84">
        <v>1822</v>
      </c>
      <c r="C63" s="83" t="s">
        <v>23</v>
      </c>
      <c r="D63" s="82" t="s">
        <v>588</v>
      </c>
      <c r="E63" s="81">
        <v>42788</v>
      </c>
      <c r="F63" s="27">
        <f t="shared" ca="1" si="0"/>
        <v>1685</v>
      </c>
      <c r="G63" s="79" t="s">
        <v>578</v>
      </c>
      <c r="H63" s="80"/>
      <c r="I63" s="80"/>
      <c r="J63" s="79" t="s">
        <v>579</v>
      </c>
      <c r="K63" s="78" t="s">
        <v>623</v>
      </c>
      <c r="L63" s="77">
        <v>42796</v>
      </c>
      <c r="M63" s="68"/>
      <c r="N63" s="76" t="s">
        <v>2392</v>
      </c>
      <c r="O63" s="75"/>
      <c r="R63" s="74"/>
    </row>
    <row r="64" spans="2:18" ht="36" hidden="1" customHeight="1" x14ac:dyDescent="0.25">
      <c r="B64" s="84">
        <v>1824</v>
      </c>
      <c r="C64" s="83" t="s">
        <v>23</v>
      </c>
      <c r="D64" s="82" t="s">
        <v>2691</v>
      </c>
      <c r="E64" s="81">
        <v>42788</v>
      </c>
      <c r="F64" s="27">
        <f t="shared" ca="1" si="0"/>
        <v>1685</v>
      </c>
      <c r="G64" s="79" t="s">
        <v>1328</v>
      </c>
      <c r="H64" s="80"/>
      <c r="I64" s="80"/>
      <c r="J64" s="79" t="s">
        <v>579</v>
      </c>
      <c r="K64" s="78" t="s">
        <v>623</v>
      </c>
      <c r="L64" s="77">
        <v>42810</v>
      </c>
      <c r="M64" s="68"/>
      <c r="N64" s="76"/>
      <c r="O64" s="75" t="s">
        <v>1731</v>
      </c>
      <c r="R64" s="74"/>
    </row>
    <row r="65" spans="2:18" ht="36" hidden="1" customHeight="1" x14ac:dyDescent="0.25">
      <c r="B65" s="84">
        <v>1824</v>
      </c>
      <c r="C65" s="83" t="s">
        <v>40</v>
      </c>
      <c r="D65" s="82" t="s">
        <v>2692</v>
      </c>
      <c r="E65" s="81">
        <v>42788</v>
      </c>
      <c r="F65" s="27">
        <f t="shared" ca="1" si="0"/>
        <v>1685</v>
      </c>
      <c r="G65" s="79" t="s">
        <v>1328</v>
      </c>
      <c r="H65" s="80"/>
      <c r="I65" s="80"/>
      <c r="J65" s="79" t="s">
        <v>579</v>
      </c>
      <c r="K65" s="78" t="s">
        <v>623</v>
      </c>
      <c r="L65" s="77">
        <v>42810</v>
      </c>
      <c r="M65" s="68"/>
      <c r="N65" s="76"/>
      <c r="O65" s="75" t="s">
        <v>2693</v>
      </c>
      <c r="R65" s="74"/>
    </row>
    <row r="66" spans="2:18" ht="36" hidden="1" customHeight="1" x14ac:dyDescent="0.25">
      <c r="B66" s="84">
        <v>1819</v>
      </c>
      <c r="C66" s="83" t="s">
        <v>20</v>
      </c>
      <c r="D66" s="82" t="s">
        <v>1828</v>
      </c>
      <c r="E66" s="81">
        <v>42789</v>
      </c>
      <c r="F66" s="27">
        <f t="shared" ca="1" si="0"/>
        <v>1684</v>
      </c>
      <c r="G66" s="79" t="s">
        <v>1261</v>
      </c>
      <c r="H66" s="80"/>
      <c r="I66" s="80"/>
      <c r="J66" s="79" t="s">
        <v>765</v>
      </c>
      <c r="K66" s="78" t="s">
        <v>623</v>
      </c>
      <c r="L66" s="77">
        <v>42800</v>
      </c>
      <c r="M66" s="68"/>
      <c r="N66" s="76"/>
      <c r="O66" s="75"/>
      <c r="R66" s="74"/>
    </row>
    <row r="67" spans="2:18" ht="36" hidden="1" customHeight="1" x14ac:dyDescent="0.25">
      <c r="B67" s="84">
        <v>1828</v>
      </c>
      <c r="C67" s="83" t="s">
        <v>11</v>
      </c>
      <c r="D67" s="82" t="s">
        <v>3474</v>
      </c>
      <c r="E67" s="81">
        <v>42789</v>
      </c>
      <c r="F67" s="27">
        <f t="shared" ca="1" si="0"/>
        <v>1684</v>
      </c>
      <c r="G67" s="79" t="s">
        <v>1261</v>
      </c>
      <c r="H67" s="80"/>
      <c r="I67" s="80"/>
      <c r="J67" s="79" t="s">
        <v>765</v>
      </c>
      <c r="K67" s="78" t="s">
        <v>623</v>
      </c>
      <c r="L67" s="77">
        <v>42798</v>
      </c>
      <c r="M67" s="68"/>
      <c r="N67" s="76"/>
      <c r="O67" s="75" t="s">
        <v>2153</v>
      </c>
      <c r="R67" s="74"/>
    </row>
    <row r="68" spans="2:18" ht="36" hidden="1" customHeight="1" x14ac:dyDescent="0.25">
      <c r="B68" s="84">
        <v>1816</v>
      </c>
      <c r="C68" s="83" t="s">
        <v>23</v>
      </c>
      <c r="D68" s="82" t="s">
        <v>1260</v>
      </c>
      <c r="E68" s="81">
        <v>42790</v>
      </c>
      <c r="F68" s="27">
        <f t="shared" ca="1" si="0"/>
        <v>1683</v>
      </c>
      <c r="G68" s="79" t="s">
        <v>1261</v>
      </c>
      <c r="H68" s="80"/>
      <c r="I68" s="80"/>
      <c r="J68" s="79" t="s">
        <v>579</v>
      </c>
      <c r="K68" s="78" t="s">
        <v>623</v>
      </c>
      <c r="L68" s="77">
        <v>42802</v>
      </c>
      <c r="M68" s="68"/>
      <c r="N68" s="76" t="s">
        <v>1262</v>
      </c>
      <c r="O68" s="75"/>
      <c r="R68" s="74"/>
    </row>
    <row r="69" spans="2:18" ht="36" hidden="1" customHeight="1" x14ac:dyDescent="0.25">
      <c r="B69" s="84">
        <v>1821</v>
      </c>
      <c r="C69" s="83" t="s">
        <v>16</v>
      </c>
      <c r="D69" s="82" t="s">
        <v>2248</v>
      </c>
      <c r="E69" s="81">
        <v>42790</v>
      </c>
      <c r="F69" s="27">
        <f t="shared" ca="1" si="0"/>
        <v>1683</v>
      </c>
      <c r="G69" s="79" t="s">
        <v>1723</v>
      </c>
      <c r="H69" s="80"/>
      <c r="I69" s="80"/>
      <c r="J69" s="79" t="s">
        <v>579</v>
      </c>
      <c r="K69" s="78" t="s">
        <v>623</v>
      </c>
      <c r="L69" s="77">
        <v>42795</v>
      </c>
      <c r="M69" s="68"/>
      <c r="N69" s="76" t="s">
        <v>2249</v>
      </c>
      <c r="O69" s="75"/>
      <c r="R69" s="74"/>
    </row>
    <row r="70" spans="2:18" ht="36" hidden="1" customHeight="1" x14ac:dyDescent="0.25">
      <c r="B70" s="84">
        <v>1827</v>
      </c>
      <c r="C70" s="83" t="s">
        <v>23</v>
      </c>
      <c r="D70" s="82" t="s">
        <v>3282</v>
      </c>
      <c r="E70" s="81">
        <v>42790</v>
      </c>
      <c r="F70" s="27">
        <f t="shared" ca="1" si="0"/>
        <v>1683</v>
      </c>
      <c r="G70" s="79" t="s">
        <v>578</v>
      </c>
      <c r="H70" s="80"/>
      <c r="I70" s="80"/>
      <c r="J70" s="79" t="s">
        <v>579</v>
      </c>
      <c r="K70" s="78" t="s">
        <v>623</v>
      </c>
      <c r="L70" s="77">
        <v>42796</v>
      </c>
      <c r="M70" s="68"/>
      <c r="N70" s="76" t="s">
        <v>595</v>
      </c>
      <c r="O70" s="75"/>
      <c r="R70" s="74"/>
    </row>
    <row r="71" spans="2:18" ht="36" hidden="1" customHeight="1" x14ac:dyDescent="0.25">
      <c r="B71" s="84">
        <v>1827</v>
      </c>
      <c r="C71" s="83" t="s">
        <v>23</v>
      </c>
      <c r="D71" s="82" t="s">
        <v>3283</v>
      </c>
      <c r="E71" s="81">
        <v>42793</v>
      </c>
      <c r="F71" s="27">
        <f t="shared" ca="1" si="0"/>
        <v>1680</v>
      </c>
      <c r="G71" s="79" t="s">
        <v>578</v>
      </c>
      <c r="H71" s="80"/>
      <c r="I71" s="80"/>
      <c r="J71" s="79" t="s">
        <v>579</v>
      </c>
      <c r="K71" s="78" t="s">
        <v>623</v>
      </c>
      <c r="L71" s="77">
        <v>42796</v>
      </c>
      <c r="M71" s="68"/>
      <c r="N71" s="76" t="s">
        <v>595</v>
      </c>
      <c r="O71" s="75"/>
      <c r="R71" s="74"/>
    </row>
    <row r="72" spans="2:18" ht="36" hidden="1" customHeight="1" x14ac:dyDescent="0.25">
      <c r="B72" s="84">
        <v>1830</v>
      </c>
      <c r="C72" s="83" t="s">
        <v>34</v>
      </c>
      <c r="D72" s="82" t="s">
        <v>3886</v>
      </c>
      <c r="E72" s="81">
        <v>42793</v>
      </c>
      <c r="F72" s="27">
        <f t="shared" ca="1" si="0"/>
        <v>1680</v>
      </c>
      <c r="G72" s="79" t="s">
        <v>3726</v>
      </c>
      <c r="H72" s="80"/>
      <c r="I72" s="80"/>
      <c r="J72" s="79" t="s">
        <v>597</v>
      </c>
      <c r="K72" s="78" t="s">
        <v>623</v>
      </c>
      <c r="L72" s="77">
        <v>42802</v>
      </c>
      <c r="M72" s="68"/>
      <c r="N72" s="76"/>
      <c r="O72" s="75" t="s">
        <v>3471</v>
      </c>
      <c r="R72" s="74"/>
    </row>
    <row r="73" spans="2:18" ht="36" hidden="1" customHeight="1" x14ac:dyDescent="0.25">
      <c r="B73" s="84">
        <v>1822</v>
      </c>
      <c r="C73" s="83" t="s">
        <v>23</v>
      </c>
      <c r="D73" s="82" t="s">
        <v>2393</v>
      </c>
      <c r="E73" s="81">
        <v>42794</v>
      </c>
      <c r="F73" s="27">
        <f t="shared" ca="1" si="0"/>
        <v>1679</v>
      </c>
      <c r="G73" s="79" t="s">
        <v>2394</v>
      </c>
      <c r="H73" s="80"/>
      <c r="I73" s="80"/>
      <c r="J73" s="79" t="s">
        <v>765</v>
      </c>
      <c r="K73" s="78" t="s">
        <v>623</v>
      </c>
      <c r="L73" s="77">
        <v>42796</v>
      </c>
      <c r="M73" s="68"/>
      <c r="N73" s="76" t="s">
        <v>2395</v>
      </c>
      <c r="O73" s="75" t="s">
        <v>2396</v>
      </c>
      <c r="R73" s="74"/>
    </row>
    <row r="74" spans="2:18" ht="36" hidden="1" customHeight="1" x14ac:dyDescent="0.25">
      <c r="B74" s="84">
        <v>1823</v>
      </c>
      <c r="C74" s="83" t="s">
        <v>11</v>
      </c>
      <c r="D74" s="82" t="s">
        <v>2501</v>
      </c>
      <c r="E74" s="81">
        <v>42794</v>
      </c>
      <c r="F74" s="27">
        <f t="shared" ca="1" si="0"/>
        <v>1679</v>
      </c>
      <c r="G74" s="79" t="s">
        <v>2502</v>
      </c>
      <c r="H74" s="80"/>
      <c r="I74" s="80"/>
      <c r="J74" s="79" t="s">
        <v>579</v>
      </c>
      <c r="K74" s="78" t="s">
        <v>623</v>
      </c>
      <c r="L74" s="77">
        <v>42811</v>
      </c>
      <c r="M74" s="68"/>
      <c r="N74" s="76"/>
      <c r="O74" s="75" t="s">
        <v>2503</v>
      </c>
      <c r="R74" s="74"/>
    </row>
    <row r="75" spans="2:18" ht="36" hidden="1" customHeight="1" x14ac:dyDescent="0.25">
      <c r="B75" s="84">
        <v>1828</v>
      </c>
      <c r="C75" s="83" t="s">
        <v>23</v>
      </c>
      <c r="D75" s="82" t="s">
        <v>1269</v>
      </c>
      <c r="E75" s="81">
        <v>42794</v>
      </c>
      <c r="F75" s="27">
        <f t="shared" ca="1" si="0"/>
        <v>1679</v>
      </c>
      <c r="G75" s="79" t="s">
        <v>1261</v>
      </c>
      <c r="H75" s="80"/>
      <c r="I75" s="80"/>
      <c r="J75" s="79" t="s">
        <v>765</v>
      </c>
      <c r="K75" s="78" t="s">
        <v>623</v>
      </c>
      <c r="L75" s="77">
        <v>42798</v>
      </c>
      <c r="M75" s="68"/>
      <c r="N75" s="76"/>
      <c r="O75" s="75" t="s">
        <v>3475</v>
      </c>
      <c r="R75" s="74"/>
    </row>
    <row r="76" spans="2:18" ht="36" hidden="1" customHeight="1" x14ac:dyDescent="0.25">
      <c r="B76" s="84">
        <v>1828</v>
      </c>
      <c r="C76" s="83" t="s">
        <v>19</v>
      </c>
      <c r="D76" s="82" t="s">
        <v>3476</v>
      </c>
      <c r="E76" s="81">
        <v>42794</v>
      </c>
      <c r="F76" s="27">
        <f t="shared" ca="1" si="0"/>
        <v>1679</v>
      </c>
      <c r="G76" s="79" t="s">
        <v>1261</v>
      </c>
      <c r="H76" s="80"/>
      <c r="I76" s="80"/>
      <c r="J76" s="79" t="s">
        <v>765</v>
      </c>
      <c r="K76" s="78" t="s">
        <v>623</v>
      </c>
      <c r="L76" s="77">
        <v>42798</v>
      </c>
      <c r="M76" s="68"/>
      <c r="N76" s="76"/>
      <c r="O76" s="75" t="s">
        <v>3477</v>
      </c>
      <c r="R76" s="74"/>
    </row>
    <row r="77" spans="2:18" ht="36" hidden="1" customHeight="1" x14ac:dyDescent="0.25">
      <c r="B77" s="84">
        <v>1828</v>
      </c>
      <c r="C77" s="83" t="s">
        <v>11</v>
      </c>
      <c r="D77" s="82" t="s">
        <v>3480</v>
      </c>
      <c r="E77" s="81">
        <v>42794</v>
      </c>
      <c r="F77" s="27">
        <f t="shared" ca="1" si="0"/>
        <v>1679</v>
      </c>
      <c r="G77" s="79" t="s">
        <v>1325</v>
      </c>
      <c r="H77" s="80"/>
      <c r="I77" s="80"/>
      <c r="J77" s="79" t="s">
        <v>579</v>
      </c>
      <c r="K77" s="78" t="s">
        <v>623</v>
      </c>
      <c r="L77" s="77">
        <v>42812</v>
      </c>
      <c r="M77" s="68"/>
      <c r="N77" s="76"/>
      <c r="O77" s="75" t="s">
        <v>3481</v>
      </c>
      <c r="R77" s="74"/>
    </row>
    <row r="78" spans="2:18" ht="36" hidden="1" customHeight="1" x14ac:dyDescent="0.25">
      <c r="B78" s="84">
        <v>1642</v>
      </c>
      <c r="C78" s="83" t="s">
        <v>40</v>
      </c>
      <c r="D78" s="82" t="s">
        <v>720</v>
      </c>
      <c r="E78" s="81">
        <v>42795</v>
      </c>
      <c r="F78" s="27">
        <f t="shared" ca="1" si="0"/>
        <v>1678</v>
      </c>
      <c r="G78" s="79"/>
      <c r="H78" s="80"/>
      <c r="I78" s="80"/>
      <c r="J78" s="79"/>
      <c r="K78" s="78"/>
      <c r="L78" s="77">
        <v>42795</v>
      </c>
      <c r="M78" s="68"/>
      <c r="N78" s="76"/>
      <c r="O78" s="75"/>
      <c r="R78" s="74"/>
    </row>
    <row r="79" spans="2:18" ht="36" hidden="1" customHeight="1" x14ac:dyDescent="0.25">
      <c r="B79" s="84">
        <v>1645</v>
      </c>
      <c r="C79" s="83" t="s">
        <v>12</v>
      </c>
      <c r="D79" s="82" t="s">
        <v>1006</v>
      </c>
      <c r="E79" s="81">
        <v>42795</v>
      </c>
      <c r="F79" s="27">
        <f t="shared" ca="1" si="0"/>
        <v>1678</v>
      </c>
      <c r="G79" s="79" t="s">
        <v>578</v>
      </c>
      <c r="H79" s="80"/>
      <c r="I79" s="80"/>
      <c r="J79" s="79" t="s">
        <v>579</v>
      </c>
      <c r="K79" s="78" t="s">
        <v>580</v>
      </c>
      <c r="L79" s="77">
        <v>42795</v>
      </c>
      <c r="M79" s="68"/>
      <c r="N79" s="76"/>
      <c r="O79" s="75"/>
      <c r="R79" s="74"/>
    </row>
    <row r="80" spans="2:18" ht="36" hidden="1" customHeight="1" x14ac:dyDescent="0.25">
      <c r="B80" s="84">
        <v>1827</v>
      </c>
      <c r="C80" s="83" t="s">
        <v>9</v>
      </c>
      <c r="D80" s="82" t="s">
        <v>3284</v>
      </c>
      <c r="E80" s="81">
        <v>42795</v>
      </c>
      <c r="F80" s="27">
        <f t="shared" ref="F80:F143" ca="1" si="1">IF(E80&lt;&gt;"",TODAY()-E80,"")</f>
        <v>1678</v>
      </c>
      <c r="G80" s="79" t="s">
        <v>578</v>
      </c>
      <c r="H80" s="80"/>
      <c r="I80" s="80"/>
      <c r="J80" s="79" t="s">
        <v>579</v>
      </c>
      <c r="K80" s="78" t="s">
        <v>623</v>
      </c>
      <c r="L80" s="77">
        <v>42796</v>
      </c>
      <c r="M80" s="68"/>
      <c r="N80" s="76" t="s">
        <v>595</v>
      </c>
      <c r="O80" s="75" t="s">
        <v>3285</v>
      </c>
      <c r="R80" s="74"/>
    </row>
    <row r="81" spans="2:18" ht="36" hidden="1" customHeight="1" x14ac:dyDescent="0.25">
      <c r="B81" s="84">
        <v>1642</v>
      </c>
      <c r="C81" s="83" t="s">
        <v>11</v>
      </c>
      <c r="D81" s="82" t="s">
        <v>723</v>
      </c>
      <c r="E81" s="81">
        <v>42796</v>
      </c>
      <c r="F81" s="27">
        <f t="shared" ca="1" si="1"/>
        <v>1677</v>
      </c>
      <c r="G81" s="79" t="s">
        <v>586</v>
      </c>
      <c r="H81" s="80"/>
      <c r="I81" s="80"/>
      <c r="J81" s="79" t="s">
        <v>579</v>
      </c>
      <c r="K81" s="78" t="s">
        <v>580</v>
      </c>
      <c r="L81" s="77">
        <v>42803</v>
      </c>
      <c r="M81" s="68"/>
      <c r="N81" s="76"/>
      <c r="O81" s="75" t="s">
        <v>724</v>
      </c>
      <c r="R81" s="74"/>
    </row>
    <row r="82" spans="2:18" ht="36" hidden="1" customHeight="1" x14ac:dyDescent="0.25">
      <c r="B82" s="84">
        <v>1642</v>
      </c>
      <c r="C82" s="83" t="s">
        <v>40</v>
      </c>
      <c r="D82" s="82" t="s">
        <v>721</v>
      </c>
      <c r="E82" s="81">
        <v>42797</v>
      </c>
      <c r="F82" s="27">
        <f t="shared" ca="1" si="1"/>
        <v>1676</v>
      </c>
      <c r="G82" s="79" t="s">
        <v>586</v>
      </c>
      <c r="H82" s="80"/>
      <c r="I82" s="80"/>
      <c r="J82" s="79" t="s">
        <v>579</v>
      </c>
      <c r="K82" s="78" t="s">
        <v>580</v>
      </c>
      <c r="L82" s="77">
        <v>42800</v>
      </c>
      <c r="M82" s="68"/>
      <c r="N82" s="76"/>
      <c r="O82" s="75" t="s">
        <v>722</v>
      </c>
      <c r="R82" s="74"/>
    </row>
    <row r="83" spans="2:18" ht="36" hidden="1" customHeight="1" x14ac:dyDescent="0.25">
      <c r="B83" s="84">
        <v>1822</v>
      </c>
      <c r="C83" s="83" t="s">
        <v>23</v>
      </c>
      <c r="D83" s="82" t="s">
        <v>1271</v>
      </c>
      <c r="E83" s="81">
        <v>42797</v>
      </c>
      <c r="F83" s="27">
        <f t="shared" ca="1" si="1"/>
        <v>1676</v>
      </c>
      <c r="G83" s="79" t="s">
        <v>2397</v>
      </c>
      <c r="H83" s="80"/>
      <c r="I83" s="80"/>
      <c r="J83" s="79" t="s">
        <v>1301</v>
      </c>
      <c r="K83" s="78" t="s">
        <v>1301</v>
      </c>
      <c r="L83" s="77">
        <v>42802</v>
      </c>
      <c r="M83" s="68"/>
      <c r="N83" s="76"/>
      <c r="O83" s="75"/>
      <c r="R83" s="74"/>
    </row>
    <row r="84" spans="2:18" ht="36" hidden="1" customHeight="1" x14ac:dyDescent="0.25">
      <c r="B84" s="84">
        <v>1827</v>
      </c>
      <c r="C84" s="83" t="s">
        <v>12</v>
      </c>
      <c r="D84" s="82" t="s">
        <v>3286</v>
      </c>
      <c r="E84" s="81">
        <v>42797</v>
      </c>
      <c r="F84" s="27">
        <f t="shared" ca="1" si="1"/>
        <v>1676</v>
      </c>
      <c r="G84" s="79" t="s">
        <v>1261</v>
      </c>
      <c r="H84" s="80"/>
      <c r="I84" s="80"/>
      <c r="J84" s="79" t="s">
        <v>765</v>
      </c>
      <c r="K84" s="78" t="s">
        <v>623</v>
      </c>
      <c r="L84" s="77">
        <v>42798</v>
      </c>
      <c r="M84" s="68"/>
      <c r="N84" s="76"/>
      <c r="O84" s="75" t="s">
        <v>2062</v>
      </c>
      <c r="R84" s="74"/>
    </row>
    <row r="85" spans="2:18" ht="36" hidden="1" customHeight="1" x14ac:dyDescent="0.25">
      <c r="B85" s="84">
        <v>1828</v>
      </c>
      <c r="C85" s="83" t="s">
        <v>23</v>
      </c>
      <c r="D85" s="82" t="s">
        <v>3478</v>
      </c>
      <c r="E85" s="81">
        <v>42797</v>
      </c>
      <c r="F85" s="27">
        <f t="shared" ca="1" si="1"/>
        <v>1676</v>
      </c>
      <c r="G85" s="79" t="s">
        <v>1261</v>
      </c>
      <c r="H85" s="80"/>
      <c r="I85" s="80"/>
      <c r="J85" s="79" t="s">
        <v>765</v>
      </c>
      <c r="K85" s="78" t="s">
        <v>623</v>
      </c>
      <c r="L85" s="77">
        <v>42798</v>
      </c>
      <c r="M85" s="68"/>
      <c r="N85" s="76"/>
      <c r="O85" s="75" t="s">
        <v>3479</v>
      </c>
      <c r="R85" s="74"/>
    </row>
    <row r="86" spans="2:18" ht="36" hidden="1" customHeight="1" x14ac:dyDescent="0.25">
      <c r="B86" s="84">
        <v>1819</v>
      </c>
      <c r="C86" s="83" t="s">
        <v>20</v>
      </c>
      <c r="D86" s="82" t="s">
        <v>1829</v>
      </c>
      <c r="E86" s="81">
        <v>42802</v>
      </c>
      <c r="F86" s="27">
        <f t="shared" ca="1" si="1"/>
        <v>1671</v>
      </c>
      <c r="G86" s="79" t="s">
        <v>1830</v>
      </c>
      <c r="H86" s="80"/>
      <c r="I86" s="80"/>
      <c r="J86" s="79" t="s">
        <v>579</v>
      </c>
      <c r="K86" s="78" t="s">
        <v>623</v>
      </c>
      <c r="L86" s="77">
        <v>42804</v>
      </c>
      <c r="M86" s="68"/>
      <c r="N86" s="76" t="s">
        <v>1831</v>
      </c>
      <c r="O86" s="75"/>
      <c r="R86" s="74"/>
    </row>
    <row r="87" spans="2:18" ht="36" hidden="1" customHeight="1" x14ac:dyDescent="0.25">
      <c r="B87" s="84">
        <v>1824</v>
      </c>
      <c r="C87" s="83" t="s">
        <v>40</v>
      </c>
      <c r="D87" s="82" t="s">
        <v>2694</v>
      </c>
      <c r="E87" s="81">
        <v>42802</v>
      </c>
      <c r="F87" s="27">
        <f t="shared" ca="1" si="1"/>
        <v>1671</v>
      </c>
      <c r="G87" s="79" t="s">
        <v>1723</v>
      </c>
      <c r="H87" s="80"/>
      <c r="I87" s="80"/>
      <c r="J87" s="79" t="s">
        <v>579</v>
      </c>
      <c r="K87" s="78" t="s">
        <v>623</v>
      </c>
      <c r="L87" s="77">
        <v>42810</v>
      </c>
      <c r="M87" s="68"/>
      <c r="N87" s="76"/>
      <c r="O87" s="75" t="s">
        <v>2695</v>
      </c>
      <c r="R87" s="74"/>
    </row>
    <row r="88" spans="2:18" ht="36" hidden="1" customHeight="1" x14ac:dyDescent="0.25">
      <c r="B88" s="84">
        <v>1816</v>
      </c>
      <c r="C88" s="83" t="s">
        <v>40</v>
      </c>
      <c r="D88" s="82" t="s">
        <v>1263</v>
      </c>
      <c r="E88" s="81">
        <v>42804</v>
      </c>
      <c r="F88" s="27">
        <f t="shared" ca="1" si="1"/>
        <v>1669</v>
      </c>
      <c r="G88" s="79"/>
      <c r="H88" s="80"/>
      <c r="I88" s="80"/>
      <c r="J88" s="79"/>
      <c r="K88" s="78"/>
      <c r="L88" s="77">
        <v>42804</v>
      </c>
      <c r="M88" s="68"/>
      <c r="N88" s="76"/>
      <c r="O88" s="75" t="s">
        <v>1264</v>
      </c>
      <c r="R88" s="74"/>
    </row>
    <row r="89" spans="2:18" ht="36" hidden="1" customHeight="1" x14ac:dyDescent="0.25">
      <c r="B89" s="84">
        <v>1818</v>
      </c>
      <c r="C89" s="83" t="s">
        <v>40</v>
      </c>
      <c r="D89" s="82" t="s">
        <v>1263</v>
      </c>
      <c r="E89" s="81">
        <v>42804</v>
      </c>
      <c r="F89" s="27">
        <f t="shared" ca="1" si="1"/>
        <v>1669</v>
      </c>
      <c r="G89" s="79"/>
      <c r="H89" s="80"/>
      <c r="I89" s="80"/>
      <c r="J89" s="79"/>
      <c r="K89" s="78"/>
      <c r="L89" s="77">
        <v>42804</v>
      </c>
      <c r="M89" s="68"/>
      <c r="N89" s="76"/>
      <c r="O89" s="75" t="s">
        <v>1264</v>
      </c>
      <c r="R89" s="74"/>
    </row>
    <row r="90" spans="2:18" ht="36" hidden="1" customHeight="1" x14ac:dyDescent="0.25">
      <c r="B90" s="84">
        <v>1819</v>
      </c>
      <c r="C90" s="83" t="s">
        <v>40</v>
      </c>
      <c r="D90" s="82" t="s">
        <v>1263</v>
      </c>
      <c r="E90" s="81">
        <v>42804</v>
      </c>
      <c r="F90" s="27">
        <f t="shared" ca="1" si="1"/>
        <v>1669</v>
      </c>
      <c r="G90" s="79"/>
      <c r="H90" s="80"/>
      <c r="I90" s="80"/>
      <c r="J90" s="79"/>
      <c r="K90" s="78"/>
      <c r="L90" s="77">
        <v>42804</v>
      </c>
      <c r="M90" s="68"/>
      <c r="N90" s="76"/>
      <c r="O90" s="75" t="s">
        <v>1264</v>
      </c>
      <c r="R90" s="74"/>
    </row>
    <row r="91" spans="2:18" ht="36" hidden="1" customHeight="1" x14ac:dyDescent="0.25">
      <c r="B91" s="84">
        <v>1820</v>
      </c>
      <c r="C91" s="83" t="s">
        <v>38</v>
      </c>
      <c r="D91" s="82" t="s">
        <v>2057</v>
      </c>
      <c r="E91" s="81">
        <v>42804</v>
      </c>
      <c r="F91" s="27">
        <f t="shared" ca="1" si="1"/>
        <v>1669</v>
      </c>
      <c r="G91" s="79" t="s">
        <v>1328</v>
      </c>
      <c r="H91" s="80"/>
      <c r="I91" s="80"/>
      <c r="J91" s="79" t="s">
        <v>579</v>
      </c>
      <c r="K91" s="78" t="s">
        <v>623</v>
      </c>
      <c r="L91" s="77">
        <v>42805</v>
      </c>
      <c r="M91" s="68"/>
      <c r="N91" s="76"/>
      <c r="O91" s="75" t="s">
        <v>2058</v>
      </c>
      <c r="R91" s="74"/>
    </row>
    <row r="92" spans="2:18" ht="36" hidden="1" customHeight="1" x14ac:dyDescent="0.25">
      <c r="B92" s="84">
        <v>1825</v>
      </c>
      <c r="C92" s="83" t="s">
        <v>40</v>
      </c>
      <c r="D92" s="82" t="s">
        <v>2945</v>
      </c>
      <c r="E92" s="81">
        <v>42804</v>
      </c>
      <c r="F92" s="27">
        <f t="shared" ca="1" si="1"/>
        <v>1669</v>
      </c>
      <c r="G92" s="79" t="s">
        <v>2946</v>
      </c>
      <c r="H92" s="80"/>
      <c r="I92" s="80"/>
      <c r="J92" s="79" t="s">
        <v>579</v>
      </c>
      <c r="K92" s="78" t="s">
        <v>623</v>
      </c>
      <c r="L92" s="77">
        <v>42812</v>
      </c>
      <c r="M92" s="68"/>
      <c r="N92" s="76"/>
      <c r="O92" s="75" t="s">
        <v>2947</v>
      </c>
      <c r="R92" s="74"/>
    </row>
    <row r="93" spans="2:18" ht="36" hidden="1" customHeight="1" x14ac:dyDescent="0.25">
      <c r="B93" s="84">
        <v>1825</v>
      </c>
      <c r="C93" s="83" t="s">
        <v>23</v>
      </c>
      <c r="D93" s="82" t="s">
        <v>2948</v>
      </c>
      <c r="E93" s="81">
        <v>42804</v>
      </c>
      <c r="F93" s="27">
        <f t="shared" ca="1" si="1"/>
        <v>1669</v>
      </c>
      <c r="G93" s="79" t="s">
        <v>2946</v>
      </c>
      <c r="H93" s="80"/>
      <c r="I93" s="80"/>
      <c r="J93" s="79" t="s">
        <v>579</v>
      </c>
      <c r="K93" s="78" t="s">
        <v>623</v>
      </c>
      <c r="L93" s="77">
        <v>42812</v>
      </c>
      <c r="M93" s="68"/>
      <c r="N93" s="76"/>
      <c r="O93" s="75" t="s">
        <v>2949</v>
      </c>
      <c r="R93" s="74"/>
    </row>
    <row r="94" spans="2:18" ht="36" hidden="1" customHeight="1" x14ac:dyDescent="0.25">
      <c r="B94" s="84">
        <v>1826</v>
      </c>
      <c r="C94" s="83" t="s">
        <v>40</v>
      </c>
      <c r="D94" s="82" t="s">
        <v>3175</v>
      </c>
      <c r="E94" s="81">
        <v>42804</v>
      </c>
      <c r="F94" s="27">
        <f t="shared" ca="1" si="1"/>
        <v>1669</v>
      </c>
      <c r="G94" s="79" t="s">
        <v>578</v>
      </c>
      <c r="H94" s="80"/>
      <c r="I94" s="80"/>
      <c r="J94" s="79" t="s">
        <v>579</v>
      </c>
      <c r="K94" s="78" t="s">
        <v>623</v>
      </c>
      <c r="L94" s="77">
        <v>42812</v>
      </c>
      <c r="M94" s="68"/>
      <c r="N94" s="76"/>
      <c r="O94" s="75" t="s">
        <v>3176</v>
      </c>
      <c r="R94" s="74"/>
    </row>
    <row r="95" spans="2:18" ht="36" hidden="1" customHeight="1" x14ac:dyDescent="0.25">
      <c r="B95" s="84">
        <v>1817</v>
      </c>
      <c r="C95" s="83" t="s">
        <v>11</v>
      </c>
      <c r="D95" s="82" t="s">
        <v>1460</v>
      </c>
      <c r="E95" s="81">
        <v>42807</v>
      </c>
      <c r="F95" s="27">
        <f t="shared" ca="1" si="1"/>
        <v>1666</v>
      </c>
      <c r="G95" s="79" t="s">
        <v>1461</v>
      </c>
      <c r="H95" s="80"/>
      <c r="I95" s="80"/>
      <c r="J95" s="79" t="s">
        <v>579</v>
      </c>
      <c r="K95" s="78" t="s">
        <v>623</v>
      </c>
      <c r="L95" s="77">
        <v>42812</v>
      </c>
      <c r="M95" s="68"/>
      <c r="N95" s="76"/>
      <c r="O95" s="75" t="s">
        <v>1462</v>
      </c>
      <c r="R95" s="74"/>
    </row>
    <row r="96" spans="2:18" ht="36" hidden="1" customHeight="1" x14ac:dyDescent="0.25">
      <c r="B96" s="84">
        <v>1823</v>
      </c>
      <c r="C96" s="83" t="s">
        <v>23</v>
      </c>
      <c r="D96" s="82" t="s">
        <v>2504</v>
      </c>
      <c r="E96" s="81">
        <v>42807</v>
      </c>
      <c r="F96" s="27">
        <f t="shared" ca="1" si="1"/>
        <v>1666</v>
      </c>
      <c r="G96" s="79" t="s">
        <v>2502</v>
      </c>
      <c r="H96" s="80"/>
      <c r="I96" s="80"/>
      <c r="J96" s="79" t="s">
        <v>579</v>
      </c>
      <c r="K96" s="78" t="s">
        <v>623</v>
      </c>
      <c r="L96" s="77">
        <v>42811</v>
      </c>
      <c r="M96" s="68"/>
      <c r="N96" s="76"/>
      <c r="O96" s="75" t="s">
        <v>2505</v>
      </c>
      <c r="R96" s="74"/>
    </row>
    <row r="97" spans="2:18" ht="36" hidden="1" customHeight="1" x14ac:dyDescent="0.25">
      <c r="B97" s="84">
        <v>1823</v>
      </c>
      <c r="C97" s="83" t="s">
        <v>23</v>
      </c>
      <c r="D97" s="82" t="s">
        <v>2506</v>
      </c>
      <c r="E97" s="81">
        <v>42807</v>
      </c>
      <c r="F97" s="27">
        <f t="shared" ca="1" si="1"/>
        <v>1666</v>
      </c>
      <c r="G97" s="79" t="s">
        <v>2502</v>
      </c>
      <c r="H97" s="80"/>
      <c r="I97" s="80"/>
      <c r="J97" s="79" t="s">
        <v>579</v>
      </c>
      <c r="K97" s="78" t="s">
        <v>623</v>
      </c>
      <c r="L97" s="77">
        <v>42811</v>
      </c>
      <c r="M97" s="68"/>
      <c r="N97" s="76"/>
      <c r="O97" s="75" t="s">
        <v>2507</v>
      </c>
      <c r="R97" s="74"/>
    </row>
    <row r="98" spans="2:18" ht="36" hidden="1" customHeight="1" x14ac:dyDescent="0.25">
      <c r="B98" s="84">
        <v>1643</v>
      </c>
      <c r="C98" s="83" t="s">
        <v>8</v>
      </c>
      <c r="D98" s="82" t="s">
        <v>833</v>
      </c>
      <c r="E98" s="81">
        <v>42808</v>
      </c>
      <c r="F98" s="27">
        <f t="shared" ca="1" si="1"/>
        <v>1665</v>
      </c>
      <c r="G98" s="79" t="s">
        <v>834</v>
      </c>
      <c r="H98" s="80"/>
      <c r="I98" s="80"/>
      <c r="J98" s="79" t="s">
        <v>835</v>
      </c>
      <c r="K98" s="78" t="s">
        <v>730</v>
      </c>
      <c r="L98" s="77">
        <v>42812</v>
      </c>
      <c r="M98" s="68"/>
      <c r="N98" s="76"/>
      <c r="O98" s="75" t="s">
        <v>836</v>
      </c>
      <c r="R98" s="74"/>
    </row>
    <row r="99" spans="2:18" ht="36" hidden="1" customHeight="1" x14ac:dyDescent="0.25">
      <c r="B99" s="84">
        <v>1818</v>
      </c>
      <c r="C99" s="83" t="s">
        <v>16</v>
      </c>
      <c r="D99" s="82" t="s">
        <v>1656</v>
      </c>
      <c r="E99" s="81">
        <v>42808</v>
      </c>
      <c r="F99" s="27">
        <f t="shared" ca="1" si="1"/>
        <v>1665</v>
      </c>
      <c r="G99" s="79" t="s">
        <v>1657</v>
      </c>
      <c r="H99" s="80"/>
      <c r="I99" s="80"/>
      <c r="J99" s="79" t="s">
        <v>579</v>
      </c>
      <c r="K99" s="78" t="s">
        <v>623</v>
      </c>
      <c r="L99" s="77">
        <v>42811</v>
      </c>
      <c r="M99" s="68"/>
      <c r="N99" s="76"/>
      <c r="O99" s="75" t="s">
        <v>1658</v>
      </c>
      <c r="R99" s="74"/>
    </row>
    <row r="100" spans="2:18" ht="36" hidden="1" customHeight="1" x14ac:dyDescent="0.25">
      <c r="B100" s="84">
        <v>1818</v>
      </c>
      <c r="C100" s="83" t="s">
        <v>11</v>
      </c>
      <c r="D100" s="82" t="s">
        <v>1659</v>
      </c>
      <c r="E100" s="81">
        <v>42808</v>
      </c>
      <c r="F100" s="27">
        <f t="shared" ca="1" si="1"/>
        <v>1665</v>
      </c>
      <c r="G100" s="79" t="s">
        <v>1657</v>
      </c>
      <c r="H100" s="80"/>
      <c r="I100" s="80"/>
      <c r="J100" s="79" t="s">
        <v>579</v>
      </c>
      <c r="K100" s="78" t="s">
        <v>623</v>
      </c>
      <c r="L100" s="77">
        <v>42811</v>
      </c>
      <c r="M100" s="68"/>
      <c r="N100" s="76"/>
      <c r="O100" s="75" t="s">
        <v>1660</v>
      </c>
      <c r="R100" s="74"/>
    </row>
    <row r="101" spans="2:18" ht="36" hidden="1" customHeight="1" x14ac:dyDescent="0.25">
      <c r="B101" s="84">
        <v>1828</v>
      </c>
      <c r="C101" s="83" t="s">
        <v>11</v>
      </c>
      <c r="D101" s="82" t="s">
        <v>3482</v>
      </c>
      <c r="E101" s="81">
        <v>42808</v>
      </c>
      <c r="F101" s="27">
        <f t="shared" ca="1" si="1"/>
        <v>1665</v>
      </c>
      <c r="G101" s="79" t="s">
        <v>1325</v>
      </c>
      <c r="H101" s="80"/>
      <c r="I101" s="80"/>
      <c r="J101" s="79" t="s">
        <v>579</v>
      </c>
      <c r="K101" s="78" t="s">
        <v>623</v>
      </c>
      <c r="L101" s="77">
        <v>42812</v>
      </c>
      <c r="M101" s="68"/>
      <c r="N101" s="76"/>
      <c r="O101" s="75" t="s">
        <v>3481</v>
      </c>
      <c r="R101" s="74"/>
    </row>
    <row r="102" spans="2:18" ht="36" hidden="1" customHeight="1" x14ac:dyDescent="0.25">
      <c r="B102" s="84">
        <v>1830</v>
      </c>
      <c r="C102" s="83" t="s">
        <v>40</v>
      </c>
      <c r="D102" s="82" t="s">
        <v>3887</v>
      </c>
      <c r="E102" s="81">
        <v>42808</v>
      </c>
      <c r="F102" s="27">
        <f t="shared" ca="1" si="1"/>
        <v>1665</v>
      </c>
      <c r="G102" s="79" t="s">
        <v>1325</v>
      </c>
      <c r="H102" s="80"/>
      <c r="I102" s="80"/>
      <c r="J102" s="79" t="s">
        <v>579</v>
      </c>
      <c r="K102" s="78" t="s">
        <v>623</v>
      </c>
      <c r="L102" s="77">
        <v>42812</v>
      </c>
      <c r="M102" s="68"/>
      <c r="N102" s="76"/>
      <c r="O102" s="75" t="s">
        <v>1462</v>
      </c>
      <c r="R102" s="74"/>
    </row>
    <row r="103" spans="2:18" ht="36" hidden="1" customHeight="1" x14ac:dyDescent="0.25">
      <c r="B103" s="84">
        <v>1816</v>
      </c>
      <c r="C103" s="83" t="s">
        <v>23</v>
      </c>
      <c r="D103" s="82" t="s">
        <v>1265</v>
      </c>
      <c r="E103" s="81">
        <v>42809</v>
      </c>
      <c r="F103" s="27">
        <f t="shared" ca="1" si="1"/>
        <v>1664</v>
      </c>
      <c r="G103" s="79" t="s">
        <v>1266</v>
      </c>
      <c r="H103" s="80"/>
      <c r="I103" s="80"/>
      <c r="J103" s="79" t="s">
        <v>579</v>
      </c>
      <c r="K103" s="78" t="s">
        <v>623</v>
      </c>
      <c r="L103" s="77">
        <v>42812</v>
      </c>
      <c r="M103" s="68"/>
      <c r="N103" s="76"/>
      <c r="O103" s="75" t="s">
        <v>154</v>
      </c>
      <c r="R103" s="74"/>
    </row>
    <row r="104" spans="2:18" ht="36" hidden="1" customHeight="1" x14ac:dyDescent="0.25">
      <c r="B104" s="84">
        <v>1816</v>
      </c>
      <c r="C104" s="83" t="s">
        <v>11</v>
      </c>
      <c r="D104" s="82" t="s">
        <v>1267</v>
      </c>
      <c r="E104" s="81">
        <v>42809</v>
      </c>
      <c r="F104" s="27">
        <f t="shared" ca="1" si="1"/>
        <v>1664</v>
      </c>
      <c r="G104" s="79" t="s">
        <v>1266</v>
      </c>
      <c r="H104" s="80"/>
      <c r="I104" s="80"/>
      <c r="J104" s="79" t="s">
        <v>579</v>
      </c>
      <c r="K104" s="78" t="s">
        <v>623</v>
      </c>
      <c r="L104" s="77">
        <v>42812</v>
      </c>
      <c r="M104" s="68"/>
      <c r="N104" s="76"/>
      <c r="O104" s="75" t="s">
        <v>1268</v>
      </c>
      <c r="R104" s="74"/>
    </row>
    <row r="105" spans="2:18" ht="36" hidden="1" customHeight="1" x14ac:dyDescent="0.25">
      <c r="B105" s="84">
        <v>1827</v>
      </c>
      <c r="C105" s="83" t="s">
        <v>23</v>
      </c>
      <c r="D105" s="82" t="s">
        <v>1269</v>
      </c>
      <c r="E105" s="81">
        <v>42809</v>
      </c>
      <c r="F105" s="27">
        <f t="shared" ca="1" si="1"/>
        <v>1664</v>
      </c>
      <c r="G105" s="79" t="s">
        <v>3287</v>
      </c>
      <c r="H105" s="80"/>
      <c r="I105" s="80"/>
      <c r="J105" s="79" t="s">
        <v>579</v>
      </c>
      <c r="K105" s="78" t="s">
        <v>623</v>
      </c>
      <c r="L105" s="77">
        <v>42810</v>
      </c>
      <c r="M105" s="68"/>
      <c r="N105" s="76"/>
      <c r="O105" s="75" t="s">
        <v>2116</v>
      </c>
      <c r="R105" s="74"/>
    </row>
    <row r="106" spans="2:18" ht="36" hidden="1" customHeight="1" x14ac:dyDescent="0.25">
      <c r="B106" s="84">
        <v>1819</v>
      </c>
      <c r="C106" s="83" t="s">
        <v>9</v>
      </c>
      <c r="D106" s="82" t="s">
        <v>1832</v>
      </c>
      <c r="E106" s="81">
        <v>42810</v>
      </c>
      <c r="F106" s="27">
        <f t="shared" ca="1" si="1"/>
        <v>1663</v>
      </c>
      <c r="G106" s="79" t="s">
        <v>1833</v>
      </c>
      <c r="H106" s="80"/>
      <c r="I106" s="80"/>
      <c r="J106" s="79" t="s">
        <v>579</v>
      </c>
      <c r="K106" s="78" t="s">
        <v>623</v>
      </c>
      <c r="L106" s="77">
        <v>42810</v>
      </c>
      <c r="M106" s="68"/>
      <c r="N106" s="76"/>
      <c r="O106" s="75" t="s">
        <v>1834</v>
      </c>
      <c r="R106" s="74"/>
    </row>
    <row r="107" spans="2:18" ht="36" hidden="1" customHeight="1" x14ac:dyDescent="0.25">
      <c r="B107" s="84">
        <v>1823</v>
      </c>
      <c r="C107" s="83" t="s">
        <v>40</v>
      </c>
      <c r="D107" s="82" t="s">
        <v>1662</v>
      </c>
      <c r="E107" s="81">
        <v>42811</v>
      </c>
      <c r="F107" s="27">
        <f t="shared" ca="1" si="1"/>
        <v>1662</v>
      </c>
      <c r="G107" s="79"/>
      <c r="H107" s="80"/>
      <c r="I107" s="80"/>
      <c r="J107" s="79"/>
      <c r="K107" s="78"/>
      <c r="L107" s="77">
        <v>42811</v>
      </c>
      <c r="M107" s="68"/>
      <c r="N107" s="76"/>
      <c r="O107" s="75" t="s">
        <v>2508</v>
      </c>
      <c r="R107" s="74"/>
    </row>
    <row r="108" spans="2:18" ht="36" hidden="1" customHeight="1" x14ac:dyDescent="0.25">
      <c r="B108" s="84">
        <v>1823</v>
      </c>
      <c r="C108" s="83" t="s">
        <v>15</v>
      </c>
      <c r="D108" s="82" t="s">
        <v>2509</v>
      </c>
      <c r="E108" s="81">
        <v>42811</v>
      </c>
      <c r="F108" s="27">
        <f t="shared" ca="1" si="1"/>
        <v>1662</v>
      </c>
      <c r="G108" s="79"/>
      <c r="H108" s="80"/>
      <c r="I108" s="80"/>
      <c r="J108" s="79"/>
      <c r="K108" s="78"/>
      <c r="L108" s="77">
        <v>42811</v>
      </c>
      <c r="M108" s="68"/>
      <c r="N108" s="76"/>
      <c r="O108" s="75" t="s">
        <v>2510</v>
      </c>
      <c r="R108" s="74"/>
    </row>
    <row r="109" spans="2:18" ht="36" hidden="1" customHeight="1" x14ac:dyDescent="0.25">
      <c r="B109" s="84">
        <v>1646</v>
      </c>
      <c r="C109" s="83" t="s">
        <v>40</v>
      </c>
      <c r="D109" s="82" t="s">
        <v>1103</v>
      </c>
      <c r="E109" s="81">
        <v>42814</v>
      </c>
      <c r="F109" s="27">
        <f t="shared" ca="1" si="1"/>
        <v>1659</v>
      </c>
      <c r="G109" s="79" t="s">
        <v>1104</v>
      </c>
      <c r="H109" s="80"/>
      <c r="I109" s="80"/>
      <c r="J109" s="79" t="s">
        <v>592</v>
      </c>
      <c r="K109" s="78" t="s">
        <v>580</v>
      </c>
      <c r="L109" s="77">
        <v>42828</v>
      </c>
      <c r="M109" s="68"/>
      <c r="N109" s="76"/>
      <c r="O109" s="75" t="s">
        <v>1105</v>
      </c>
      <c r="R109" s="74"/>
    </row>
    <row r="110" spans="2:18" ht="36" hidden="1" customHeight="1" x14ac:dyDescent="0.25">
      <c r="B110" s="84">
        <v>1821</v>
      </c>
      <c r="C110" s="83" t="s">
        <v>38</v>
      </c>
      <c r="D110" s="82" t="s">
        <v>2252</v>
      </c>
      <c r="E110" s="81">
        <v>42814</v>
      </c>
      <c r="F110" s="27">
        <f t="shared" ca="1" si="1"/>
        <v>1659</v>
      </c>
      <c r="G110" s="79" t="s">
        <v>948</v>
      </c>
      <c r="H110" s="80"/>
      <c r="I110" s="80"/>
      <c r="J110" s="79" t="s">
        <v>765</v>
      </c>
      <c r="K110" s="78" t="s">
        <v>623</v>
      </c>
      <c r="L110" s="77">
        <v>42826</v>
      </c>
      <c r="M110" s="68"/>
      <c r="N110" s="76"/>
      <c r="O110" s="75" t="s">
        <v>2253</v>
      </c>
      <c r="R110" s="74"/>
    </row>
    <row r="111" spans="2:18" ht="36" hidden="1" customHeight="1" x14ac:dyDescent="0.25">
      <c r="B111" s="84">
        <v>1829</v>
      </c>
      <c r="C111" s="83" t="s">
        <v>27</v>
      </c>
      <c r="D111" s="82" t="s">
        <v>3705</v>
      </c>
      <c r="E111" s="81">
        <v>42814</v>
      </c>
      <c r="F111" s="27">
        <f t="shared" ca="1" si="1"/>
        <v>1659</v>
      </c>
      <c r="G111" s="79" t="s">
        <v>3706</v>
      </c>
      <c r="H111" s="80"/>
      <c r="I111" s="80"/>
      <c r="J111" s="79" t="s">
        <v>579</v>
      </c>
      <c r="K111" s="78" t="s">
        <v>623</v>
      </c>
      <c r="L111" s="77">
        <v>42817</v>
      </c>
      <c r="M111" s="68"/>
      <c r="N111" s="76"/>
      <c r="O111" s="75" t="s">
        <v>3707</v>
      </c>
      <c r="R111" s="74"/>
    </row>
    <row r="112" spans="2:18" ht="36" hidden="1" customHeight="1" x14ac:dyDescent="0.25">
      <c r="B112" s="84">
        <v>1643</v>
      </c>
      <c r="C112" s="83" t="s">
        <v>23</v>
      </c>
      <c r="D112" s="82" t="s">
        <v>837</v>
      </c>
      <c r="E112" s="81">
        <v>42815</v>
      </c>
      <c r="F112" s="27">
        <f t="shared" ca="1" si="1"/>
        <v>1658</v>
      </c>
      <c r="G112" s="79" t="s">
        <v>834</v>
      </c>
      <c r="H112" s="80"/>
      <c r="I112" s="80"/>
      <c r="J112" s="79" t="s">
        <v>579</v>
      </c>
      <c r="K112" s="78" t="s">
        <v>730</v>
      </c>
      <c r="L112" s="77">
        <v>42816</v>
      </c>
      <c r="M112" s="68"/>
      <c r="N112" s="76"/>
      <c r="O112" s="75" t="s">
        <v>838</v>
      </c>
      <c r="R112" s="74"/>
    </row>
    <row r="113" spans="2:18" ht="36" hidden="1" customHeight="1" x14ac:dyDescent="0.25">
      <c r="B113" s="84">
        <v>1819</v>
      </c>
      <c r="C113" s="83" t="s">
        <v>40</v>
      </c>
      <c r="D113" s="82" t="s">
        <v>1835</v>
      </c>
      <c r="E113" s="81">
        <v>42815</v>
      </c>
      <c r="F113" s="27">
        <f t="shared" ca="1" si="1"/>
        <v>1658</v>
      </c>
      <c r="G113" s="79" t="s">
        <v>1836</v>
      </c>
      <c r="H113" s="80"/>
      <c r="I113" s="80"/>
      <c r="J113" s="79" t="s">
        <v>579</v>
      </c>
      <c r="K113" s="78" t="s">
        <v>623</v>
      </c>
      <c r="L113" s="77">
        <v>42817</v>
      </c>
      <c r="M113" s="68"/>
      <c r="N113" s="76"/>
      <c r="O113" s="75" t="s">
        <v>1837</v>
      </c>
      <c r="R113" s="74"/>
    </row>
    <row r="114" spans="2:18" ht="36" hidden="1" customHeight="1" x14ac:dyDescent="0.25">
      <c r="B114" s="84">
        <v>1820</v>
      </c>
      <c r="C114" s="83" t="s">
        <v>23</v>
      </c>
      <c r="D114" s="82" t="s">
        <v>2059</v>
      </c>
      <c r="E114" s="81">
        <v>42815</v>
      </c>
      <c r="F114" s="27">
        <f t="shared" ca="1" si="1"/>
        <v>1658</v>
      </c>
      <c r="G114" s="79" t="s">
        <v>948</v>
      </c>
      <c r="H114" s="80"/>
      <c r="I114" s="80"/>
      <c r="J114" s="79" t="s">
        <v>765</v>
      </c>
      <c r="K114" s="78" t="s">
        <v>623</v>
      </c>
      <c r="L114" s="77">
        <v>42826</v>
      </c>
      <c r="M114" s="68"/>
      <c r="N114" s="76"/>
      <c r="O114" s="75" t="s">
        <v>1270</v>
      </c>
      <c r="R114" s="74"/>
    </row>
    <row r="115" spans="2:18" ht="36" hidden="1" customHeight="1" x14ac:dyDescent="0.25">
      <c r="B115" s="84">
        <v>1824</v>
      </c>
      <c r="C115" s="83" t="s">
        <v>39</v>
      </c>
      <c r="D115" s="82" t="s">
        <v>2696</v>
      </c>
      <c r="E115" s="81">
        <v>42815</v>
      </c>
      <c r="F115" s="27">
        <f t="shared" ca="1" si="1"/>
        <v>1658</v>
      </c>
      <c r="G115" s="79" t="s">
        <v>948</v>
      </c>
      <c r="H115" s="80"/>
      <c r="I115" s="80"/>
      <c r="J115" s="79" t="s">
        <v>765</v>
      </c>
      <c r="K115" s="78" t="s">
        <v>623</v>
      </c>
      <c r="L115" s="77">
        <v>42826</v>
      </c>
      <c r="M115" s="68"/>
      <c r="N115" s="76"/>
      <c r="O115" s="75" t="s">
        <v>2697</v>
      </c>
      <c r="R115" s="74"/>
    </row>
    <row r="116" spans="2:18" ht="36" hidden="1" customHeight="1" x14ac:dyDescent="0.25">
      <c r="B116" s="84">
        <v>1641</v>
      </c>
      <c r="C116" s="83" t="s">
        <v>23</v>
      </c>
      <c r="D116" s="82" t="s">
        <v>588</v>
      </c>
      <c r="E116" s="81">
        <v>42817</v>
      </c>
      <c r="F116" s="27">
        <f t="shared" ca="1" si="1"/>
        <v>1656</v>
      </c>
      <c r="G116" s="79"/>
      <c r="H116" s="80"/>
      <c r="I116" s="80"/>
      <c r="J116" s="79"/>
      <c r="K116" s="78"/>
      <c r="L116" s="77">
        <v>42817</v>
      </c>
      <c r="M116" s="68"/>
      <c r="N116" s="76"/>
      <c r="O116" s="75" t="s">
        <v>589</v>
      </c>
      <c r="R116" s="74"/>
    </row>
    <row r="117" spans="2:18" ht="36" hidden="1" customHeight="1" x14ac:dyDescent="0.25">
      <c r="B117" s="84">
        <v>1819</v>
      </c>
      <c r="C117" s="83" t="s">
        <v>40</v>
      </c>
      <c r="D117" s="82" t="s">
        <v>1838</v>
      </c>
      <c r="E117" s="81">
        <v>42817</v>
      </c>
      <c r="F117" s="27">
        <f t="shared" ca="1" si="1"/>
        <v>1656</v>
      </c>
      <c r="G117" s="79"/>
      <c r="H117" s="80"/>
      <c r="I117" s="80"/>
      <c r="J117" s="79"/>
      <c r="K117" s="78"/>
      <c r="L117" s="77">
        <v>42817</v>
      </c>
      <c r="M117" s="68"/>
      <c r="N117" s="76"/>
      <c r="O117" s="75" t="s">
        <v>1839</v>
      </c>
      <c r="R117" s="74"/>
    </row>
    <row r="118" spans="2:18" ht="36" hidden="1" customHeight="1" x14ac:dyDescent="0.25">
      <c r="B118" s="84">
        <v>1641</v>
      </c>
      <c r="C118" s="83" t="s">
        <v>11</v>
      </c>
      <c r="D118" s="82" t="s">
        <v>594</v>
      </c>
      <c r="E118" s="81">
        <v>42818</v>
      </c>
      <c r="F118" s="27">
        <f t="shared" ca="1" si="1"/>
        <v>1655</v>
      </c>
      <c r="G118" s="79" t="s">
        <v>591</v>
      </c>
      <c r="H118" s="80"/>
      <c r="I118" s="80"/>
      <c r="J118" s="79" t="s">
        <v>592</v>
      </c>
      <c r="K118" s="78" t="s">
        <v>580</v>
      </c>
      <c r="L118" s="77">
        <v>42823</v>
      </c>
      <c r="M118" s="68"/>
      <c r="N118" s="76"/>
      <c r="O118" s="75" t="s">
        <v>595</v>
      </c>
      <c r="R118" s="74"/>
    </row>
    <row r="119" spans="2:18" ht="36" hidden="1" customHeight="1" x14ac:dyDescent="0.25">
      <c r="B119" s="84">
        <v>1816</v>
      </c>
      <c r="C119" s="83" t="s">
        <v>23</v>
      </c>
      <c r="D119" s="82" t="s">
        <v>1269</v>
      </c>
      <c r="E119" s="81">
        <v>42818</v>
      </c>
      <c r="F119" s="27">
        <f t="shared" ca="1" si="1"/>
        <v>1655</v>
      </c>
      <c r="G119" s="79" t="s">
        <v>591</v>
      </c>
      <c r="H119" s="80"/>
      <c r="I119" s="80"/>
      <c r="J119" s="79" t="s">
        <v>765</v>
      </c>
      <c r="K119" s="78" t="s">
        <v>623</v>
      </c>
      <c r="L119" s="77">
        <v>42826</v>
      </c>
      <c r="M119" s="68"/>
      <c r="N119" s="76"/>
      <c r="O119" s="75" t="s">
        <v>1270</v>
      </c>
      <c r="R119" s="74"/>
    </row>
    <row r="120" spans="2:18" ht="36" hidden="1" customHeight="1" x14ac:dyDescent="0.25">
      <c r="B120" s="84">
        <v>1825</v>
      </c>
      <c r="C120" s="83" t="s">
        <v>23</v>
      </c>
      <c r="D120" s="82" t="s">
        <v>1655</v>
      </c>
      <c r="E120" s="81">
        <v>42818</v>
      </c>
      <c r="F120" s="27">
        <f t="shared" ca="1" si="1"/>
        <v>1655</v>
      </c>
      <c r="G120" s="79" t="s">
        <v>948</v>
      </c>
      <c r="H120" s="80"/>
      <c r="I120" s="80"/>
      <c r="J120" s="79" t="s">
        <v>765</v>
      </c>
      <c r="K120" s="78" t="s">
        <v>623</v>
      </c>
      <c r="L120" s="77">
        <v>42826</v>
      </c>
      <c r="M120" s="68"/>
      <c r="N120" s="76"/>
      <c r="O120" s="75" t="s">
        <v>2952</v>
      </c>
      <c r="R120" s="74"/>
    </row>
    <row r="121" spans="2:18" ht="36" hidden="1" customHeight="1" x14ac:dyDescent="0.25">
      <c r="B121" s="84">
        <v>1825</v>
      </c>
      <c r="C121" s="83" t="s">
        <v>40</v>
      </c>
      <c r="D121" s="82" t="s">
        <v>2953</v>
      </c>
      <c r="E121" s="81">
        <v>42818</v>
      </c>
      <c r="F121" s="27">
        <f t="shared" ca="1" si="1"/>
        <v>1655</v>
      </c>
      <c r="G121" s="79" t="s">
        <v>948</v>
      </c>
      <c r="H121" s="80"/>
      <c r="I121" s="80"/>
      <c r="J121" s="79" t="s">
        <v>765</v>
      </c>
      <c r="K121" s="78" t="s">
        <v>623</v>
      </c>
      <c r="L121" s="77">
        <v>42826</v>
      </c>
      <c r="M121" s="68"/>
      <c r="N121" s="76"/>
      <c r="O121" s="75" t="s">
        <v>2954</v>
      </c>
      <c r="R121" s="74"/>
    </row>
    <row r="122" spans="2:18" ht="36" hidden="1" customHeight="1" x14ac:dyDescent="0.25">
      <c r="B122" s="84">
        <v>1641</v>
      </c>
      <c r="C122" s="83" t="s">
        <v>40</v>
      </c>
      <c r="D122" s="82" t="s">
        <v>590</v>
      </c>
      <c r="E122" s="81">
        <v>42822</v>
      </c>
      <c r="F122" s="27">
        <f t="shared" ca="1" si="1"/>
        <v>1651</v>
      </c>
      <c r="G122" s="79" t="s">
        <v>591</v>
      </c>
      <c r="H122" s="80"/>
      <c r="I122" s="80"/>
      <c r="J122" s="79" t="s">
        <v>592</v>
      </c>
      <c r="K122" s="78" t="s">
        <v>580</v>
      </c>
      <c r="L122" s="77">
        <v>42822</v>
      </c>
      <c r="M122" s="68"/>
      <c r="N122" s="76"/>
      <c r="O122" s="75" t="s">
        <v>593</v>
      </c>
      <c r="R122" s="74"/>
    </row>
    <row r="123" spans="2:18" ht="36" hidden="1" customHeight="1" x14ac:dyDescent="0.25">
      <c r="B123" s="84">
        <v>1645</v>
      </c>
      <c r="C123" s="83" t="s">
        <v>40</v>
      </c>
      <c r="D123" s="82" t="s">
        <v>1007</v>
      </c>
      <c r="E123" s="81">
        <v>42822</v>
      </c>
      <c r="F123" s="27">
        <f t="shared" ca="1" si="1"/>
        <v>1651</v>
      </c>
      <c r="G123" s="79" t="s">
        <v>591</v>
      </c>
      <c r="H123" s="80"/>
      <c r="I123" s="80"/>
      <c r="J123" s="79" t="s">
        <v>592</v>
      </c>
      <c r="K123" s="78" t="s">
        <v>580</v>
      </c>
      <c r="L123" s="77">
        <v>42824</v>
      </c>
      <c r="M123" s="68"/>
      <c r="N123" s="76"/>
      <c r="O123" s="75" t="s">
        <v>595</v>
      </c>
      <c r="R123" s="74"/>
    </row>
    <row r="124" spans="2:18" ht="36" hidden="1" customHeight="1" x14ac:dyDescent="0.25">
      <c r="B124" s="84">
        <v>1825</v>
      </c>
      <c r="C124" s="83" t="s">
        <v>23</v>
      </c>
      <c r="D124" s="82" t="s">
        <v>2955</v>
      </c>
      <c r="E124" s="81">
        <v>42822</v>
      </c>
      <c r="F124" s="27">
        <f t="shared" ca="1" si="1"/>
        <v>1651</v>
      </c>
      <c r="G124" s="79" t="s">
        <v>948</v>
      </c>
      <c r="H124" s="80"/>
      <c r="I124" s="80"/>
      <c r="J124" s="79" t="s">
        <v>765</v>
      </c>
      <c r="K124" s="78" t="s">
        <v>623</v>
      </c>
      <c r="L124" s="77">
        <v>42826</v>
      </c>
      <c r="M124" s="68"/>
      <c r="N124" s="76"/>
      <c r="O124" s="75" t="s">
        <v>2358</v>
      </c>
      <c r="R124" s="74"/>
    </row>
    <row r="125" spans="2:18" ht="36" hidden="1" customHeight="1" x14ac:dyDescent="0.25">
      <c r="B125" s="84">
        <v>1825</v>
      </c>
      <c r="C125" s="83" t="s">
        <v>17</v>
      </c>
      <c r="D125" s="82" t="s">
        <v>2958</v>
      </c>
      <c r="E125" s="81">
        <v>42822</v>
      </c>
      <c r="F125" s="27">
        <f t="shared" ca="1" si="1"/>
        <v>1651</v>
      </c>
      <c r="G125" s="79" t="s">
        <v>1273</v>
      </c>
      <c r="H125" s="80"/>
      <c r="I125" s="80"/>
      <c r="J125" s="79" t="s">
        <v>765</v>
      </c>
      <c r="K125" s="78" t="s">
        <v>623</v>
      </c>
      <c r="L125" s="77">
        <v>42833</v>
      </c>
      <c r="M125" s="68"/>
      <c r="N125" s="76"/>
      <c r="O125" s="75" t="s">
        <v>2959</v>
      </c>
      <c r="R125" s="74"/>
    </row>
    <row r="126" spans="2:18" ht="36" hidden="1" customHeight="1" x14ac:dyDescent="0.25">
      <c r="B126" s="84">
        <v>1829</v>
      </c>
      <c r="C126" s="83" t="s">
        <v>23</v>
      </c>
      <c r="D126" s="82" t="s">
        <v>3708</v>
      </c>
      <c r="E126" s="81">
        <v>42822</v>
      </c>
      <c r="F126" s="27">
        <f t="shared" ca="1" si="1"/>
        <v>1651</v>
      </c>
      <c r="G126" s="79" t="s">
        <v>948</v>
      </c>
      <c r="H126" s="80"/>
      <c r="I126" s="80"/>
      <c r="J126" s="79" t="s">
        <v>765</v>
      </c>
      <c r="K126" s="78" t="s">
        <v>623</v>
      </c>
      <c r="L126" s="77">
        <v>42826</v>
      </c>
      <c r="M126" s="68"/>
      <c r="N126" s="76"/>
      <c r="O126" s="75" t="s">
        <v>3709</v>
      </c>
      <c r="R126" s="74"/>
    </row>
    <row r="127" spans="2:18" ht="36" hidden="1" customHeight="1" x14ac:dyDescent="0.25">
      <c r="B127" s="84">
        <v>1819</v>
      </c>
      <c r="C127" s="83" t="s">
        <v>12</v>
      </c>
      <c r="D127" s="82" t="s">
        <v>1840</v>
      </c>
      <c r="E127" s="81">
        <v>42823</v>
      </c>
      <c r="F127" s="27">
        <f t="shared" ca="1" si="1"/>
        <v>1650</v>
      </c>
      <c r="G127" s="79" t="s">
        <v>1841</v>
      </c>
      <c r="H127" s="80"/>
      <c r="I127" s="80"/>
      <c r="J127" s="79" t="s">
        <v>579</v>
      </c>
      <c r="K127" s="78" t="s">
        <v>623</v>
      </c>
      <c r="L127" s="77">
        <v>42823</v>
      </c>
      <c r="M127" s="68"/>
      <c r="N127" s="76"/>
      <c r="O127" s="75" t="s">
        <v>1842</v>
      </c>
      <c r="R127" s="74"/>
    </row>
    <row r="128" spans="2:18" ht="36" hidden="1" customHeight="1" x14ac:dyDescent="0.25">
      <c r="B128" s="84">
        <v>1825</v>
      </c>
      <c r="C128" s="83" t="s">
        <v>38</v>
      </c>
      <c r="D128" s="82" t="s">
        <v>2950</v>
      </c>
      <c r="E128" s="81">
        <v>42823</v>
      </c>
      <c r="F128" s="27">
        <f t="shared" ca="1" si="1"/>
        <v>1650</v>
      </c>
      <c r="G128" s="79" t="s">
        <v>1723</v>
      </c>
      <c r="H128" s="80"/>
      <c r="I128" s="80"/>
      <c r="J128" s="79" t="s">
        <v>579</v>
      </c>
      <c r="K128" s="78" t="s">
        <v>623</v>
      </c>
      <c r="L128" s="77">
        <v>42823</v>
      </c>
      <c r="M128" s="68"/>
      <c r="N128" s="76"/>
      <c r="O128" s="75" t="s">
        <v>2951</v>
      </c>
      <c r="R128" s="74"/>
    </row>
    <row r="129" spans="2:18" ht="36" hidden="1" customHeight="1" x14ac:dyDescent="0.25">
      <c r="B129" s="84">
        <v>1825</v>
      </c>
      <c r="C129" s="83" t="s">
        <v>40</v>
      </c>
      <c r="D129" s="82" t="s">
        <v>2966</v>
      </c>
      <c r="E129" s="81">
        <v>42823</v>
      </c>
      <c r="F129" s="27">
        <f t="shared" ca="1" si="1"/>
        <v>1650</v>
      </c>
      <c r="G129" s="79" t="s">
        <v>603</v>
      </c>
      <c r="H129" s="80"/>
      <c r="I129" s="80"/>
      <c r="J129" s="79" t="s">
        <v>765</v>
      </c>
      <c r="K129" s="78" t="s">
        <v>623</v>
      </c>
      <c r="L129" s="77">
        <v>42924</v>
      </c>
      <c r="M129" s="68"/>
      <c r="N129" s="76"/>
      <c r="O129" s="75" t="s">
        <v>2967</v>
      </c>
      <c r="R129" s="74"/>
    </row>
    <row r="130" spans="2:18" ht="36" hidden="1" customHeight="1" x14ac:dyDescent="0.25">
      <c r="B130" s="84">
        <v>1817</v>
      </c>
      <c r="C130" s="83" t="s">
        <v>23</v>
      </c>
      <c r="D130" s="82" t="s">
        <v>1467</v>
      </c>
      <c r="E130" s="81">
        <v>42824</v>
      </c>
      <c r="F130" s="27">
        <f t="shared" ca="1" si="1"/>
        <v>1649</v>
      </c>
      <c r="G130" s="79" t="s">
        <v>1273</v>
      </c>
      <c r="H130" s="80"/>
      <c r="I130" s="80"/>
      <c r="J130" s="79" t="s">
        <v>765</v>
      </c>
      <c r="K130" s="78" t="s">
        <v>623</v>
      </c>
      <c r="L130" s="77">
        <v>42833</v>
      </c>
      <c r="M130" s="68"/>
      <c r="N130" s="76"/>
      <c r="O130" s="75" t="s">
        <v>1468</v>
      </c>
      <c r="R130" s="74"/>
    </row>
    <row r="131" spans="2:18" ht="36" hidden="1" customHeight="1" x14ac:dyDescent="0.25">
      <c r="B131" s="84">
        <v>1827</v>
      </c>
      <c r="C131" s="83" t="s">
        <v>35</v>
      </c>
      <c r="D131" s="82" t="s">
        <v>3290</v>
      </c>
      <c r="E131" s="81">
        <v>42824</v>
      </c>
      <c r="F131" s="27">
        <f t="shared" ca="1" si="1"/>
        <v>1649</v>
      </c>
      <c r="G131" s="79" t="s">
        <v>1273</v>
      </c>
      <c r="H131" s="80"/>
      <c r="I131" s="80"/>
      <c r="J131" s="79" t="s">
        <v>765</v>
      </c>
      <c r="K131" s="78" t="s">
        <v>623</v>
      </c>
      <c r="L131" s="77">
        <v>42833</v>
      </c>
      <c r="M131" s="68"/>
      <c r="N131" s="76"/>
      <c r="O131" s="75" t="s">
        <v>3291</v>
      </c>
      <c r="R131" s="74"/>
    </row>
    <row r="132" spans="2:18" ht="36" hidden="1" customHeight="1" x14ac:dyDescent="0.25">
      <c r="B132" s="84">
        <v>1827</v>
      </c>
      <c r="C132" s="83" t="s">
        <v>18</v>
      </c>
      <c r="D132" s="82" t="s">
        <v>3292</v>
      </c>
      <c r="E132" s="81">
        <v>42824</v>
      </c>
      <c r="F132" s="27">
        <f t="shared" ca="1" si="1"/>
        <v>1649</v>
      </c>
      <c r="G132" s="79" t="s">
        <v>1273</v>
      </c>
      <c r="H132" s="80"/>
      <c r="I132" s="80"/>
      <c r="J132" s="79" t="s">
        <v>765</v>
      </c>
      <c r="K132" s="78" t="s">
        <v>623</v>
      </c>
      <c r="L132" s="77">
        <v>42833</v>
      </c>
      <c r="M132" s="68"/>
      <c r="N132" s="76"/>
      <c r="O132" s="75" t="s">
        <v>3293</v>
      </c>
      <c r="R132" s="74"/>
    </row>
    <row r="133" spans="2:18" ht="36" hidden="1" customHeight="1" x14ac:dyDescent="0.25">
      <c r="B133" s="84">
        <v>1817</v>
      </c>
      <c r="C133" s="83" t="s">
        <v>23</v>
      </c>
      <c r="D133" s="82" t="s">
        <v>1463</v>
      </c>
      <c r="E133" s="81">
        <v>42825</v>
      </c>
      <c r="F133" s="27">
        <f t="shared" ca="1" si="1"/>
        <v>1648</v>
      </c>
      <c r="G133" s="79" t="s">
        <v>948</v>
      </c>
      <c r="H133" s="80"/>
      <c r="I133" s="80"/>
      <c r="J133" s="79" t="s">
        <v>765</v>
      </c>
      <c r="K133" s="78" t="s">
        <v>623</v>
      </c>
      <c r="L133" s="77">
        <v>42826</v>
      </c>
      <c r="M133" s="68"/>
      <c r="N133" s="76"/>
      <c r="O133" s="75" t="s">
        <v>1464</v>
      </c>
      <c r="R133" s="74"/>
    </row>
    <row r="134" spans="2:18" ht="36" hidden="1" customHeight="1" x14ac:dyDescent="0.25">
      <c r="B134" s="84">
        <v>1821</v>
      </c>
      <c r="C134" s="83" t="s">
        <v>23</v>
      </c>
      <c r="D134" s="82" t="s">
        <v>2254</v>
      </c>
      <c r="E134" s="81">
        <v>42825</v>
      </c>
      <c r="F134" s="27">
        <f t="shared" ca="1" si="1"/>
        <v>1648</v>
      </c>
      <c r="G134" s="79" t="s">
        <v>948</v>
      </c>
      <c r="H134" s="80"/>
      <c r="I134" s="80"/>
      <c r="J134" s="79" t="s">
        <v>765</v>
      </c>
      <c r="K134" s="78" t="s">
        <v>623</v>
      </c>
      <c r="L134" s="77">
        <v>42826</v>
      </c>
      <c r="M134" s="68"/>
      <c r="N134" s="76"/>
      <c r="O134" s="75" t="s">
        <v>2255</v>
      </c>
      <c r="R134" s="74"/>
    </row>
    <row r="135" spans="2:18" ht="36" hidden="1" customHeight="1" x14ac:dyDescent="0.25">
      <c r="B135" s="84">
        <v>1825</v>
      </c>
      <c r="C135" s="83" t="s">
        <v>23</v>
      </c>
      <c r="D135" s="82" t="s">
        <v>2956</v>
      </c>
      <c r="E135" s="81">
        <v>42825</v>
      </c>
      <c r="F135" s="27">
        <f t="shared" ca="1" si="1"/>
        <v>1648</v>
      </c>
      <c r="G135" s="79" t="s">
        <v>948</v>
      </c>
      <c r="H135" s="80"/>
      <c r="I135" s="80"/>
      <c r="J135" s="79" t="s">
        <v>765</v>
      </c>
      <c r="K135" s="78" t="s">
        <v>623</v>
      </c>
      <c r="L135" s="77">
        <v>42826</v>
      </c>
      <c r="M135" s="68"/>
      <c r="N135" s="76"/>
      <c r="O135" s="75" t="s">
        <v>2957</v>
      </c>
      <c r="R135" s="74"/>
    </row>
    <row r="136" spans="2:18" ht="36" hidden="1" customHeight="1" x14ac:dyDescent="0.25">
      <c r="B136" s="84">
        <v>1817</v>
      </c>
      <c r="C136" s="83" t="s">
        <v>40</v>
      </c>
      <c r="D136" s="82" t="s">
        <v>1465</v>
      </c>
      <c r="E136" s="81">
        <v>42826</v>
      </c>
      <c r="F136" s="27">
        <f t="shared" ca="1" si="1"/>
        <v>1647</v>
      </c>
      <c r="G136" s="79"/>
      <c r="H136" s="80"/>
      <c r="I136" s="80"/>
      <c r="J136" s="79"/>
      <c r="K136" s="78"/>
      <c r="L136" s="77">
        <v>42826</v>
      </c>
      <c r="M136" s="68"/>
      <c r="N136" s="76"/>
      <c r="O136" s="75" t="s">
        <v>1466</v>
      </c>
      <c r="R136" s="74"/>
    </row>
    <row r="137" spans="2:18" ht="36" hidden="1" customHeight="1" x14ac:dyDescent="0.25">
      <c r="B137" s="84">
        <v>1818</v>
      </c>
      <c r="C137" s="83" t="s">
        <v>40</v>
      </c>
      <c r="D137" s="82" t="s">
        <v>1465</v>
      </c>
      <c r="E137" s="81">
        <v>42826</v>
      </c>
      <c r="F137" s="27">
        <f t="shared" ca="1" si="1"/>
        <v>1647</v>
      </c>
      <c r="G137" s="79"/>
      <c r="H137" s="80"/>
      <c r="I137" s="80"/>
      <c r="J137" s="79"/>
      <c r="K137" s="78"/>
      <c r="L137" s="77">
        <v>42826</v>
      </c>
      <c r="M137" s="68"/>
      <c r="N137" s="76"/>
      <c r="O137" s="75" t="s">
        <v>1466</v>
      </c>
      <c r="R137" s="74"/>
    </row>
    <row r="138" spans="2:18" ht="36" hidden="1" customHeight="1" x14ac:dyDescent="0.25">
      <c r="B138" s="84">
        <v>1818</v>
      </c>
      <c r="C138" s="83" t="s">
        <v>40</v>
      </c>
      <c r="D138" s="82" t="s">
        <v>1661</v>
      </c>
      <c r="E138" s="81">
        <v>42826</v>
      </c>
      <c r="F138" s="27">
        <f t="shared" ca="1" si="1"/>
        <v>1647</v>
      </c>
      <c r="G138" s="79"/>
      <c r="H138" s="80"/>
      <c r="I138" s="80"/>
      <c r="J138" s="79"/>
      <c r="K138" s="78"/>
      <c r="L138" s="77">
        <v>42826</v>
      </c>
      <c r="M138" s="68"/>
      <c r="N138" s="76"/>
      <c r="O138" s="75" t="s">
        <v>1662</v>
      </c>
      <c r="R138" s="74"/>
    </row>
    <row r="139" spans="2:18" ht="36" hidden="1" customHeight="1" x14ac:dyDescent="0.25">
      <c r="B139" s="84">
        <v>1821</v>
      </c>
      <c r="C139" s="83" t="s">
        <v>40</v>
      </c>
      <c r="D139" s="82" t="s">
        <v>1465</v>
      </c>
      <c r="E139" s="81">
        <v>42826</v>
      </c>
      <c r="F139" s="27">
        <f t="shared" ca="1" si="1"/>
        <v>1647</v>
      </c>
      <c r="G139" s="79"/>
      <c r="H139" s="80"/>
      <c r="I139" s="80"/>
      <c r="J139" s="79"/>
      <c r="K139" s="78"/>
      <c r="L139" s="77">
        <v>42826</v>
      </c>
      <c r="M139" s="68"/>
      <c r="N139" s="76"/>
      <c r="O139" s="75" t="s">
        <v>1466</v>
      </c>
      <c r="R139" s="74"/>
    </row>
    <row r="140" spans="2:18" ht="36" hidden="1" customHeight="1" x14ac:dyDescent="0.25">
      <c r="B140" s="84">
        <v>1822</v>
      </c>
      <c r="C140" s="83" t="s">
        <v>40</v>
      </c>
      <c r="D140" s="82" t="s">
        <v>1661</v>
      </c>
      <c r="E140" s="81">
        <v>42826</v>
      </c>
      <c r="F140" s="27">
        <f t="shared" ca="1" si="1"/>
        <v>1647</v>
      </c>
      <c r="G140" s="79"/>
      <c r="H140" s="80"/>
      <c r="I140" s="80"/>
      <c r="J140" s="79"/>
      <c r="K140" s="78"/>
      <c r="L140" s="77">
        <v>42826</v>
      </c>
      <c r="M140" s="68"/>
      <c r="N140" s="76"/>
      <c r="O140" s="75" t="s">
        <v>1662</v>
      </c>
      <c r="R140" s="74"/>
    </row>
    <row r="141" spans="2:18" ht="36" hidden="1" customHeight="1" x14ac:dyDescent="0.25">
      <c r="B141" s="84">
        <v>1822</v>
      </c>
      <c r="C141" s="83" t="s">
        <v>39</v>
      </c>
      <c r="D141" s="82" t="s">
        <v>2398</v>
      </c>
      <c r="E141" s="81">
        <v>42826</v>
      </c>
      <c r="F141" s="27">
        <f t="shared" ca="1" si="1"/>
        <v>1647</v>
      </c>
      <c r="G141" s="79"/>
      <c r="H141" s="80"/>
      <c r="I141" s="80"/>
      <c r="J141" s="79"/>
      <c r="K141" s="78"/>
      <c r="L141" s="77">
        <v>42826</v>
      </c>
      <c r="M141" s="68"/>
      <c r="N141" s="76"/>
      <c r="O141" s="75" t="s">
        <v>2399</v>
      </c>
      <c r="R141" s="74"/>
    </row>
    <row r="142" spans="2:18" ht="36" hidden="1" customHeight="1" x14ac:dyDescent="0.25">
      <c r="B142" s="84">
        <v>1824</v>
      </c>
      <c r="C142" s="83" t="s">
        <v>40</v>
      </c>
      <c r="D142" s="82" t="s">
        <v>1465</v>
      </c>
      <c r="E142" s="81">
        <v>42826</v>
      </c>
      <c r="F142" s="27">
        <f t="shared" ca="1" si="1"/>
        <v>1647</v>
      </c>
      <c r="G142" s="79"/>
      <c r="H142" s="80"/>
      <c r="I142" s="80"/>
      <c r="J142" s="79"/>
      <c r="K142" s="78"/>
      <c r="L142" s="77">
        <v>42826</v>
      </c>
      <c r="M142" s="68"/>
      <c r="N142" s="76"/>
      <c r="O142" s="75" t="s">
        <v>1466</v>
      </c>
      <c r="R142" s="74"/>
    </row>
    <row r="143" spans="2:18" ht="36" hidden="1" customHeight="1" x14ac:dyDescent="0.25">
      <c r="B143" s="84">
        <v>1824</v>
      </c>
      <c r="C143" s="83" t="s">
        <v>20</v>
      </c>
      <c r="D143" s="82" t="s">
        <v>2698</v>
      </c>
      <c r="E143" s="81">
        <v>42826</v>
      </c>
      <c r="F143" s="27">
        <f t="shared" ca="1" si="1"/>
        <v>1647</v>
      </c>
      <c r="G143" s="79" t="s">
        <v>1723</v>
      </c>
      <c r="H143" s="80"/>
      <c r="I143" s="80"/>
      <c r="J143" s="79" t="s">
        <v>579</v>
      </c>
      <c r="K143" s="78" t="s">
        <v>623</v>
      </c>
      <c r="L143" s="77">
        <v>42829</v>
      </c>
      <c r="M143" s="68"/>
      <c r="N143" s="76"/>
      <c r="O143" s="75"/>
      <c r="R143" s="74"/>
    </row>
    <row r="144" spans="2:18" ht="36" hidden="1" customHeight="1" x14ac:dyDescent="0.25">
      <c r="B144" s="84">
        <v>1824</v>
      </c>
      <c r="C144" s="83" t="s">
        <v>38</v>
      </c>
      <c r="D144" s="82" t="s">
        <v>2703</v>
      </c>
      <c r="E144" s="81">
        <v>42826</v>
      </c>
      <c r="F144" s="27">
        <f t="shared" ref="F144:F207" ca="1" si="2">IF(E144&lt;&gt;"",TODAY()-E144,"")</f>
        <v>1647</v>
      </c>
      <c r="G144" s="79" t="s">
        <v>1273</v>
      </c>
      <c r="H144" s="80"/>
      <c r="I144" s="80"/>
      <c r="J144" s="79" t="s">
        <v>765</v>
      </c>
      <c r="K144" s="78" t="s">
        <v>623</v>
      </c>
      <c r="L144" s="77">
        <v>42833</v>
      </c>
      <c r="M144" s="68"/>
      <c r="N144" s="76"/>
      <c r="O144" s="75" t="s">
        <v>2704</v>
      </c>
      <c r="R144" s="74"/>
    </row>
    <row r="145" spans="2:18" ht="36" hidden="1" customHeight="1" x14ac:dyDescent="0.25">
      <c r="B145" s="84">
        <v>1825</v>
      </c>
      <c r="C145" s="83" t="s">
        <v>39</v>
      </c>
      <c r="D145" s="82" t="s">
        <v>2398</v>
      </c>
      <c r="E145" s="81">
        <v>42826</v>
      </c>
      <c r="F145" s="27">
        <f t="shared" ca="1" si="2"/>
        <v>1647</v>
      </c>
      <c r="G145" s="79"/>
      <c r="H145" s="80"/>
      <c r="I145" s="80"/>
      <c r="J145" s="79"/>
      <c r="K145" s="78"/>
      <c r="L145" s="77">
        <v>42826</v>
      </c>
      <c r="M145" s="68"/>
      <c r="N145" s="76"/>
      <c r="O145" s="75" t="s">
        <v>2399</v>
      </c>
      <c r="R145" s="74"/>
    </row>
    <row r="146" spans="2:18" ht="36" hidden="1" customHeight="1" x14ac:dyDescent="0.25">
      <c r="B146" s="84">
        <v>1827</v>
      </c>
      <c r="C146" s="83" t="s">
        <v>39</v>
      </c>
      <c r="D146" s="82" t="s">
        <v>2398</v>
      </c>
      <c r="E146" s="81">
        <v>42826</v>
      </c>
      <c r="F146" s="27">
        <f t="shared" ca="1" si="2"/>
        <v>1647</v>
      </c>
      <c r="G146" s="79"/>
      <c r="H146" s="80"/>
      <c r="I146" s="80"/>
      <c r="J146" s="79"/>
      <c r="K146" s="78"/>
      <c r="L146" s="77">
        <v>42826</v>
      </c>
      <c r="M146" s="68"/>
      <c r="N146" s="76"/>
      <c r="O146" s="75" t="s">
        <v>2399</v>
      </c>
      <c r="R146" s="74"/>
    </row>
    <row r="147" spans="2:18" ht="36" hidden="1" customHeight="1" x14ac:dyDescent="0.25">
      <c r="B147" s="84">
        <v>1828</v>
      </c>
      <c r="C147" s="83" t="s">
        <v>40</v>
      </c>
      <c r="D147" s="82" t="s">
        <v>1465</v>
      </c>
      <c r="E147" s="81">
        <v>42826</v>
      </c>
      <c r="F147" s="27">
        <f t="shared" ca="1" si="2"/>
        <v>1647</v>
      </c>
      <c r="G147" s="79"/>
      <c r="H147" s="80"/>
      <c r="I147" s="80"/>
      <c r="J147" s="79"/>
      <c r="K147" s="78"/>
      <c r="L147" s="77">
        <v>42826</v>
      </c>
      <c r="M147" s="68"/>
      <c r="N147" s="76"/>
      <c r="O147" s="75" t="s">
        <v>1466</v>
      </c>
      <c r="R147" s="74"/>
    </row>
    <row r="148" spans="2:18" ht="36" hidden="1" customHeight="1" x14ac:dyDescent="0.25">
      <c r="B148" s="84">
        <v>1828</v>
      </c>
      <c r="C148" s="83" t="s">
        <v>39</v>
      </c>
      <c r="D148" s="82" t="s">
        <v>2398</v>
      </c>
      <c r="E148" s="81">
        <v>42826</v>
      </c>
      <c r="F148" s="27">
        <f t="shared" ca="1" si="2"/>
        <v>1647</v>
      </c>
      <c r="G148" s="79"/>
      <c r="H148" s="80"/>
      <c r="I148" s="80"/>
      <c r="J148" s="79"/>
      <c r="K148" s="78"/>
      <c r="L148" s="77">
        <v>42826</v>
      </c>
      <c r="M148" s="68"/>
      <c r="N148" s="76"/>
      <c r="O148" s="75" t="s">
        <v>2399</v>
      </c>
      <c r="R148" s="74"/>
    </row>
    <row r="149" spans="2:18" ht="36" hidden="1" customHeight="1" x14ac:dyDescent="0.25">
      <c r="B149" s="84">
        <v>1822</v>
      </c>
      <c r="C149" s="83" t="s">
        <v>23</v>
      </c>
      <c r="D149" s="82" t="s">
        <v>1655</v>
      </c>
      <c r="E149" s="81">
        <v>42828</v>
      </c>
      <c r="F149" s="27">
        <f t="shared" ca="1" si="2"/>
        <v>1645</v>
      </c>
      <c r="G149" s="79" t="s">
        <v>1273</v>
      </c>
      <c r="H149" s="80"/>
      <c r="I149" s="80"/>
      <c r="J149" s="79" t="s">
        <v>765</v>
      </c>
      <c r="K149" s="78" t="s">
        <v>623</v>
      </c>
      <c r="L149" s="77">
        <v>42833</v>
      </c>
      <c r="M149" s="68"/>
      <c r="N149" s="76"/>
      <c r="O149" s="75" t="s">
        <v>2400</v>
      </c>
      <c r="R149" s="74"/>
    </row>
    <row r="150" spans="2:18" ht="36" hidden="1" customHeight="1" x14ac:dyDescent="0.25">
      <c r="B150" s="84">
        <v>1824</v>
      </c>
      <c r="C150" s="83" t="s">
        <v>23</v>
      </c>
      <c r="D150" s="82" t="s">
        <v>2699</v>
      </c>
      <c r="E150" s="81">
        <v>42828</v>
      </c>
      <c r="F150" s="27">
        <f t="shared" ca="1" si="2"/>
        <v>1645</v>
      </c>
      <c r="G150" s="79" t="s">
        <v>1723</v>
      </c>
      <c r="H150" s="80"/>
      <c r="I150" s="80"/>
      <c r="J150" s="79" t="s">
        <v>579</v>
      </c>
      <c r="K150" s="78" t="s">
        <v>623</v>
      </c>
      <c r="L150" s="77">
        <v>42829</v>
      </c>
      <c r="M150" s="68"/>
      <c r="N150" s="76"/>
      <c r="O150" s="75"/>
      <c r="R150" s="74"/>
    </row>
    <row r="151" spans="2:18" ht="36" hidden="1" customHeight="1" x14ac:dyDescent="0.25">
      <c r="B151" s="84">
        <v>1816</v>
      </c>
      <c r="C151" s="83" t="s">
        <v>23</v>
      </c>
      <c r="D151" s="82" t="s">
        <v>1271</v>
      </c>
      <c r="E151" s="81">
        <v>42830</v>
      </c>
      <c r="F151" s="27">
        <f t="shared" ca="1" si="2"/>
        <v>1643</v>
      </c>
      <c r="G151" s="79" t="s">
        <v>578</v>
      </c>
      <c r="H151" s="80"/>
      <c r="I151" s="80"/>
      <c r="J151" s="79" t="s">
        <v>579</v>
      </c>
      <c r="K151" s="78" t="s">
        <v>623</v>
      </c>
      <c r="L151" s="77">
        <v>42830</v>
      </c>
      <c r="M151" s="68"/>
      <c r="N151" s="76"/>
      <c r="O151" s="75"/>
      <c r="R151" s="74"/>
    </row>
    <row r="152" spans="2:18" ht="36" hidden="1" customHeight="1" x14ac:dyDescent="0.25">
      <c r="B152" s="84">
        <v>1824</v>
      </c>
      <c r="C152" s="83" t="s">
        <v>23</v>
      </c>
      <c r="D152" s="82" t="s">
        <v>2390</v>
      </c>
      <c r="E152" s="81">
        <v>42830</v>
      </c>
      <c r="F152" s="27">
        <f t="shared" ca="1" si="2"/>
        <v>1643</v>
      </c>
      <c r="G152" s="79" t="s">
        <v>2700</v>
      </c>
      <c r="H152" s="80"/>
      <c r="I152" s="80"/>
      <c r="J152" s="79" t="s">
        <v>579</v>
      </c>
      <c r="K152" s="78" t="s">
        <v>623</v>
      </c>
      <c r="L152" s="77">
        <v>42830</v>
      </c>
      <c r="M152" s="68"/>
      <c r="N152" s="76"/>
      <c r="O152" s="75"/>
      <c r="R152" s="74"/>
    </row>
    <row r="153" spans="2:18" ht="36" hidden="1" customHeight="1" x14ac:dyDescent="0.25">
      <c r="B153" s="84">
        <v>1824</v>
      </c>
      <c r="C153" s="83" t="s">
        <v>38</v>
      </c>
      <c r="D153" s="82" t="s">
        <v>2701</v>
      </c>
      <c r="E153" s="81">
        <v>42830</v>
      </c>
      <c r="F153" s="27">
        <f t="shared" ca="1" si="2"/>
        <v>1643</v>
      </c>
      <c r="G153" s="79" t="s">
        <v>2700</v>
      </c>
      <c r="H153" s="80"/>
      <c r="I153" s="80"/>
      <c r="J153" s="79" t="s">
        <v>579</v>
      </c>
      <c r="K153" s="78" t="s">
        <v>623</v>
      </c>
      <c r="L153" s="77">
        <v>42830</v>
      </c>
      <c r="M153" s="68"/>
      <c r="N153" s="76"/>
      <c r="O153" s="75" t="s">
        <v>2702</v>
      </c>
      <c r="R153" s="74"/>
    </row>
    <row r="154" spans="2:18" ht="36" hidden="1" customHeight="1" x14ac:dyDescent="0.25">
      <c r="B154" s="84">
        <v>1827</v>
      </c>
      <c r="C154" s="83" t="s">
        <v>20</v>
      </c>
      <c r="D154" s="82" t="s">
        <v>3288</v>
      </c>
      <c r="E154" s="81">
        <v>42830</v>
      </c>
      <c r="F154" s="27">
        <f t="shared" ca="1" si="2"/>
        <v>1643</v>
      </c>
      <c r="G154" s="79"/>
      <c r="H154" s="80"/>
      <c r="I154" s="80"/>
      <c r="J154" s="79"/>
      <c r="K154" s="78"/>
      <c r="L154" s="77">
        <v>42830</v>
      </c>
      <c r="M154" s="68"/>
      <c r="N154" s="76"/>
      <c r="O154" s="75" t="s">
        <v>3289</v>
      </c>
      <c r="R154" s="74"/>
    </row>
    <row r="155" spans="2:18" ht="36" hidden="1" customHeight="1" x14ac:dyDescent="0.25">
      <c r="B155" s="84">
        <v>1643</v>
      </c>
      <c r="C155" s="83" t="s">
        <v>40</v>
      </c>
      <c r="D155" s="82" t="s">
        <v>840</v>
      </c>
      <c r="E155" s="81">
        <v>42831</v>
      </c>
      <c r="F155" s="27">
        <f t="shared" ca="1" si="2"/>
        <v>1642</v>
      </c>
      <c r="G155" s="79" t="s">
        <v>728</v>
      </c>
      <c r="H155" s="80"/>
      <c r="I155" s="80"/>
      <c r="J155" s="79" t="s">
        <v>729</v>
      </c>
      <c r="K155" s="78" t="s">
        <v>580</v>
      </c>
      <c r="L155" s="77">
        <v>42860</v>
      </c>
      <c r="M155" s="68"/>
      <c r="N155" s="76"/>
      <c r="O155" s="75" t="s">
        <v>841</v>
      </c>
      <c r="R155" s="74"/>
    </row>
    <row r="156" spans="2:18" ht="36" hidden="1" customHeight="1" x14ac:dyDescent="0.25">
      <c r="B156" s="84">
        <v>1816</v>
      </c>
      <c r="C156" s="83" t="s">
        <v>17</v>
      </c>
      <c r="D156" s="82" t="s">
        <v>1272</v>
      </c>
      <c r="E156" s="81">
        <v>42831</v>
      </c>
      <c r="F156" s="27">
        <f t="shared" ca="1" si="2"/>
        <v>1642</v>
      </c>
      <c r="G156" s="79" t="s">
        <v>1273</v>
      </c>
      <c r="H156" s="80"/>
      <c r="I156" s="80"/>
      <c r="J156" s="79" t="s">
        <v>765</v>
      </c>
      <c r="K156" s="78" t="s">
        <v>623</v>
      </c>
      <c r="L156" s="77">
        <v>42833</v>
      </c>
      <c r="M156" s="68"/>
      <c r="N156" s="76"/>
      <c r="O156" s="75" t="s">
        <v>1274</v>
      </c>
      <c r="R156" s="74"/>
    </row>
    <row r="157" spans="2:18" ht="36" hidden="1" customHeight="1" x14ac:dyDescent="0.25">
      <c r="B157" s="84">
        <v>1820</v>
      </c>
      <c r="C157" s="83" t="s">
        <v>23</v>
      </c>
      <c r="D157" s="82" t="s">
        <v>2060</v>
      </c>
      <c r="E157" s="81">
        <v>42831</v>
      </c>
      <c r="F157" s="27">
        <f t="shared" ca="1" si="2"/>
        <v>1642</v>
      </c>
      <c r="G157" s="79" t="s">
        <v>1273</v>
      </c>
      <c r="H157" s="80"/>
      <c r="I157" s="80"/>
      <c r="J157" s="79" t="s">
        <v>765</v>
      </c>
      <c r="K157" s="78" t="s">
        <v>623</v>
      </c>
      <c r="L157" s="77">
        <v>42833</v>
      </c>
      <c r="M157" s="68"/>
      <c r="N157" s="76"/>
      <c r="O157" s="75" t="s">
        <v>1270</v>
      </c>
      <c r="R157" s="74"/>
    </row>
    <row r="158" spans="2:18" ht="36" hidden="1" customHeight="1" x14ac:dyDescent="0.25">
      <c r="B158" s="84">
        <v>1825</v>
      </c>
      <c r="C158" s="83" t="s">
        <v>40</v>
      </c>
      <c r="D158" s="82" t="s">
        <v>2960</v>
      </c>
      <c r="E158" s="81">
        <v>42831</v>
      </c>
      <c r="F158" s="27">
        <f t="shared" ca="1" si="2"/>
        <v>1642</v>
      </c>
      <c r="G158" s="79" t="s">
        <v>1273</v>
      </c>
      <c r="H158" s="80"/>
      <c r="I158" s="80"/>
      <c r="J158" s="79" t="s">
        <v>765</v>
      </c>
      <c r="K158" s="78" t="s">
        <v>623</v>
      </c>
      <c r="L158" s="77">
        <v>42833</v>
      </c>
      <c r="M158" s="68"/>
      <c r="N158" s="76"/>
      <c r="O158" s="75" t="s">
        <v>2153</v>
      </c>
      <c r="R158" s="74"/>
    </row>
    <row r="159" spans="2:18" ht="36" hidden="1" customHeight="1" x14ac:dyDescent="0.25">
      <c r="B159" s="84">
        <v>1821</v>
      </c>
      <c r="C159" s="83" t="s">
        <v>12</v>
      </c>
      <c r="D159" s="82" t="s">
        <v>2256</v>
      </c>
      <c r="E159" s="81">
        <v>42832</v>
      </c>
      <c r="F159" s="27">
        <f t="shared" ca="1" si="2"/>
        <v>1641</v>
      </c>
      <c r="G159" s="79" t="s">
        <v>1273</v>
      </c>
      <c r="H159" s="80"/>
      <c r="I159" s="80"/>
      <c r="J159" s="79" t="s">
        <v>765</v>
      </c>
      <c r="K159" s="78" t="s">
        <v>623</v>
      </c>
      <c r="L159" s="77">
        <v>42833</v>
      </c>
      <c r="M159" s="68"/>
      <c r="N159" s="76"/>
      <c r="O159" s="75" t="s">
        <v>2257</v>
      </c>
      <c r="R159" s="74"/>
    </row>
    <row r="160" spans="2:18" ht="36" hidden="1" customHeight="1" x14ac:dyDescent="0.25">
      <c r="B160" s="84">
        <v>1823</v>
      </c>
      <c r="C160" s="83" t="s">
        <v>12</v>
      </c>
      <c r="D160" s="82" t="s">
        <v>2511</v>
      </c>
      <c r="E160" s="81">
        <v>42832</v>
      </c>
      <c r="F160" s="27">
        <f t="shared" ca="1" si="2"/>
        <v>1641</v>
      </c>
      <c r="G160" s="79"/>
      <c r="H160" s="80"/>
      <c r="I160" s="80"/>
      <c r="J160" s="79"/>
      <c r="K160" s="78"/>
      <c r="L160" s="77">
        <v>42832</v>
      </c>
      <c r="M160" s="68"/>
      <c r="N160" s="76"/>
      <c r="O160" s="75" t="s">
        <v>2512</v>
      </c>
      <c r="R160" s="74"/>
    </row>
    <row r="161" spans="2:18" ht="36" hidden="1" customHeight="1" x14ac:dyDescent="0.25">
      <c r="B161" s="84">
        <v>1826</v>
      </c>
      <c r="C161" s="83" t="s">
        <v>40</v>
      </c>
      <c r="D161" s="82" t="s">
        <v>3177</v>
      </c>
      <c r="E161" s="81">
        <v>42832</v>
      </c>
      <c r="F161" s="27">
        <f t="shared" ca="1" si="2"/>
        <v>1641</v>
      </c>
      <c r="G161" s="79" t="s">
        <v>1273</v>
      </c>
      <c r="H161" s="80"/>
      <c r="I161" s="80"/>
      <c r="J161" s="79" t="s">
        <v>765</v>
      </c>
      <c r="K161" s="78" t="s">
        <v>623</v>
      </c>
      <c r="L161" s="77">
        <v>42833</v>
      </c>
      <c r="M161" s="68"/>
      <c r="N161" s="76"/>
      <c r="O161" s="75" t="s">
        <v>3178</v>
      </c>
      <c r="R161" s="74"/>
    </row>
    <row r="162" spans="2:18" ht="36" hidden="1" customHeight="1" x14ac:dyDescent="0.25">
      <c r="B162" s="84">
        <v>1830</v>
      </c>
      <c r="C162" s="83" t="s">
        <v>17</v>
      </c>
      <c r="D162" s="82" t="s">
        <v>3888</v>
      </c>
      <c r="E162" s="81">
        <v>42832</v>
      </c>
      <c r="F162" s="27">
        <f t="shared" ca="1" si="2"/>
        <v>1641</v>
      </c>
      <c r="G162" s="79" t="s">
        <v>3726</v>
      </c>
      <c r="H162" s="80"/>
      <c r="I162" s="80"/>
      <c r="J162" s="79" t="s">
        <v>597</v>
      </c>
      <c r="K162" s="78" t="s">
        <v>623</v>
      </c>
      <c r="L162" s="77">
        <v>42833</v>
      </c>
      <c r="M162" s="68"/>
      <c r="N162" s="76"/>
      <c r="O162" s="75" t="s">
        <v>3889</v>
      </c>
      <c r="R162" s="74"/>
    </row>
    <row r="163" spans="2:18" ht="36" hidden="1" customHeight="1" x14ac:dyDescent="0.25">
      <c r="B163" s="84">
        <v>1827</v>
      </c>
      <c r="C163" s="83" t="s">
        <v>18</v>
      </c>
      <c r="D163" s="82" t="s">
        <v>3300</v>
      </c>
      <c r="E163" s="81">
        <v>42835</v>
      </c>
      <c r="F163" s="27">
        <f t="shared" ca="1" si="2"/>
        <v>1638</v>
      </c>
      <c r="G163" s="79" t="s">
        <v>1325</v>
      </c>
      <c r="H163" s="80"/>
      <c r="I163" s="80"/>
      <c r="J163" s="79" t="s">
        <v>592</v>
      </c>
      <c r="K163" s="78" t="s">
        <v>623</v>
      </c>
      <c r="L163" s="77">
        <v>42874</v>
      </c>
      <c r="M163" s="68"/>
      <c r="N163" s="76"/>
      <c r="O163" s="75" t="s">
        <v>3301</v>
      </c>
      <c r="R163" s="74"/>
    </row>
    <row r="164" spans="2:18" ht="36" hidden="1" customHeight="1" x14ac:dyDescent="0.25">
      <c r="B164" s="84">
        <v>1642</v>
      </c>
      <c r="C164" s="83" t="s">
        <v>33</v>
      </c>
      <c r="D164" s="82" t="s">
        <v>725</v>
      </c>
      <c r="E164" s="81">
        <v>42836</v>
      </c>
      <c r="F164" s="27">
        <f t="shared" ca="1" si="2"/>
        <v>1637</v>
      </c>
      <c r="G164" s="79" t="s">
        <v>726</v>
      </c>
      <c r="H164" s="80"/>
      <c r="I164" s="80"/>
      <c r="J164" s="79" t="s">
        <v>579</v>
      </c>
      <c r="K164" s="78" t="s">
        <v>580</v>
      </c>
      <c r="L164" s="77">
        <v>42857</v>
      </c>
      <c r="M164" s="68"/>
      <c r="N164" s="76"/>
      <c r="O164" s="75"/>
      <c r="R164" s="74"/>
    </row>
    <row r="165" spans="2:18" ht="36" hidden="1" customHeight="1" x14ac:dyDescent="0.25">
      <c r="B165" s="84">
        <v>1643</v>
      </c>
      <c r="C165" s="83" t="s">
        <v>36</v>
      </c>
      <c r="D165" s="82" t="s">
        <v>839</v>
      </c>
      <c r="E165" s="81">
        <v>42836</v>
      </c>
      <c r="F165" s="27">
        <f t="shared" ca="1" si="2"/>
        <v>1637</v>
      </c>
      <c r="G165" s="79" t="s">
        <v>726</v>
      </c>
      <c r="H165" s="80"/>
      <c r="I165" s="80"/>
      <c r="J165" s="79" t="s">
        <v>579</v>
      </c>
      <c r="K165" s="78" t="s">
        <v>580</v>
      </c>
      <c r="L165" s="77">
        <v>42838</v>
      </c>
      <c r="M165" s="68"/>
      <c r="N165" s="76"/>
      <c r="O165" s="75"/>
      <c r="R165" s="74"/>
    </row>
    <row r="166" spans="2:18" ht="36" hidden="1" customHeight="1" x14ac:dyDescent="0.25">
      <c r="B166" s="84">
        <v>1643</v>
      </c>
      <c r="C166" s="83" t="s">
        <v>38</v>
      </c>
      <c r="D166" s="82" t="s">
        <v>842</v>
      </c>
      <c r="E166" s="81">
        <v>42836</v>
      </c>
      <c r="F166" s="27">
        <f t="shared" ca="1" si="2"/>
        <v>1637</v>
      </c>
      <c r="G166" s="79" t="s">
        <v>728</v>
      </c>
      <c r="H166" s="80"/>
      <c r="I166" s="80"/>
      <c r="J166" s="79" t="s">
        <v>729</v>
      </c>
      <c r="K166" s="78" t="s">
        <v>580</v>
      </c>
      <c r="L166" s="77">
        <v>42860</v>
      </c>
      <c r="M166" s="68"/>
      <c r="N166" s="76"/>
      <c r="O166" s="75" t="s">
        <v>843</v>
      </c>
      <c r="R166" s="74"/>
    </row>
    <row r="167" spans="2:18" ht="36" hidden="1" customHeight="1" x14ac:dyDescent="0.25">
      <c r="B167" s="84">
        <v>1825</v>
      </c>
      <c r="C167" s="83" t="s">
        <v>19</v>
      </c>
      <c r="D167" s="82" t="s">
        <v>2961</v>
      </c>
      <c r="E167" s="81">
        <v>42836</v>
      </c>
      <c r="F167" s="27">
        <f t="shared" ca="1" si="2"/>
        <v>1637</v>
      </c>
      <c r="G167" s="79" t="s">
        <v>880</v>
      </c>
      <c r="H167" s="80"/>
      <c r="I167" s="80"/>
      <c r="J167" s="79" t="s">
        <v>1301</v>
      </c>
      <c r="K167" s="78" t="s">
        <v>1301</v>
      </c>
      <c r="L167" s="77">
        <v>42837</v>
      </c>
      <c r="M167" s="68"/>
      <c r="N167" s="76"/>
      <c r="O167" s="75" t="s">
        <v>2962</v>
      </c>
      <c r="R167" s="74"/>
    </row>
    <row r="168" spans="2:18" ht="36" hidden="1" customHeight="1" x14ac:dyDescent="0.25">
      <c r="B168" s="84">
        <v>1641</v>
      </c>
      <c r="C168" s="83" t="s">
        <v>17</v>
      </c>
      <c r="D168" s="82" t="s">
        <v>596</v>
      </c>
      <c r="E168" s="81">
        <v>42837</v>
      </c>
      <c r="F168" s="27">
        <f t="shared" ca="1" si="2"/>
        <v>1636</v>
      </c>
      <c r="G168" s="79" t="s">
        <v>586</v>
      </c>
      <c r="H168" s="80"/>
      <c r="I168" s="80"/>
      <c r="J168" s="79" t="s">
        <v>597</v>
      </c>
      <c r="K168" s="78" t="s">
        <v>580</v>
      </c>
      <c r="L168" s="77">
        <v>42847</v>
      </c>
      <c r="M168" s="68"/>
      <c r="N168" s="76"/>
      <c r="O168" s="75"/>
      <c r="R168" s="74"/>
    </row>
    <row r="169" spans="2:18" ht="36" hidden="1" customHeight="1" x14ac:dyDescent="0.25">
      <c r="B169" s="84">
        <v>1819</v>
      </c>
      <c r="C169" s="83" t="s">
        <v>40</v>
      </c>
      <c r="D169" s="82" t="s">
        <v>1843</v>
      </c>
      <c r="E169" s="81">
        <v>42838</v>
      </c>
      <c r="F169" s="27">
        <f t="shared" ca="1" si="2"/>
        <v>1635</v>
      </c>
      <c r="G169" s="79" t="s">
        <v>1844</v>
      </c>
      <c r="H169" s="80"/>
      <c r="I169" s="80"/>
      <c r="J169" s="79" t="s">
        <v>597</v>
      </c>
      <c r="K169" s="78" t="s">
        <v>623</v>
      </c>
      <c r="L169" s="77">
        <v>42852</v>
      </c>
      <c r="M169" s="68"/>
      <c r="N169" s="76"/>
      <c r="O169" s="75"/>
      <c r="R169" s="74"/>
    </row>
    <row r="170" spans="2:18" ht="36" hidden="1" customHeight="1" x14ac:dyDescent="0.25">
      <c r="B170" s="84">
        <v>1822</v>
      </c>
      <c r="C170" s="83" t="s">
        <v>23</v>
      </c>
      <c r="D170" s="82" t="s">
        <v>2401</v>
      </c>
      <c r="E170" s="81">
        <v>42838</v>
      </c>
      <c r="F170" s="27">
        <f t="shared" ca="1" si="2"/>
        <v>1635</v>
      </c>
      <c r="G170" s="79" t="s">
        <v>586</v>
      </c>
      <c r="H170" s="80"/>
      <c r="I170" s="80"/>
      <c r="J170" s="79" t="s">
        <v>597</v>
      </c>
      <c r="K170" s="78" t="s">
        <v>623</v>
      </c>
      <c r="L170" s="77">
        <v>42847</v>
      </c>
      <c r="M170" s="68"/>
      <c r="N170" s="76"/>
      <c r="O170" s="75"/>
      <c r="R170" s="74"/>
    </row>
    <row r="171" spans="2:18" ht="36" hidden="1" customHeight="1" x14ac:dyDescent="0.25">
      <c r="B171" s="84">
        <v>1826</v>
      </c>
      <c r="C171" s="83" t="s">
        <v>23</v>
      </c>
      <c r="D171" s="82" t="s">
        <v>1655</v>
      </c>
      <c r="E171" s="81">
        <v>42838</v>
      </c>
      <c r="F171" s="27">
        <f t="shared" ca="1" si="2"/>
        <v>1635</v>
      </c>
      <c r="G171" s="79" t="s">
        <v>586</v>
      </c>
      <c r="H171" s="80"/>
      <c r="I171" s="80"/>
      <c r="J171" s="79" t="s">
        <v>597</v>
      </c>
      <c r="K171" s="78" t="s">
        <v>623</v>
      </c>
      <c r="L171" s="77">
        <v>42847</v>
      </c>
      <c r="M171" s="68"/>
      <c r="N171" s="76"/>
      <c r="O171" s="75"/>
      <c r="R171" s="74"/>
    </row>
    <row r="172" spans="2:18" ht="36" hidden="1" customHeight="1" x14ac:dyDescent="0.25">
      <c r="B172" s="84">
        <v>1821</v>
      </c>
      <c r="C172" s="83" t="s">
        <v>23</v>
      </c>
      <c r="D172" s="82" t="s">
        <v>2258</v>
      </c>
      <c r="E172" s="81">
        <v>42842</v>
      </c>
      <c r="F172" s="27">
        <f t="shared" ca="1" si="2"/>
        <v>1631</v>
      </c>
      <c r="G172" s="79" t="s">
        <v>586</v>
      </c>
      <c r="H172" s="80"/>
      <c r="I172" s="80"/>
      <c r="J172" s="79" t="s">
        <v>597</v>
      </c>
      <c r="K172" s="78" t="s">
        <v>623</v>
      </c>
      <c r="L172" s="77">
        <v>42847</v>
      </c>
      <c r="M172" s="68"/>
      <c r="N172" s="76"/>
      <c r="O172" s="75"/>
      <c r="R172" s="74"/>
    </row>
    <row r="173" spans="2:18" ht="36" hidden="1" customHeight="1" x14ac:dyDescent="0.25">
      <c r="B173" s="84">
        <v>1645</v>
      </c>
      <c r="C173" s="83" t="s">
        <v>23</v>
      </c>
      <c r="D173" s="82" t="s">
        <v>1008</v>
      </c>
      <c r="E173" s="81">
        <v>42843</v>
      </c>
      <c r="F173" s="27">
        <f t="shared" ca="1" si="2"/>
        <v>1630</v>
      </c>
      <c r="G173" s="79" t="s">
        <v>586</v>
      </c>
      <c r="H173" s="80"/>
      <c r="I173" s="80"/>
      <c r="J173" s="79" t="s">
        <v>597</v>
      </c>
      <c r="K173" s="78" t="s">
        <v>580</v>
      </c>
      <c r="L173" s="77">
        <v>42847</v>
      </c>
      <c r="M173" s="68"/>
      <c r="N173" s="76"/>
      <c r="O173" s="75"/>
      <c r="R173" s="74"/>
    </row>
    <row r="174" spans="2:18" ht="36" hidden="1" customHeight="1" x14ac:dyDescent="0.25">
      <c r="B174" s="84">
        <v>1821</v>
      </c>
      <c r="C174" s="83" t="s">
        <v>1786</v>
      </c>
      <c r="D174" s="82" t="s">
        <v>2259</v>
      </c>
      <c r="E174" s="81">
        <v>42843</v>
      </c>
      <c r="F174" s="27">
        <f t="shared" ca="1" si="2"/>
        <v>1630</v>
      </c>
      <c r="G174" s="79" t="s">
        <v>2260</v>
      </c>
      <c r="H174" s="80"/>
      <c r="I174" s="80"/>
      <c r="J174" s="79" t="s">
        <v>597</v>
      </c>
      <c r="K174" s="78" t="s">
        <v>623</v>
      </c>
      <c r="L174" s="77">
        <v>42847</v>
      </c>
      <c r="M174" s="68"/>
      <c r="N174" s="76"/>
      <c r="O174" s="75"/>
      <c r="R174" s="74"/>
    </row>
    <row r="175" spans="2:18" ht="36" hidden="1" customHeight="1" x14ac:dyDescent="0.25">
      <c r="B175" s="84">
        <v>1826</v>
      </c>
      <c r="C175" s="83" t="s">
        <v>15</v>
      </c>
      <c r="D175" s="82" t="s">
        <v>3179</v>
      </c>
      <c r="E175" s="81">
        <v>42843</v>
      </c>
      <c r="F175" s="27">
        <f t="shared" ca="1" si="2"/>
        <v>1630</v>
      </c>
      <c r="G175" s="79" t="s">
        <v>586</v>
      </c>
      <c r="H175" s="80"/>
      <c r="I175" s="80"/>
      <c r="J175" s="79" t="s">
        <v>597</v>
      </c>
      <c r="K175" s="78" t="s">
        <v>623</v>
      </c>
      <c r="L175" s="77">
        <v>42847</v>
      </c>
      <c r="M175" s="68"/>
      <c r="N175" s="76"/>
      <c r="O175" s="75"/>
      <c r="R175" s="74"/>
    </row>
    <row r="176" spans="2:18" ht="36" hidden="1" customHeight="1" x14ac:dyDescent="0.25">
      <c r="B176" s="84">
        <v>1829</v>
      </c>
      <c r="C176" s="83" t="s">
        <v>23</v>
      </c>
      <c r="D176" s="82" t="s">
        <v>3710</v>
      </c>
      <c r="E176" s="81">
        <v>42843</v>
      </c>
      <c r="F176" s="27">
        <f t="shared" ca="1" si="2"/>
        <v>1630</v>
      </c>
      <c r="G176" s="79" t="s">
        <v>586</v>
      </c>
      <c r="H176" s="80"/>
      <c r="I176" s="80"/>
      <c r="J176" s="79" t="s">
        <v>597</v>
      </c>
      <c r="K176" s="78" t="s">
        <v>623</v>
      </c>
      <c r="L176" s="77">
        <v>42847</v>
      </c>
      <c r="M176" s="68"/>
      <c r="N176" s="76"/>
      <c r="O176" s="75"/>
      <c r="R176" s="74"/>
    </row>
    <row r="177" spans="2:18" ht="36" hidden="1" customHeight="1" x14ac:dyDescent="0.25">
      <c r="B177" s="84">
        <v>1821</v>
      </c>
      <c r="C177" s="83" t="s">
        <v>23</v>
      </c>
      <c r="D177" s="82" t="s">
        <v>2261</v>
      </c>
      <c r="E177" s="81">
        <v>42844</v>
      </c>
      <c r="F177" s="27">
        <f t="shared" ca="1" si="2"/>
        <v>1629</v>
      </c>
      <c r="G177" s="79" t="s">
        <v>586</v>
      </c>
      <c r="H177" s="80"/>
      <c r="I177" s="80"/>
      <c r="J177" s="79" t="s">
        <v>597</v>
      </c>
      <c r="K177" s="78" t="s">
        <v>623</v>
      </c>
      <c r="L177" s="77">
        <v>42847</v>
      </c>
      <c r="M177" s="68"/>
      <c r="N177" s="76"/>
      <c r="O177" s="75"/>
      <c r="R177" s="74"/>
    </row>
    <row r="178" spans="2:18" ht="36" hidden="1" customHeight="1" x14ac:dyDescent="0.25">
      <c r="B178" s="84">
        <v>1818</v>
      </c>
      <c r="C178" s="83" t="s">
        <v>11</v>
      </c>
      <c r="D178" s="82" t="s">
        <v>1664</v>
      </c>
      <c r="E178" s="81">
        <v>42849</v>
      </c>
      <c r="F178" s="27">
        <f t="shared" ca="1" si="2"/>
        <v>1624</v>
      </c>
      <c r="G178" s="79" t="s">
        <v>1469</v>
      </c>
      <c r="H178" s="80"/>
      <c r="I178" s="80"/>
      <c r="J178" s="79" t="s">
        <v>765</v>
      </c>
      <c r="K178" s="78" t="s">
        <v>623</v>
      </c>
      <c r="L178" s="77">
        <v>42868</v>
      </c>
      <c r="M178" s="68"/>
      <c r="N178" s="76"/>
      <c r="O178" s="75" t="s">
        <v>1665</v>
      </c>
      <c r="R178" s="74"/>
    </row>
    <row r="179" spans="2:18" ht="36" hidden="1" customHeight="1" x14ac:dyDescent="0.25">
      <c r="B179" s="84">
        <v>1819</v>
      </c>
      <c r="C179" s="83" t="s">
        <v>11</v>
      </c>
      <c r="D179" s="82" t="s">
        <v>1845</v>
      </c>
      <c r="E179" s="81">
        <v>42850</v>
      </c>
      <c r="F179" s="27">
        <f t="shared" ca="1" si="2"/>
        <v>1623</v>
      </c>
      <c r="G179" s="79" t="s">
        <v>1469</v>
      </c>
      <c r="H179" s="80"/>
      <c r="I179" s="80"/>
      <c r="J179" s="79" t="s">
        <v>765</v>
      </c>
      <c r="K179" s="78" t="s">
        <v>623</v>
      </c>
      <c r="L179" s="77">
        <v>42868</v>
      </c>
      <c r="M179" s="68"/>
      <c r="N179" s="76"/>
      <c r="O179" s="75" t="s">
        <v>1846</v>
      </c>
      <c r="R179" s="74"/>
    </row>
    <row r="180" spans="2:18" ht="36" hidden="1" customHeight="1" x14ac:dyDescent="0.25">
      <c r="B180" s="84">
        <v>1827</v>
      </c>
      <c r="C180" s="83" t="s">
        <v>23</v>
      </c>
      <c r="D180" s="82" t="s">
        <v>3294</v>
      </c>
      <c r="E180" s="81">
        <v>42850</v>
      </c>
      <c r="F180" s="27">
        <f t="shared" ca="1" si="2"/>
        <v>1623</v>
      </c>
      <c r="G180" s="79" t="s">
        <v>1469</v>
      </c>
      <c r="H180" s="80"/>
      <c r="I180" s="80"/>
      <c r="J180" s="79" t="s">
        <v>765</v>
      </c>
      <c r="K180" s="78" t="s">
        <v>623</v>
      </c>
      <c r="L180" s="77">
        <v>42868</v>
      </c>
      <c r="M180" s="68"/>
      <c r="N180" s="76"/>
      <c r="O180" s="75" t="s">
        <v>3295</v>
      </c>
      <c r="R180" s="74"/>
    </row>
    <row r="181" spans="2:18" ht="36" hidden="1" customHeight="1" x14ac:dyDescent="0.25">
      <c r="B181" s="84">
        <v>1829</v>
      </c>
      <c r="C181" s="83" t="s">
        <v>35</v>
      </c>
      <c r="D181" s="82" t="s">
        <v>3716</v>
      </c>
      <c r="E181" s="81">
        <v>42850</v>
      </c>
      <c r="F181" s="27">
        <f t="shared" ca="1" si="2"/>
        <v>1623</v>
      </c>
      <c r="G181" s="79" t="s">
        <v>1469</v>
      </c>
      <c r="H181" s="80"/>
      <c r="I181" s="80"/>
      <c r="J181" s="79" t="s">
        <v>765</v>
      </c>
      <c r="K181" s="78" t="s">
        <v>623</v>
      </c>
      <c r="L181" s="77">
        <v>42868</v>
      </c>
      <c r="M181" s="68"/>
      <c r="N181" s="76"/>
      <c r="O181" s="75" t="s">
        <v>3717</v>
      </c>
      <c r="R181" s="74"/>
    </row>
    <row r="182" spans="2:18" ht="36" hidden="1" customHeight="1" x14ac:dyDescent="0.25">
      <c r="B182" s="84">
        <v>1829</v>
      </c>
      <c r="C182" s="83" t="s">
        <v>15</v>
      </c>
      <c r="D182" s="82" t="s">
        <v>3718</v>
      </c>
      <c r="E182" s="81">
        <v>42850</v>
      </c>
      <c r="F182" s="27">
        <f t="shared" ca="1" si="2"/>
        <v>1623</v>
      </c>
      <c r="G182" s="79" t="s">
        <v>1469</v>
      </c>
      <c r="H182" s="80"/>
      <c r="I182" s="80"/>
      <c r="J182" s="79" t="s">
        <v>765</v>
      </c>
      <c r="K182" s="78" t="s">
        <v>623</v>
      </c>
      <c r="L182" s="77">
        <v>42868</v>
      </c>
      <c r="M182" s="68"/>
      <c r="N182" s="76"/>
      <c r="O182" s="75" t="s">
        <v>1281</v>
      </c>
      <c r="R182" s="74"/>
    </row>
    <row r="183" spans="2:18" ht="36" hidden="1" customHeight="1" x14ac:dyDescent="0.25">
      <c r="B183" s="84">
        <v>1818</v>
      </c>
      <c r="C183" s="83" t="s">
        <v>11</v>
      </c>
      <c r="D183" s="82" t="s">
        <v>1663</v>
      </c>
      <c r="E183" s="81">
        <v>42850</v>
      </c>
      <c r="F183" s="27">
        <f t="shared" ca="1" si="2"/>
        <v>1623</v>
      </c>
      <c r="G183" s="79" t="s">
        <v>586</v>
      </c>
      <c r="H183" s="80"/>
      <c r="I183" s="80"/>
      <c r="J183" s="79" t="s">
        <v>597</v>
      </c>
      <c r="K183" s="78" t="s">
        <v>623</v>
      </c>
      <c r="L183" s="77">
        <v>42852</v>
      </c>
      <c r="M183" s="68"/>
      <c r="N183" s="76"/>
      <c r="O183" s="75"/>
      <c r="R183" s="74"/>
    </row>
    <row r="184" spans="2:18" ht="36" hidden="1" customHeight="1" x14ac:dyDescent="0.25">
      <c r="B184" s="84">
        <v>1827</v>
      </c>
      <c r="C184" s="83" t="s">
        <v>23</v>
      </c>
      <c r="D184" s="82" t="s">
        <v>3296</v>
      </c>
      <c r="E184" s="81">
        <v>42852</v>
      </c>
      <c r="F184" s="27">
        <f t="shared" ca="1" si="2"/>
        <v>1621</v>
      </c>
      <c r="G184" s="79" t="s">
        <v>1469</v>
      </c>
      <c r="H184" s="80"/>
      <c r="I184" s="80"/>
      <c r="J184" s="79" t="s">
        <v>765</v>
      </c>
      <c r="K184" s="78" t="s">
        <v>623</v>
      </c>
      <c r="L184" s="77">
        <v>42868</v>
      </c>
      <c r="M184" s="68"/>
      <c r="N184" s="76"/>
      <c r="O184" s="75" t="s">
        <v>3297</v>
      </c>
      <c r="R184" s="74"/>
    </row>
    <row r="185" spans="2:18" ht="36" hidden="1" customHeight="1" x14ac:dyDescent="0.25">
      <c r="B185" s="84">
        <v>1829</v>
      </c>
      <c r="C185" s="83" t="s">
        <v>12</v>
      </c>
      <c r="D185" s="82" t="s">
        <v>3711</v>
      </c>
      <c r="E185" s="81">
        <v>42852</v>
      </c>
      <c r="F185" s="27">
        <f t="shared" ca="1" si="2"/>
        <v>1621</v>
      </c>
      <c r="G185" s="79" t="s">
        <v>1863</v>
      </c>
      <c r="H185" s="80"/>
      <c r="I185" s="80"/>
      <c r="J185" s="79" t="s">
        <v>579</v>
      </c>
      <c r="K185" s="78" t="s">
        <v>623</v>
      </c>
      <c r="L185" s="77">
        <v>42860</v>
      </c>
      <c r="M185" s="68"/>
      <c r="N185" s="76"/>
      <c r="O185" s="75" t="s">
        <v>3712</v>
      </c>
      <c r="R185" s="74"/>
    </row>
    <row r="186" spans="2:18" ht="36" hidden="1" customHeight="1" x14ac:dyDescent="0.25">
      <c r="B186" s="84">
        <v>1647</v>
      </c>
      <c r="C186" s="83" t="s">
        <v>17</v>
      </c>
      <c r="D186" s="82" t="s">
        <v>738</v>
      </c>
      <c r="E186" s="81">
        <v>42853</v>
      </c>
      <c r="F186" s="27">
        <f t="shared" ca="1" si="2"/>
        <v>1620</v>
      </c>
      <c r="G186" s="79" t="s">
        <v>1188</v>
      </c>
      <c r="H186" s="80"/>
      <c r="I186" s="80"/>
      <c r="J186" s="79" t="s">
        <v>597</v>
      </c>
      <c r="K186" s="78" t="s">
        <v>580</v>
      </c>
      <c r="L186" s="77">
        <v>42898</v>
      </c>
      <c r="M186" s="68"/>
      <c r="N186" s="76" t="s">
        <v>1189</v>
      </c>
      <c r="O186" s="75"/>
      <c r="R186" s="74"/>
    </row>
    <row r="187" spans="2:18" ht="36" hidden="1" customHeight="1" x14ac:dyDescent="0.25">
      <c r="B187" s="84">
        <v>1818</v>
      </c>
      <c r="C187" s="83" t="s">
        <v>23</v>
      </c>
      <c r="D187" s="82" t="s">
        <v>1666</v>
      </c>
      <c r="E187" s="81">
        <v>42853</v>
      </c>
      <c r="F187" s="27">
        <f t="shared" ca="1" si="2"/>
        <v>1620</v>
      </c>
      <c r="G187" s="79" t="s">
        <v>1275</v>
      </c>
      <c r="H187" s="80"/>
      <c r="I187" s="80"/>
      <c r="J187" s="79" t="s">
        <v>765</v>
      </c>
      <c r="K187" s="78" t="s">
        <v>623</v>
      </c>
      <c r="L187" s="77">
        <v>42881</v>
      </c>
      <c r="M187" s="68"/>
      <c r="N187" s="76"/>
      <c r="O187" s="75" t="s">
        <v>1667</v>
      </c>
      <c r="R187" s="74"/>
    </row>
    <row r="188" spans="2:18" ht="36" hidden="1" customHeight="1" x14ac:dyDescent="0.25">
      <c r="B188" s="84">
        <v>1823</v>
      </c>
      <c r="C188" s="83" t="s">
        <v>23</v>
      </c>
      <c r="D188" s="82" t="s">
        <v>2516</v>
      </c>
      <c r="E188" s="81">
        <v>42856</v>
      </c>
      <c r="F188" s="27">
        <f t="shared" ca="1" si="2"/>
        <v>1617</v>
      </c>
      <c r="G188" s="79" t="s">
        <v>1469</v>
      </c>
      <c r="H188" s="80"/>
      <c r="I188" s="80"/>
      <c r="J188" s="79" t="s">
        <v>765</v>
      </c>
      <c r="K188" s="78" t="s">
        <v>623</v>
      </c>
      <c r="L188" s="77">
        <v>42868</v>
      </c>
      <c r="M188" s="68"/>
      <c r="N188" s="76"/>
      <c r="O188" s="75" t="s">
        <v>2517</v>
      </c>
      <c r="R188" s="74"/>
    </row>
    <row r="189" spans="2:18" ht="36" hidden="1" customHeight="1" x14ac:dyDescent="0.25">
      <c r="B189" s="84">
        <v>1827</v>
      </c>
      <c r="C189" s="83" t="s">
        <v>11</v>
      </c>
      <c r="D189" s="82" t="s">
        <v>3298</v>
      </c>
      <c r="E189" s="81">
        <v>42858</v>
      </c>
      <c r="F189" s="27">
        <f t="shared" ca="1" si="2"/>
        <v>1615</v>
      </c>
      <c r="G189" s="79" t="s">
        <v>1469</v>
      </c>
      <c r="H189" s="80"/>
      <c r="I189" s="80"/>
      <c r="J189" s="79" t="s">
        <v>765</v>
      </c>
      <c r="K189" s="78" t="s">
        <v>623</v>
      </c>
      <c r="L189" s="77">
        <v>42868</v>
      </c>
      <c r="M189" s="68"/>
      <c r="N189" s="76"/>
      <c r="O189" s="75" t="s">
        <v>3299</v>
      </c>
      <c r="R189" s="74"/>
    </row>
    <row r="190" spans="2:18" ht="36" hidden="1" customHeight="1" x14ac:dyDescent="0.25">
      <c r="B190" s="84">
        <v>1827</v>
      </c>
      <c r="C190" s="83" t="s">
        <v>35</v>
      </c>
      <c r="D190" s="82" t="s">
        <v>3302</v>
      </c>
      <c r="E190" s="81">
        <v>42858</v>
      </c>
      <c r="F190" s="27">
        <f t="shared" ca="1" si="2"/>
        <v>1615</v>
      </c>
      <c r="G190" s="79" t="s">
        <v>1325</v>
      </c>
      <c r="H190" s="80"/>
      <c r="I190" s="80"/>
      <c r="J190" s="79" t="s">
        <v>592</v>
      </c>
      <c r="K190" s="78" t="s">
        <v>623</v>
      </c>
      <c r="L190" s="77">
        <v>42874</v>
      </c>
      <c r="M190" s="68"/>
      <c r="N190" s="76"/>
      <c r="O190" s="75" t="s">
        <v>3303</v>
      </c>
      <c r="R190" s="74"/>
    </row>
    <row r="191" spans="2:18" ht="36" hidden="1" customHeight="1" x14ac:dyDescent="0.25">
      <c r="B191" s="84">
        <v>1646</v>
      </c>
      <c r="C191" s="83" t="s">
        <v>17</v>
      </c>
      <c r="D191" s="82" t="s">
        <v>1106</v>
      </c>
      <c r="E191" s="81">
        <v>42860</v>
      </c>
      <c r="F191" s="27">
        <f t="shared" ca="1" si="2"/>
        <v>1613</v>
      </c>
      <c r="G191" s="79" t="s">
        <v>1107</v>
      </c>
      <c r="H191" s="80"/>
      <c r="I191" s="80"/>
      <c r="J191" s="79" t="s">
        <v>592</v>
      </c>
      <c r="K191" s="78" t="s">
        <v>580</v>
      </c>
      <c r="L191" s="77">
        <v>42874</v>
      </c>
      <c r="M191" s="68"/>
      <c r="N191" s="76"/>
      <c r="O191" s="75" t="s">
        <v>1108</v>
      </c>
      <c r="R191" s="74"/>
    </row>
    <row r="192" spans="2:18" ht="36" hidden="1" customHeight="1" x14ac:dyDescent="0.25">
      <c r="B192" s="84">
        <v>1819</v>
      </c>
      <c r="C192" s="83" t="s">
        <v>23</v>
      </c>
      <c r="D192" s="82" t="s">
        <v>1847</v>
      </c>
      <c r="E192" s="81">
        <v>42860</v>
      </c>
      <c r="F192" s="27">
        <f t="shared" ca="1" si="2"/>
        <v>1613</v>
      </c>
      <c r="G192" s="79" t="s">
        <v>1469</v>
      </c>
      <c r="H192" s="80"/>
      <c r="I192" s="80"/>
      <c r="J192" s="79" t="s">
        <v>765</v>
      </c>
      <c r="K192" s="78" t="s">
        <v>623</v>
      </c>
      <c r="L192" s="77">
        <v>42868</v>
      </c>
      <c r="M192" s="68"/>
      <c r="N192" s="76"/>
      <c r="O192" s="75" t="s">
        <v>1848</v>
      </c>
      <c r="R192" s="74"/>
    </row>
    <row r="193" spans="2:18" ht="36" hidden="1" customHeight="1" x14ac:dyDescent="0.25">
      <c r="B193" s="84">
        <v>1820</v>
      </c>
      <c r="C193" s="83" t="s">
        <v>12</v>
      </c>
      <c r="D193" s="82" t="s">
        <v>2061</v>
      </c>
      <c r="E193" s="81">
        <v>42860</v>
      </c>
      <c r="F193" s="27">
        <f t="shared" ca="1" si="2"/>
        <v>1613</v>
      </c>
      <c r="G193" s="79" t="s">
        <v>1328</v>
      </c>
      <c r="H193" s="80"/>
      <c r="I193" s="80"/>
      <c r="J193" s="79" t="s">
        <v>579</v>
      </c>
      <c r="K193" s="78" t="s">
        <v>623</v>
      </c>
      <c r="L193" s="77">
        <v>42860</v>
      </c>
      <c r="M193" s="68"/>
      <c r="N193" s="76"/>
      <c r="O193" s="75" t="s">
        <v>2062</v>
      </c>
      <c r="R193" s="74"/>
    </row>
    <row r="194" spans="2:18" ht="36" hidden="1" customHeight="1" x14ac:dyDescent="0.25">
      <c r="B194" s="84">
        <v>1829</v>
      </c>
      <c r="C194" s="83" t="s">
        <v>12</v>
      </c>
      <c r="D194" s="82" t="s">
        <v>3713</v>
      </c>
      <c r="E194" s="81">
        <v>42860</v>
      </c>
      <c r="F194" s="27">
        <f t="shared" ca="1" si="2"/>
        <v>1613</v>
      </c>
      <c r="G194" s="79" t="s">
        <v>1863</v>
      </c>
      <c r="H194" s="80"/>
      <c r="I194" s="80"/>
      <c r="J194" s="79" t="s">
        <v>579</v>
      </c>
      <c r="K194" s="78" t="s">
        <v>623</v>
      </c>
      <c r="L194" s="77">
        <v>42860</v>
      </c>
      <c r="M194" s="68"/>
      <c r="N194" s="76"/>
      <c r="O194" s="75" t="s">
        <v>2062</v>
      </c>
      <c r="R194" s="74"/>
    </row>
    <row r="195" spans="2:18" ht="36" hidden="1" customHeight="1" x14ac:dyDescent="0.25">
      <c r="B195" s="84">
        <v>1829</v>
      </c>
      <c r="C195" s="83" t="s">
        <v>23</v>
      </c>
      <c r="D195" s="82" t="s">
        <v>2073</v>
      </c>
      <c r="E195" s="81">
        <v>42860</v>
      </c>
      <c r="F195" s="27">
        <f t="shared" ca="1" si="2"/>
        <v>1613</v>
      </c>
      <c r="G195" s="79" t="s">
        <v>2118</v>
      </c>
      <c r="H195" s="80"/>
      <c r="I195" s="80"/>
      <c r="J195" s="79" t="s">
        <v>579</v>
      </c>
      <c r="K195" s="78" t="s">
        <v>623</v>
      </c>
      <c r="L195" s="77">
        <v>42868</v>
      </c>
      <c r="M195" s="68"/>
      <c r="N195" s="76" t="s">
        <v>3714</v>
      </c>
      <c r="O195" s="75" t="s">
        <v>3715</v>
      </c>
      <c r="R195" s="74"/>
    </row>
    <row r="196" spans="2:18" ht="36" hidden="1" customHeight="1" x14ac:dyDescent="0.25">
      <c r="B196" s="84">
        <v>1829</v>
      </c>
      <c r="C196" s="83" t="s">
        <v>23</v>
      </c>
      <c r="D196" s="82" t="s">
        <v>1269</v>
      </c>
      <c r="E196" s="81">
        <v>42860</v>
      </c>
      <c r="F196" s="27">
        <f t="shared" ca="1" si="2"/>
        <v>1613</v>
      </c>
      <c r="G196" s="79" t="s">
        <v>1469</v>
      </c>
      <c r="H196" s="80"/>
      <c r="I196" s="80"/>
      <c r="J196" s="79" t="s">
        <v>765</v>
      </c>
      <c r="K196" s="78" t="s">
        <v>623</v>
      </c>
      <c r="L196" s="77">
        <v>42868</v>
      </c>
      <c r="M196" s="68"/>
      <c r="N196" s="76"/>
      <c r="O196" s="75" t="s">
        <v>1270</v>
      </c>
      <c r="R196" s="74"/>
    </row>
    <row r="197" spans="2:18" ht="36" hidden="1" customHeight="1" x14ac:dyDescent="0.25">
      <c r="B197" s="84">
        <v>1823</v>
      </c>
      <c r="C197" s="83" t="s">
        <v>18</v>
      </c>
      <c r="D197" s="82" t="s">
        <v>2513</v>
      </c>
      <c r="E197" s="81">
        <v>42863</v>
      </c>
      <c r="F197" s="27">
        <f t="shared" ca="1" si="2"/>
        <v>1610</v>
      </c>
      <c r="G197" s="79" t="s">
        <v>1469</v>
      </c>
      <c r="H197" s="80"/>
      <c r="I197" s="80"/>
      <c r="J197" s="79" t="s">
        <v>765</v>
      </c>
      <c r="K197" s="78" t="s">
        <v>623</v>
      </c>
      <c r="L197" s="77">
        <v>42867</v>
      </c>
      <c r="M197" s="68"/>
      <c r="N197" s="76"/>
      <c r="O197" s="75" t="s">
        <v>2514</v>
      </c>
      <c r="R197" s="74"/>
    </row>
    <row r="198" spans="2:18" ht="36" hidden="1" customHeight="1" x14ac:dyDescent="0.25">
      <c r="B198" s="84">
        <v>1823</v>
      </c>
      <c r="C198" s="83" t="s">
        <v>16</v>
      </c>
      <c r="D198" s="82" t="s">
        <v>2525</v>
      </c>
      <c r="E198" s="81">
        <v>42863</v>
      </c>
      <c r="F198" s="27">
        <f t="shared" ca="1" si="2"/>
        <v>1610</v>
      </c>
      <c r="G198" s="79" t="s">
        <v>1275</v>
      </c>
      <c r="H198" s="80"/>
      <c r="I198" s="80"/>
      <c r="J198" s="79" t="s">
        <v>765</v>
      </c>
      <c r="K198" s="78" t="s">
        <v>623</v>
      </c>
      <c r="L198" s="77">
        <v>42882</v>
      </c>
      <c r="M198" s="68"/>
      <c r="N198" s="76"/>
      <c r="O198" s="75" t="s">
        <v>2526</v>
      </c>
      <c r="R198" s="74"/>
    </row>
    <row r="199" spans="2:18" ht="36" hidden="1" customHeight="1" x14ac:dyDescent="0.25">
      <c r="B199" s="84">
        <v>1825</v>
      </c>
      <c r="C199" s="83" t="s">
        <v>23</v>
      </c>
      <c r="D199" s="82" t="s">
        <v>2055</v>
      </c>
      <c r="E199" s="81">
        <v>42863</v>
      </c>
      <c r="F199" s="27">
        <f t="shared" ca="1" si="2"/>
        <v>1610</v>
      </c>
      <c r="G199" s="79" t="s">
        <v>1469</v>
      </c>
      <c r="H199" s="80"/>
      <c r="I199" s="80"/>
      <c r="J199" s="79" t="s">
        <v>765</v>
      </c>
      <c r="K199" s="78" t="s">
        <v>623</v>
      </c>
      <c r="L199" s="77">
        <v>42868</v>
      </c>
      <c r="M199" s="68"/>
      <c r="N199" s="76"/>
      <c r="O199" s="75" t="s">
        <v>2964</v>
      </c>
      <c r="R199" s="74"/>
    </row>
    <row r="200" spans="2:18" ht="36" hidden="1" customHeight="1" x14ac:dyDescent="0.25">
      <c r="B200" s="84">
        <v>1828</v>
      </c>
      <c r="C200" s="83" t="s">
        <v>27</v>
      </c>
      <c r="D200" s="82" t="s">
        <v>3483</v>
      </c>
      <c r="E200" s="81">
        <v>42863</v>
      </c>
      <c r="F200" s="27">
        <f t="shared" ca="1" si="2"/>
        <v>1610</v>
      </c>
      <c r="G200" s="79" t="s">
        <v>1325</v>
      </c>
      <c r="H200" s="80"/>
      <c r="I200" s="80"/>
      <c r="J200" s="79" t="s">
        <v>592</v>
      </c>
      <c r="K200" s="78" t="s">
        <v>623</v>
      </c>
      <c r="L200" s="77">
        <v>42874</v>
      </c>
      <c r="M200" s="68"/>
      <c r="N200" s="76"/>
      <c r="O200" s="75" t="s">
        <v>3484</v>
      </c>
      <c r="R200" s="74"/>
    </row>
    <row r="201" spans="2:18" ht="36" hidden="1" customHeight="1" x14ac:dyDescent="0.25">
      <c r="B201" s="84">
        <v>1823</v>
      </c>
      <c r="C201" s="83" t="s">
        <v>27</v>
      </c>
      <c r="D201" s="82" t="s">
        <v>2515</v>
      </c>
      <c r="E201" s="81">
        <v>42864</v>
      </c>
      <c r="F201" s="27">
        <f t="shared" ca="1" si="2"/>
        <v>1609</v>
      </c>
      <c r="G201" s="79" t="s">
        <v>1469</v>
      </c>
      <c r="H201" s="80"/>
      <c r="I201" s="80"/>
      <c r="J201" s="79" t="s">
        <v>765</v>
      </c>
      <c r="K201" s="78" t="s">
        <v>623</v>
      </c>
      <c r="L201" s="77">
        <v>42867</v>
      </c>
      <c r="M201" s="68"/>
      <c r="N201" s="76"/>
      <c r="O201" s="75" t="s">
        <v>2469</v>
      </c>
      <c r="R201" s="74"/>
    </row>
    <row r="202" spans="2:18" ht="36" hidden="1" customHeight="1" x14ac:dyDescent="0.25">
      <c r="B202" s="84">
        <v>1823</v>
      </c>
      <c r="C202" s="83" t="s">
        <v>40</v>
      </c>
      <c r="D202" s="82" t="s">
        <v>2518</v>
      </c>
      <c r="E202" s="81">
        <v>42864</v>
      </c>
      <c r="F202" s="27">
        <f t="shared" ca="1" si="2"/>
        <v>1609</v>
      </c>
      <c r="G202" s="79" t="s">
        <v>1469</v>
      </c>
      <c r="H202" s="80"/>
      <c r="I202" s="80"/>
      <c r="J202" s="79" t="s">
        <v>765</v>
      </c>
      <c r="K202" s="78" t="s">
        <v>623</v>
      </c>
      <c r="L202" s="77">
        <v>42868</v>
      </c>
      <c r="M202" s="68"/>
      <c r="N202" s="76"/>
      <c r="O202" s="75" t="s">
        <v>2519</v>
      </c>
      <c r="R202" s="74"/>
    </row>
    <row r="203" spans="2:18" ht="36" hidden="1" customHeight="1" x14ac:dyDescent="0.25">
      <c r="B203" s="84">
        <v>1823</v>
      </c>
      <c r="C203" s="83" t="s">
        <v>40</v>
      </c>
      <c r="D203" s="82" t="s">
        <v>2520</v>
      </c>
      <c r="E203" s="81">
        <v>42864</v>
      </c>
      <c r="F203" s="27">
        <f t="shared" ca="1" si="2"/>
        <v>1609</v>
      </c>
      <c r="G203" s="79" t="s">
        <v>1469</v>
      </c>
      <c r="H203" s="80"/>
      <c r="I203" s="80"/>
      <c r="J203" s="79" t="s">
        <v>765</v>
      </c>
      <c r="K203" s="78" t="s">
        <v>623</v>
      </c>
      <c r="L203" s="77">
        <v>42868</v>
      </c>
      <c r="M203" s="68"/>
      <c r="N203" s="76"/>
      <c r="O203" s="75" t="s">
        <v>2521</v>
      </c>
      <c r="R203" s="74"/>
    </row>
    <row r="204" spans="2:18" ht="36" hidden="1" customHeight="1" x14ac:dyDescent="0.25">
      <c r="B204" s="84">
        <v>1823</v>
      </c>
      <c r="C204" s="83" t="s">
        <v>40</v>
      </c>
      <c r="D204" s="82" t="s">
        <v>2522</v>
      </c>
      <c r="E204" s="81">
        <v>42864</v>
      </c>
      <c r="F204" s="27">
        <f t="shared" ca="1" si="2"/>
        <v>1609</v>
      </c>
      <c r="G204" s="79" t="s">
        <v>2523</v>
      </c>
      <c r="H204" s="80"/>
      <c r="I204" s="80"/>
      <c r="J204" s="79" t="s">
        <v>592</v>
      </c>
      <c r="K204" s="78" t="s">
        <v>623</v>
      </c>
      <c r="L204" s="77">
        <v>42874</v>
      </c>
      <c r="M204" s="68"/>
      <c r="N204" s="76"/>
      <c r="O204" s="75" t="s">
        <v>2524</v>
      </c>
      <c r="R204" s="74"/>
    </row>
    <row r="205" spans="2:18" ht="36" hidden="1" customHeight="1" x14ac:dyDescent="0.25">
      <c r="B205" s="84">
        <v>1824</v>
      </c>
      <c r="C205" s="83" t="s">
        <v>16</v>
      </c>
      <c r="D205" s="82" t="s">
        <v>2705</v>
      </c>
      <c r="E205" s="81">
        <v>42865</v>
      </c>
      <c r="F205" s="27">
        <f t="shared" ca="1" si="2"/>
        <v>1608</v>
      </c>
      <c r="G205" s="79" t="s">
        <v>2147</v>
      </c>
      <c r="H205" s="80"/>
      <c r="I205" s="80"/>
      <c r="J205" s="79" t="s">
        <v>579</v>
      </c>
      <c r="K205" s="78" t="s">
        <v>623</v>
      </c>
      <c r="L205" s="77">
        <v>42865</v>
      </c>
      <c r="M205" s="68"/>
      <c r="N205" s="76"/>
      <c r="O205" s="75"/>
      <c r="R205" s="74"/>
    </row>
    <row r="206" spans="2:18" ht="36" hidden="1" customHeight="1" x14ac:dyDescent="0.25">
      <c r="B206" s="84">
        <v>1825</v>
      </c>
      <c r="C206" s="83" t="s">
        <v>23</v>
      </c>
      <c r="D206" s="82" t="s">
        <v>2963</v>
      </c>
      <c r="E206" s="81">
        <v>42865</v>
      </c>
      <c r="F206" s="27">
        <f t="shared" ca="1" si="2"/>
        <v>1608</v>
      </c>
      <c r="G206" s="79" t="s">
        <v>1469</v>
      </c>
      <c r="H206" s="80"/>
      <c r="I206" s="80"/>
      <c r="J206" s="79" t="s">
        <v>765</v>
      </c>
      <c r="K206" s="78" t="s">
        <v>623</v>
      </c>
      <c r="L206" s="77">
        <v>42867</v>
      </c>
      <c r="M206" s="68"/>
      <c r="N206" s="76"/>
      <c r="O206" s="75" t="s">
        <v>2065</v>
      </c>
      <c r="R206" s="74"/>
    </row>
    <row r="207" spans="2:18" ht="36" hidden="1" customHeight="1" x14ac:dyDescent="0.25">
      <c r="B207" s="84">
        <v>1642</v>
      </c>
      <c r="C207" s="83" t="s">
        <v>17</v>
      </c>
      <c r="D207" s="82" t="s">
        <v>727</v>
      </c>
      <c r="E207" s="81">
        <v>42867</v>
      </c>
      <c r="F207" s="27">
        <f t="shared" ca="1" si="2"/>
        <v>1606</v>
      </c>
      <c r="G207" s="79" t="s">
        <v>728</v>
      </c>
      <c r="H207" s="80"/>
      <c r="I207" s="80"/>
      <c r="J207" s="79" t="s">
        <v>729</v>
      </c>
      <c r="K207" s="78" t="s">
        <v>730</v>
      </c>
      <c r="L207" s="77">
        <v>42860</v>
      </c>
      <c r="M207" s="68"/>
      <c r="N207" s="76"/>
      <c r="O207" s="75" t="s">
        <v>731</v>
      </c>
      <c r="R207" s="74"/>
    </row>
    <row r="208" spans="2:18" ht="36" hidden="1" customHeight="1" x14ac:dyDescent="0.25">
      <c r="B208" s="84">
        <v>1642</v>
      </c>
      <c r="C208" s="83" t="s">
        <v>12</v>
      </c>
      <c r="D208" s="82" t="s">
        <v>732</v>
      </c>
      <c r="E208" s="81">
        <v>42867</v>
      </c>
      <c r="F208" s="27">
        <f t="shared" ref="F208:F271" ca="1" si="3">IF(E208&lt;&gt;"",TODAY()-E208,"")</f>
        <v>1606</v>
      </c>
      <c r="G208" s="79" t="s">
        <v>728</v>
      </c>
      <c r="H208" s="80"/>
      <c r="I208" s="80"/>
      <c r="J208" s="79" t="s">
        <v>729</v>
      </c>
      <c r="K208" s="78" t="s">
        <v>730</v>
      </c>
      <c r="L208" s="77">
        <v>42860</v>
      </c>
      <c r="M208" s="68"/>
      <c r="N208" s="76"/>
      <c r="O208" s="75" t="s">
        <v>733</v>
      </c>
      <c r="R208" s="74"/>
    </row>
    <row r="209" spans="2:18" ht="36" hidden="1" customHeight="1" x14ac:dyDescent="0.25">
      <c r="B209" s="84">
        <v>1642</v>
      </c>
      <c r="C209" s="83" t="s">
        <v>40</v>
      </c>
      <c r="D209" s="82" t="s">
        <v>734</v>
      </c>
      <c r="E209" s="81">
        <v>42867</v>
      </c>
      <c r="F209" s="27">
        <f t="shared" ca="1" si="3"/>
        <v>1606</v>
      </c>
      <c r="G209" s="79" t="s">
        <v>728</v>
      </c>
      <c r="H209" s="80"/>
      <c r="I209" s="80"/>
      <c r="J209" s="79" t="s">
        <v>729</v>
      </c>
      <c r="K209" s="78" t="s">
        <v>730</v>
      </c>
      <c r="L209" s="77">
        <v>42860</v>
      </c>
      <c r="M209" s="68"/>
      <c r="N209" s="76"/>
      <c r="O209" s="75" t="s">
        <v>735</v>
      </c>
      <c r="R209" s="74"/>
    </row>
    <row r="210" spans="2:18" ht="36" hidden="1" customHeight="1" x14ac:dyDescent="0.25">
      <c r="B210" s="84">
        <v>1642</v>
      </c>
      <c r="C210" s="83" t="s">
        <v>17</v>
      </c>
      <c r="D210" s="82" t="s">
        <v>738</v>
      </c>
      <c r="E210" s="81">
        <v>42867</v>
      </c>
      <c r="F210" s="27">
        <f t="shared" ca="1" si="3"/>
        <v>1606</v>
      </c>
      <c r="G210" s="79" t="s">
        <v>739</v>
      </c>
      <c r="H210" s="80"/>
      <c r="I210" s="80"/>
      <c r="J210" s="79" t="s">
        <v>740</v>
      </c>
      <c r="K210" s="78" t="s">
        <v>580</v>
      </c>
      <c r="L210" s="77">
        <v>42942</v>
      </c>
      <c r="M210" s="68"/>
      <c r="N210" s="76"/>
      <c r="O210" s="75" t="s">
        <v>741</v>
      </c>
      <c r="R210" s="74"/>
    </row>
    <row r="211" spans="2:18" ht="36" hidden="1" customHeight="1" x14ac:dyDescent="0.25">
      <c r="B211" s="84">
        <v>1817</v>
      </c>
      <c r="C211" s="83" t="s">
        <v>23</v>
      </c>
      <c r="D211" s="82" t="s">
        <v>1269</v>
      </c>
      <c r="E211" s="81">
        <v>42867</v>
      </c>
      <c r="F211" s="27">
        <f t="shared" ca="1" si="3"/>
        <v>1606</v>
      </c>
      <c r="G211" s="79" t="s">
        <v>1469</v>
      </c>
      <c r="H211" s="80"/>
      <c r="I211" s="80"/>
      <c r="J211" s="79" t="s">
        <v>765</v>
      </c>
      <c r="K211" s="78" t="s">
        <v>623</v>
      </c>
      <c r="L211" s="77">
        <v>42868</v>
      </c>
      <c r="M211" s="68"/>
      <c r="N211" s="76"/>
      <c r="O211" s="75" t="s">
        <v>1270</v>
      </c>
      <c r="R211" s="74"/>
    </row>
    <row r="212" spans="2:18" ht="36" hidden="1" customHeight="1" x14ac:dyDescent="0.25">
      <c r="B212" s="84">
        <v>1818</v>
      </c>
      <c r="C212" s="83" t="s">
        <v>16</v>
      </c>
      <c r="D212" s="82" t="s">
        <v>1668</v>
      </c>
      <c r="E212" s="81">
        <v>42871</v>
      </c>
      <c r="F212" s="27">
        <f t="shared" ca="1" si="3"/>
        <v>1602</v>
      </c>
      <c r="G212" s="79" t="s">
        <v>578</v>
      </c>
      <c r="H212" s="80"/>
      <c r="I212" s="80"/>
      <c r="J212" s="79" t="s">
        <v>729</v>
      </c>
      <c r="K212" s="78" t="s">
        <v>623</v>
      </c>
      <c r="L212" s="77">
        <v>42885</v>
      </c>
      <c r="M212" s="68"/>
      <c r="N212" s="76"/>
      <c r="O212" s="75" t="s">
        <v>1669</v>
      </c>
      <c r="R212" s="74"/>
    </row>
    <row r="213" spans="2:18" ht="36" hidden="1" customHeight="1" x14ac:dyDescent="0.25">
      <c r="B213" s="84">
        <v>1824</v>
      </c>
      <c r="C213" s="83" t="s">
        <v>23</v>
      </c>
      <c r="D213" s="82" t="s">
        <v>1269</v>
      </c>
      <c r="E213" s="81">
        <v>42871</v>
      </c>
      <c r="F213" s="27">
        <f t="shared" ca="1" si="3"/>
        <v>1602</v>
      </c>
      <c r="G213" s="79" t="s">
        <v>1275</v>
      </c>
      <c r="H213" s="80"/>
      <c r="I213" s="80"/>
      <c r="J213" s="79" t="s">
        <v>765</v>
      </c>
      <c r="K213" s="78" t="s">
        <v>623</v>
      </c>
      <c r="L213" s="77">
        <v>42882</v>
      </c>
      <c r="M213" s="68"/>
      <c r="N213" s="76"/>
      <c r="O213" s="75" t="s">
        <v>2706</v>
      </c>
      <c r="R213" s="74"/>
    </row>
    <row r="214" spans="2:18" ht="36" hidden="1" customHeight="1" x14ac:dyDescent="0.25">
      <c r="B214" s="84">
        <v>1829</v>
      </c>
      <c r="C214" s="83" t="s">
        <v>40</v>
      </c>
      <c r="D214" s="82" t="s">
        <v>3719</v>
      </c>
      <c r="E214" s="81">
        <v>42871</v>
      </c>
      <c r="F214" s="27">
        <f t="shared" ca="1" si="3"/>
        <v>1602</v>
      </c>
      <c r="G214" s="79" t="s">
        <v>1275</v>
      </c>
      <c r="H214" s="80"/>
      <c r="I214" s="80"/>
      <c r="J214" s="79" t="s">
        <v>765</v>
      </c>
      <c r="K214" s="78" t="s">
        <v>623</v>
      </c>
      <c r="L214" s="77">
        <v>42884</v>
      </c>
      <c r="M214" s="68"/>
      <c r="N214" s="76"/>
      <c r="O214" s="75" t="s">
        <v>3720</v>
      </c>
      <c r="R214" s="74"/>
    </row>
    <row r="215" spans="2:18" ht="36" hidden="1" customHeight="1" x14ac:dyDescent="0.25">
      <c r="B215" s="84">
        <v>1642</v>
      </c>
      <c r="C215" s="83" t="s">
        <v>23</v>
      </c>
      <c r="D215" s="82" t="s">
        <v>736</v>
      </c>
      <c r="E215" s="81">
        <v>42872</v>
      </c>
      <c r="F215" s="27">
        <f t="shared" ca="1" si="3"/>
        <v>1601</v>
      </c>
      <c r="G215" s="79" t="s">
        <v>728</v>
      </c>
      <c r="H215" s="80"/>
      <c r="I215" s="80"/>
      <c r="J215" s="79" t="s">
        <v>729</v>
      </c>
      <c r="K215" s="78" t="s">
        <v>730</v>
      </c>
      <c r="L215" s="77">
        <v>42860</v>
      </c>
      <c r="M215" s="68"/>
      <c r="N215" s="76"/>
      <c r="O215" s="75" t="s">
        <v>737</v>
      </c>
      <c r="R215" s="74"/>
    </row>
    <row r="216" spans="2:18" ht="36" hidden="1" customHeight="1" x14ac:dyDescent="0.25">
      <c r="B216" s="84">
        <v>1647</v>
      </c>
      <c r="C216" s="83" t="s">
        <v>40</v>
      </c>
      <c r="D216" s="82" t="s">
        <v>1190</v>
      </c>
      <c r="E216" s="81">
        <v>42874</v>
      </c>
      <c r="F216" s="27">
        <f t="shared" ca="1" si="3"/>
        <v>1599</v>
      </c>
      <c r="G216" s="79" t="s">
        <v>1188</v>
      </c>
      <c r="H216" s="80"/>
      <c r="I216" s="80"/>
      <c r="J216" s="79" t="s">
        <v>597</v>
      </c>
      <c r="K216" s="78" t="s">
        <v>730</v>
      </c>
      <c r="L216" s="77">
        <v>42898</v>
      </c>
      <c r="M216" s="68"/>
      <c r="N216" s="76" t="s">
        <v>1191</v>
      </c>
      <c r="O216" s="75"/>
      <c r="R216" s="74"/>
    </row>
    <row r="217" spans="2:18" ht="36" hidden="1" customHeight="1" x14ac:dyDescent="0.25">
      <c r="B217" s="84">
        <v>1647</v>
      </c>
      <c r="C217" s="83" t="s">
        <v>40</v>
      </c>
      <c r="D217" s="82" t="s">
        <v>1192</v>
      </c>
      <c r="E217" s="81">
        <v>42874</v>
      </c>
      <c r="F217" s="27">
        <f t="shared" ca="1" si="3"/>
        <v>1599</v>
      </c>
      <c r="G217" s="79" t="s">
        <v>1188</v>
      </c>
      <c r="H217" s="80"/>
      <c r="I217" s="80"/>
      <c r="J217" s="79" t="s">
        <v>597</v>
      </c>
      <c r="K217" s="78" t="s">
        <v>730</v>
      </c>
      <c r="L217" s="77">
        <v>42898</v>
      </c>
      <c r="M217" s="68"/>
      <c r="N217" s="76" t="s">
        <v>1193</v>
      </c>
      <c r="O217" s="75"/>
      <c r="R217" s="74"/>
    </row>
    <row r="218" spans="2:18" ht="36" hidden="1" customHeight="1" x14ac:dyDescent="0.25">
      <c r="B218" s="84">
        <v>1647</v>
      </c>
      <c r="C218" s="83" t="s">
        <v>36</v>
      </c>
      <c r="D218" s="82" t="s">
        <v>1194</v>
      </c>
      <c r="E218" s="81">
        <v>42874</v>
      </c>
      <c r="F218" s="27">
        <f t="shared" ca="1" si="3"/>
        <v>1599</v>
      </c>
      <c r="G218" s="79" t="s">
        <v>1188</v>
      </c>
      <c r="H218" s="80"/>
      <c r="I218" s="80"/>
      <c r="J218" s="79" t="s">
        <v>597</v>
      </c>
      <c r="K218" s="78" t="s">
        <v>580</v>
      </c>
      <c r="L218" s="77">
        <v>42898</v>
      </c>
      <c r="M218" s="68"/>
      <c r="N218" s="76" t="s">
        <v>1195</v>
      </c>
      <c r="O218" s="75"/>
      <c r="R218" s="74"/>
    </row>
    <row r="219" spans="2:18" ht="36" hidden="1" customHeight="1" x14ac:dyDescent="0.25">
      <c r="B219" s="84">
        <v>1647</v>
      </c>
      <c r="C219" s="83" t="s">
        <v>12</v>
      </c>
      <c r="D219" s="82" t="s">
        <v>1196</v>
      </c>
      <c r="E219" s="81">
        <v>42874</v>
      </c>
      <c r="F219" s="27">
        <f t="shared" ca="1" si="3"/>
        <v>1599</v>
      </c>
      <c r="G219" s="79" t="s">
        <v>1188</v>
      </c>
      <c r="H219" s="80"/>
      <c r="I219" s="80"/>
      <c r="J219" s="79" t="s">
        <v>597</v>
      </c>
      <c r="K219" s="78" t="s">
        <v>730</v>
      </c>
      <c r="L219" s="77">
        <v>42898</v>
      </c>
      <c r="M219" s="68"/>
      <c r="N219" s="76" t="s">
        <v>1197</v>
      </c>
      <c r="O219" s="75"/>
      <c r="R219" s="74"/>
    </row>
    <row r="220" spans="2:18" ht="36" hidden="1" customHeight="1" x14ac:dyDescent="0.25">
      <c r="B220" s="84">
        <v>1820</v>
      </c>
      <c r="C220" s="83" t="s">
        <v>23</v>
      </c>
      <c r="D220" s="82" t="s">
        <v>2063</v>
      </c>
      <c r="E220" s="81">
        <v>42874</v>
      </c>
      <c r="F220" s="27">
        <f t="shared" ca="1" si="3"/>
        <v>1599</v>
      </c>
      <c r="G220" s="79" t="s">
        <v>1275</v>
      </c>
      <c r="H220" s="80"/>
      <c r="I220" s="80"/>
      <c r="J220" s="79" t="s">
        <v>765</v>
      </c>
      <c r="K220" s="78" t="s">
        <v>623</v>
      </c>
      <c r="L220" s="77">
        <v>42881</v>
      </c>
      <c r="M220" s="68"/>
      <c r="N220" s="76"/>
      <c r="O220" s="75" t="s">
        <v>2064</v>
      </c>
      <c r="R220" s="74"/>
    </row>
    <row r="221" spans="2:18" ht="36" hidden="1" customHeight="1" x14ac:dyDescent="0.25">
      <c r="B221" s="84">
        <v>1826</v>
      </c>
      <c r="C221" s="83" t="s">
        <v>16</v>
      </c>
      <c r="D221" s="82" t="s">
        <v>3180</v>
      </c>
      <c r="E221" s="81">
        <v>42874</v>
      </c>
      <c r="F221" s="27">
        <f t="shared" ca="1" si="3"/>
        <v>1599</v>
      </c>
      <c r="G221" s="79" t="s">
        <v>3181</v>
      </c>
      <c r="H221" s="80"/>
      <c r="I221" s="80"/>
      <c r="J221" s="79" t="s">
        <v>579</v>
      </c>
      <c r="K221" s="78" t="s">
        <v>623</v>
      </c>
      <c r="L221" s="77">
        <v>42878</v>
      </c>
      <c r="M221" s="68"/>
      <c r="N221" s="76" t="s">
        <v>3182</v>
      </c>
      <c r="O221" s="75"/>
      <c r="R221" s="74"/>
    </row>
    <row r="222" spans="2:18" ht="36" hidden="1" customHeight="1" x14ac:dyDescent="0.25">
      <c r="B222" s="84">
        <v>1826</v>
      </c>
      <c r="C222" s="83" t="s">
        <v>23</v>
      </c>
      <c r="D222" s="82" t="s">
        <v>3183</v>
      </c>
      <c r="E222" s="81">
        <v>42874</v>
      </c>
      <c r="F222" s="27">
        <f t="shared" ca="1" si="3"/>
        <v>1599</v>
      </c>
      <c r="G222" s="79" t="s">
        <v>1275</v>
      </c>
      <c r="H222" s="80"/>
      <c r="I222" s="80"/>
      <c r="J222" s="79" t="s">
        <v>765</v>
      </c>
      <c r="K222" s="78" t="s">
        <v>623</v>
      </c>
      <c r="L222" s="77">
        <v>42882</v>
      </c>
      <c r="M222" s="68"/>
      <c r="N222" s="76"/>
      <c r="O222" s="75" t="s">
        <v>3184</v>
      </c>
      <c r="R222" s="74"/>
    </row>
    <row r="223" spans="2:18" ht="36" hidden="1" customHeight="1" x14ac:dyDescent="0.25">
      <c r="B223" s="84">
        <v>1829</v>
      </c>
      <c r="C223" s="83" t="s">
        <v>23</v>
      </c>
      <c r="D223" s="82" t="s">
        <v>3747</v>
      </c>
      <c r="E223" s="81">
        <v>42874</v>
      </c>
      <c r="F223" s="27">
        <f t="shared" ca="1" si="3"/>
        <v>1599</v>
      </c>
      <c r="G223" s="79" t="s">
        <v>3745</v>
      </c>
      <c r="H223" s="80"/>
      <c r="I223" s="80"/>
      <c r="J223" s="79" t="s">
        <v>597</v>
      </c>
      <c r="K223" s="78" t="s">
        <v>623</v>
      </c>
      <c r="L223" s="77">
        <v>43132</v>
      </c>
      <c r="M223" s="68"/>
      <c r="N223" s="76"/>
      <c r="O223" s="75"/>
      <c r="R223" s="74"/>
    </row>
    <row r="224" spans="2:18" ht="36" hidden="1" customHeight="1" x14ac:dyDescent="0.25">
      <c r="B224" s="84">
        <v>1829</v>
      </c>
      <c r="C224" s="83" t="s">
        <v>40</v>
      </c>
      <c r="D224" s="82" t="s">
        <v>2583</v>
      </c>
      <c r="E224" s="81">
        <v>42874</v>
      </c>
      <c r="F224" s="27">
        <f t="shared" ca="1" si="3"/>
        <v>1599</v>
      </c>
      <c r="G224" s="79" t="s">
        <v>3763</v>
      </c>
      <c r="H224" s="80"/>
      <c r="I224" s="80"/>
      <c r="J224" s="79" t="s">
        <v>579</v>
      </c>
      <c r="K224" s="78" t="s">
        <v>623</v>
      </c>
      <c r="L224" s="77">
        <v>43194</v>
      </c>
      <c r="M224" s="68"/>
      <c r="N224" s="76"/>
      <c r="O224" s="75" t="s">
        <v>3764</v>
      </c>
      <c r="R224" s="74"/>
    </row>
    <row r="225" spans="2:18" ht="36" hidden="1" customHeight="1" x14ac:dyDescent="0.25">
      <c r="B225" s="84">
        <v>1816</v>
      </c>
      <c r="C225" s="83" t="s">
        <v>23</v>
      </c>
      <c r="D225" s="82" t="s">
        <v>1269</v>
      </c>
      <c r="E225" s="81">
        <v>42879</v>
      </c>
      <c r="F225" s="27">
        <f t="shared" ca="1" si="3"/>
        <v>1594</v>
      </c>
      <c r="G225" s="79" t="s">
        <v>1275</v>
      </c>
      <c r="H225" s="80"/>
      <c r="I225" s="80"/>
      <c r="J225" s="79" t="s">
        <v>765</v>
      </c>
      <c r="K225" s="78" t="s">
        <v>623</v>
      </c>
      <c r="L225" s="77">
        <v>42882</v>
      </c>
      <c r="M225" s="68"/>
      <c r="N225" s="76"/>
      <c r="O225" s="75" t="s">
        <v>1270</v>
      </c>
      <c r="R225" s="74"/>
    </row>
    <row r="226" spans="2:18" ht="36" hidden="1" customHeight="1" x14ac:dyDescent="0.25">
      <c r="B226" s="84">
        <v>1817</v>
      </c>
      <c r="C226" s="83" t="s">
        <v>23</v>
      </c>
      <c r="D226" s="82" t="s">
        <v>1269</v>
      </c>
      <c r="E226" s="81">
        <v>42880</v>
      </c>
      <c r="F226" s="27">
        <f t="shared" ca="1" si="3"/>
        <v>1593</v>
      </c>
      <c r="G226" s="79" t="s">
        <v>1275</v>
      </c>
      <c r="H226" s="80"/>
      <c r="I226" s="80"/>
      <c r="J226" s="79" t="s">
        <v>765</v>
      </c>
      <c r="K226" s="78" t="s">
        <v>623</v>
      </c>
      <c r="L226" s="77">
        <v>42882</v>
      </c>
      <c r="M226" s="68"/>
      <c r="N226" s="76"/>
      <c r="O226" s="75" t="s">
        <v>1270</v>
      </c>
      <c r="R226" s="74"/>
    </row>
    <row r="227" spans="2:18" ht="36" hidden="1" customHeight="1" x14ac:dyDescent="0.25">
      <c r="B227" s="84">
        <v>1820</v>
      </c>
      <c r="C227" s="83" t="s">
        <v>23</v>
      </c>
      <c r="D227" s="82" t="s">
        <v>1269</v>
      </c>
      <c r="E227" s="81">
        <v>42881</v>
      </c>
      <c r="F227" s="27">
        <f t="shared" ca="1" si="3"/>
        <v>1592</v>
      </c>
      <c r="G227" s="79" t="s">
        <v>1275</v>
      </c>
      <c r="H227" s="80"/>
      <c r="I227" s="80"/>
      <c r="J227" s="79" t="s">
        <v>765</v>
      </c>
      <c r="K227" s="78" t="s">
        <v>623</v>
      </c>
      <c r="L227" s="77">
        <v>42882</v>
      </c>
      <c r="M227" s="68"/>
      <c r="N227" s="76"/>
      <c r="O227" s="75" t="s">
        <v>2065</v>
      </c>
      <c r="R227" s="74"/>
    </row>
    <row r="228" spans="2:18" ht="36" hidden="1" customHeight="1" x14ac:dyDescent="0.25">
      <c r="B228" s="84">
        <v>1822</v>
      </c>
      <c r="C228" s="83" t="s">
        <v>23</v>
      </c>
      <c r="D228" s="82" t="s">
        <v>1269</v>
      </c>
      <c r="E228" s="81">
        <v>42881</v>
      </c>
      <c r="F228" s="27">
        <f t="shared" ca="1" si="3"/>
        <v>1592</v>
      </c>
      <c r="G228" s="79" t="s">
        <v>1275</v>
      </c>
      <c r="H228" s="80"/>
      <c r="I228" s="80"/>
      <c r="J228" s="79" t="s">
        <v>765</v>
      </c>
      <c r="K228" s="78" t="s">
        <v>623</v>
      </c>
      <c r="L228" s="77">
        <v>42882</v>
      </c>
      <c r="M228" s="68"/>
      <c r="N228" s="76"/>
      <c r="O228" s="75" t="s">
        <v>2402</v>
      </c>
      <c r="R228" s="74"/>
    </row>
    <row r="229" spans="2:18" ht="36" hidden="1" customHeight="1" x14ac:dyDescent="0.25">
      <c r="B229" s="84">
        <v>1821</v>
      </c>
      <c r="C229" s="83" t="s">
        <v>39</v>
      </c>
      <c r="D229" s="82" t="s">
        <v>2262</v>
      </c>
      <c r="E229" s="81">
        <v>42882</v>
      </c>
      <c r="F229" s="27">
        <f t="shared" ca="1" si="3"/>
        <v>1591</v>
      </c>
      <c r="G229" s="79"/>
      <c r="H229" s="80"/>
      <c r="I229" s="80"/>
      <c r="J229" s="79"/>
      <c r="K229" s="78"/>
      <c r="L229" s="77">
        <v>42882</v>
      </c>
      <c r="M229" s="68"/>
      <c r="N229" s="76"/>
      <c r="O229" s="75" t="s">
        <v>2263</v>
      </c>
      <c r="R229" s="74"/>
    </row>
    <row r="230" spans="2:18" ht="36" hidden="1" customHeight="1" x14ac:dyDescent="0.25">
      <c r="B230" s="84">
        <v>1819</v>
      </c>
      <c r="C230" s="83" t="s">
        <v>40</v>
      </c>
      <c r="D230" s="82" t="s">
        <v>1849</v>
      </c>
      <c r="E230" s="81">
        <v>42884</v>
      </c>
      <c r="F230" s="27">
        <f t="shared" ca="1" si="3"/>
        <v>1589</v>
      </c>
      <c r="G230" s="79" t="s">
        <v>578</v>
      </c>
      <c r="H230" s="80"/>
      <c r="I230" s="80"/>
      <c r="J230" s="79" t="s">
        <v>729</v>
      </c>
      <c r="K230" s="78" t="s">
        <v>623</v>
      </c>
      <c r="L230" s="77">
        <v>42885</v>
      </c>
      <c r="M230" s="68"/>
      <c r="N230" s="76"/>
      <c r="O230" s="75" t="s">
        <v>1850</v>
      </c>
      <c r="R230" s="74"/>
    </row>
    <row r="231" spans="2:18" ht="36" hidden="1" customHeight="1" x14ac:dyDescent="0.25">
      <c r="B231" s="84">
        <v>1819</v>
      </c>
      <c r="C231" s="83" t="s">
        <v>21</v>
      </c>
      <c r="D231" s="82" t="s">
        <v>1851</v>
      </c>
      <c r="E231" s="81">
        <v>42884</v>
      </c>
      <c r="F231" s="27">
        <f t="shared" ca="1" si="3"/>
        <v>1589</v>
      </c>
      <c r="G231" s="79" t="s">
        <v>578</v>
      </c>
      <c r="H231" s="80"/>
      <c r="I231" s="80"/>
      <c r="J231" s="79" t="s">
        <v>729</v>
      </c>
      <c r="K231" s="78" t="s">
        <v>623</v>
      </c>
      <c r="L231" s="77">
        <v>42885</v>
      </c>
      <c r="M231" s="68"/>
      <c r="N231" s="76"/>
      <c r="O231" s="75" t="s">
        <v>1852</v>
      </c>
      <c r="R231" s="74"/>
    </row>
    <row r="232" spans="2:18" ht="36" hidden="1" customHeight="1" x14ac:dyDescent="0.25">
      <c r="B232" s="84">
        <v>1825</v>
      </c>
      <c r="C232" s="83" t="s">
        <v>40</v>
      </c>
      <c r="D232" s="82" t="s">
        <v>2968</v>
      </c>
      <c r="E232" s="81">
        <v>42884</v>
      </c>
      <c r="F232" s="27">
        <f t="shared" ca="1" si="3"/>
        <v>1589</v>
      </c>
      <c r="G232" s="79" t="s">
        <v>603</v>
      </c>
      <c r="H232" s="80"/>
      <c r="I232" s="80"/>
      <c r="J232" s="79" t="s">
        <v>765</v>
      </c>
      <c r="K232" s="78" t="s">
        <v>623</v>
      </c>
      <c r="L232" s="77">
        <v>42924</v>
      </c>
      <c r="M232" s="68"/>
      <c r="N232" s="76"/>
      <c r="O232" s="75" t="s">
        <v>2969</v>
      </c>
      <c r="R232" s="74"/>
    </row>
    <row r="233" spans="2:18" ht="36" hidden="1" customHeight="1" x14ac:dyDescent="0.25">
      <c r="B233" s="84">
        <v>1824</v>
      </c>
      <c r="C233" s="83" t="s">
        <v>32</v>
      </c>
      <c r="D233" s="82" t="s">
        <v>2707</v>
      </c>
      <c r="E233" s="81">
        <v>42887</v>
      </c>
      <c r="F233" s="27">
        <f t="shared" ca="1" si="3"/>
        <v>1586</v>
      </c>
      <c r="G233" s="79" t="s">
        <v>1671</v>
      </c>
      <c r="H233" s="80"/>
      <c r="I233" s="80"/>
      <c r="J233" s="79" t="s">
        <v>1672</v>
      </c>
      <c r="K233" s="78" t="s">
        <v>623</v>
      </c>
      <c r="L233" s="77">
        <v>42896</v>
      </c>
      <c r="M233" s="68"/>
      <c r="N233" s="76"/>
      <c r="O233" s="75" t="s">
        <v>2708</v>
      </c>
      <c r="R233" s="74"/>
    </row>
    <row r="234" spans="2:18" ht="36" hidden="1" customHeight="1" x14ac:dyDescent="0.25">
      <c r="B234" s="84">
        <v>1818</v>
      </c>
      <c r="C234" s="83" t="s">
        <v>23</v>
      </c>
      <c r="D234" s="82" t="s">
        <v>1670</v>
      </c>
      <c r="E234" s="81">
        <v>42888</v>
      </c>
      <c r="F234" s="27">
        <f t="shared" ca="1" si="3"/>
        <v>1585</v>
      </c>
      <c r="G234" s="79" t="s">
        <v>1671</v>
      </c>
      <c r="H234" s="80"/>
      <c r="I234" s="80"/>
      <c r="J234" s="79" t="s">
        <v>1672</v>
      </c>
      <c r="K234" s="78" t="s">
        <v>623</v>
      </c>
      <c r="L234" s="77">
        <v>42896</v>
      </c>
      <c r="M234" s="68"/>
      <c r="N234" s="76"/>
      <c r="O234" s="75" t="s">
        <v>1673</v>
      </c>
      <c r="R234" s="74"/>
    </row>
    <row r="235" spans="2:18" ht="36" hidden="1" customHeight="1" x14ac:dyDescent="0.25">
      <c r="B235" s="84">
        <v>1825</v>
      </c>
      <c r="C235" s="83" t="s">
        <v>23</v>
      </c>
      <c r="D235" s="82" t="s">
        <v>1024</v>
      </c>
      <c r="E235" s="81">
        <v>42888</v>
      </c>
      <c r="F235" s="27">
        <f t="shared" ca="1" si="3"/>
        <v>1585</v>
      </c>
      <c r="G235" s="79" t="s">
        <v>1671</v>
      </c>
      <c r="H235" s="80"/>
      <c r="I235" s="80"/>
      <c r="J235" s="79" t="s">
        <v>1672</v>
      </c>
      <c r="K235" s="78" t="s">
        <v>623</v>
      </c>
      <c r="L235" s="77">
        <v>42896</v>
      </c>
      <c r="M235" s="68"/>
      <c r="N235" s="76"/>
      <c r="O235" s="75" t="s">
        <v>2965</v>
      </c>
      <c r="R235" s="74"/>
    </row>
    <row r="236" spans="2:18" ht="36" hidden="1" customHeight="1" x14ac:dyDescent="0.25">
      <c r="B236" s="84">
        <v>1818</v>
      </c>
      <c r="C236" s="83" t="s">
        <v>39</v>
      </c>
      <c r="D236" s="82" t="s">
        <v>1674</v>
      </c>
      <c r="E236" s="81">
        <v>42893</v>
      </c>
      <c r="F236" s="27">
        <f t="shared" ca="1" si="3"/>
        <v>1580</v>
      </c>
      <c r="G236" s="79" t="s">
        <v>1671</v>
      </c>
      <c r="H236" s="80"/>
      <c r="I236" s="80"/>
      <c r="J236" s="79" t="s">
        <v>1672</v>
      </c>
      <c r="K236" s="78" t="s">
        <v>623</v>
      </c>
      <c r="L236" s="77">
        <v>42896</v>
      </c>
      <c r="M236" s="68"/>
      <c r="N236" s="76"/>
      <c r="O236" s="75" t="s">
        <v>1675</v>
      </c>
      <c r="R236" s="74"/>
    </row>
    <row r="237" spans="2:18" ht="36" hidden="1" customHeight="1" x14ac:dyDescent="0.25">
      <c r="B237" s="84">
        <v>1641</v>
      </c>
      <c r="C237" s="83" t="s">
        <v>12</v>
      </c>
      <c r="D237" s="82" t="s">
        <v>604</v>
      </c>
      <c r="E237" s="81">
        <v>42894</v>
      </c>
      <c r="F237" s="27">
        <f t="shared" ca="1" si="3"/>
        <v>1579</v>
      </c>
      <c r="G237" s="79" t="s">
        <v>603</v>
      </c>
      <c r="H237" s="80"/>
      <c r="I237" s="80"/>
      <c r="J237" s="79" t="s">
        <v>592</v>
      </c>
      <c r="K237" s="78" t="s">
        <v>580</v>
      </c>
      <c r="L237" s="77">
        <v>42913</v>
      </c>
      <c r="M237" s="68"/>
      <c r="N237" s="76"/>
      <c r="O237" s="75"/>
      <c r="R237" s="74"/>
    </row>
    <row r="238" spans="2:18" ht="36" hidden="1" customHeight="1" x14ac:dyDescent="0.25">
      <c r="B238" s="84">
        <v>1641</v>
      </c>
      <c r="C238" s="83" t="s">
        <v>20</v>
      </c>
      <c r="D238" s="82" t="s">
        <v>598</v>
      </c>
      <c r="E238" s="81">
        <v>42895</v>
      </c>
      <c r="F238" s="27">
        <f t="shared" ca="1" si="3"/>
        <v>1578</v>
      </c>
      <c r="G238" s="79" t="s">
        <v>599</v>
      </c>
      <c r="H238" s="80"/>
      <c r="I238" s="80"/>
      <c r="J238" s="79" t="s">
        <v>592</v>
      </c>
      <c r="K238" s="78" t="s">
        <v>580</v>
      </c>
      <c r="L238" s="77">
        <v>42891</v>
      </c>
      <c r="M238" s="68"/>
      <c r="N238" s="76" t="s">
        <v>600</v>
      </c>
      <c r="O238" s="75" t="s">
        <v>601</v>
      </c>
      <c r="R238" s="74"/>
    </row>
    <row r="239" spans="2:18" ht="36" hidden="1" customHeight="1" x14ac:dyDescent="0.25">
      <c r="B239" s="84">
        <v>1641</v>
      </c>
      <c r="C239" s="83" t="s">
        <v>23</v>
      </c>
      <c r="D239" s="82" t="s">
        <v>602</v>
      </c>
      <c r="E239" s="81">
        <v>42895</v>
      </c>
      <c r="F239" s="27">
        <f t="shared" ca="1" si="3"/>
        <v>1578</v>
      </c>
      <c r="G239" s="79" t="s">
        <v>603</v>
      </c>
      <c r="H239" s="80"/>
      <c r="I239" s="80"/>
      <c r="J239" s="79" t="s">
        <v>592</v>
      </c>
      <c r="K239" s="78" t="s">
        <v>580</v>
      </c>
      <c r="L239" s="77">
        <v>42913</v>
      </c>
      <c r="M239" s="68"/>
      <c r="N239" s="76"/>
      <c r="O239" s="75"/>
      <c r="R239" s="74"/>
    </row>
    <row r="240" spans="2:18" ht="36" hidden="1" customHeight="1" x14ac:dyDescent="0.25">
      <c r="B240" s="84">
        <v>1817</v>
      </c>
      <c r="C240" s="83" t="s">
        <v>40</v>
      </c>
      <c r="D240" s="82" t="s">
        <v>1471</v>
      </c>
      <c r="E240" s="81">
        <v>42895</v>
      </c>
      <c r="F240" s="27">
        <f t="shared" ca="1" si="3"/>
        <v>1578</v>
      </c>
      <c r="G240" s="79" t="s">
        <v>603</v>
      </c>
      <c r="H240" s="80"/>
      <c r="I240" s="80"/>
      <c r="J240" s="79" t="s">
        <v>592</v>
      </c>
      <c r="K240" s="78" t="s">
        <v>623</v>
      </c>
      <c r="L240" s="77">
        <v>42916</v>
      </c>
      <c r="M240" s="68"/>
      <c r="N240" s="76"/>
      <c r="O240" s="75" t="s">
        <v>1472</v>
      </c>
      <c r="R240" s="74"/>
    </row>
    <row r="241" spans="2:18" ht="36" hidden="1" customHeight="1" x14ac:dyDescent="0.25">
      <c r="B241" s="84">
        <v>1644</v>
      </c>
      <c r="C241" s="83" t="s">
        <v>12</v>
      </c>
      <c r="D241" s="82" t="s">
        <v>950</v>
      </c>
      <c r="E241" s="81">
        <v>42901</v>
      </c>
      <c r="F241" s="27">
        <f t="shared" ca="1" si="3"/>
        <v>1572</v>
      </c>
      <c r="G241" s="79" t="s">
        <v>578</v>
      </c>
      <c r="H241" s="80"/>
      <c r="I241" s="80"/>
      <c r="J241" s="79" t="s">
        <v>579</v>
      </c>
      <c r="K241" s="78" t="s">
        <v>580</v>
      </c>
      <c r="L241" s="77">
        <v>42905</v>
      </c>
      <c r="M241" s="68"/>
      <c r="N241" s="76"/>
      <c r="O241" s="75"/>
      <c r="R241" s="74"/>
    </row>
    <row r="242" spans="2:18" ht="36" hidden="1" customHeight="1" x14ac:dyDescent="0.25">
      <c r="B242" s="84">
        <v>1821</v>
      </c>
      <c r="C242" s="83" t="s">
        <v>12</v>
      </c>
      <c r="D242" s="82" t="s">
        <v>2264</v>
      </c>
      <c r="E242" s="81">
        <v>42905</v>
      </c>
      <c r="F242" s="27">
        <f t="shared" ca="1" si="3"/>
        <v>1568</v>
      </c>
      <c r="G242" s="79"/>
      <c r="H242" s="80"/>
      <c r="I242" s="80"/>
      <c r="J242" s="79"/>
      <c r="K242" s="78"/>
      <c r="L242" s="77">
        <v>42905</v>
      </c>
      <c r="M242" s="68"/>
      <c r="N242" s="76"/>
      <c r="O242" s="75" t="s">
        <v>2265</v>
      </c>
      <c r="R242" s="74"/>
    </row>
    <row r="243" spans="2:18" ht="36" hidden="1" customHeight="1" x14ac:dyDescent="0.25">
      <c r="B243" s="84">
        <v>1817</v>
      </c>
      <c r="C243" s="83" t="s">
        <v>23</v>
      </c>
      <c r="D243" s="82" t="s">
        <v>346</v>
      </c>
      <c r="E243" s="81">
        <v>42906</v>
      </c>
      <c r="F243" s="27">
        <f t="shared" ca="1" si="3"/>
        <v>1567</v>
      </c>
      <c r="G243" s="79" t="s">
        <v>1470</v>
      </c>
      <c r="H243" s="80"/>
      <c r="I243" s="80"/>
      <c r="J243" s="79" t="s">
        <v>579</v>
      </c>
      <c r="K243" s="78" t="s">
        <v>623</v>
      </c>
      <c r="L243" s="77">
        <v>42908</v>
      </c>
      <c r="M243" s="68"/>
      <c r="N243" s="76"/>
      <c r="O243" s="75" t="s">
        <v>1270</v>
      </c>
      <c r="R243" s="74"/>
    </row>
    <row r="244" spans="2:18" ht="36" hidden="1" customHeight="1" x14ac:dyDescent="0.25">
      <c r="B244" s="84">
        <v>1830</v>
      </c>
      <c r="C244" s="83" t="s">
        <v>39</v>
      </c>
      <c r="D244" s="82" t="s">
        <v>1674</v>
      </c>
      <c r="E244" s="81">
        <v>42906</v>
      </c>
      <c r="F244" s="27">
        <f t="shared" ca="1" si="3"/>
        <v>1567</v>
      </c>
      <c r="G244" s="79" t="s">
        <v>3726</v>
      </c>
      <c r="H244" s="80"/>
      <c r="I244" s="80"/>
      <c r="J244" s="79" t="s">
        <v>597</v>
      </c>
      <c r="K244" s="78" t="s">
        <v>623</v>
      </c>
      <c r="L244" s="77">
        <v>42908</v>
      </c>
      <c r="M244" s="68"/>
      <c r="N244" s="76"/>
      <c r="O244" s="75" t="s">
        <v>1854</v>
      </c>
      <c r="R244" s="74"/>
    </row>
    <row r="245" spans="2:18" ht="36" hidden="1" customHeight="1" x14ac:dyDescent="0.25">
      <c r="B245" s="84">
        <v>1643</v>
      </c>
      <c r="C245" s="83" t="s">
        <v>12</v>
      </c>
      <c r="D245" s="82" t="s">
        <v>844</v>
      </c>
      <c r="E245" s="81">
        <v>42907</v>
      </c>
      <c r="F245" s="27">
        <f t="shared" ca="1" si="3"/>
        <v>1566</v>
      </c>
      <c r="G245" s="79" t="s">
        <v>578</v>
      </c>
      <c r="H245" s="80"/>
      <c r="I245" s="80"/>
      <c r="J245" s="79" t="s">
        <v>579</v>
      </c>
      <c r="K245" s="78" t="s">
        <v>580</v>
      </c>
      <c r="L245" s="77">
        <v>42908</v>
      </c>
      <c r="M245" s="68"/>
      <c r="N245" s="76"/>
      <c r="O245" s="75" t="s">
        <v>845</v>
      </c>
      <c r="R245" s="74"/>
    </row>
    <row r="246" spans="2:18" ht="36" hidden="1" customHeight="1" x14ac:dyDescent="0.25">
      <c r="B246" s="84">
        <v>1816</v>
      </c>
      <c r="C246" s="83" t="s">
        <v>23</v>
      </c>
      <c r="D246" s="82" t="s">
        <v>1276</v>
      </c>
      <c r="E246" s="81">
        <v>42908</v>
      </c>
      <c r="F246" s="27">
        <f t="shared" ca="1" si="3"/>
        <v>1565</v>
      </c>
      <c r="G246" s="79" t="s">
        <v>603</v>
      </c>
      <c r="H246" s="80"/>
      <c r="I246" s="80"/>
      <c r="J246" s="79" t="s">
        <v>592</v>
      </c>
      <c r="K246" s="78" t="s">
        <v>623</v>
      </c>
      <c r="L246" s="77">
        <v>42916</v>
      </c>
      <c r="M246" s="68"/>
      <c r="N246" s="76"/>
      <c r="O246" s="75" t="s">
        <v>51</v>
      </c>
      <c r="R246" s="74"/>
    </row>
    <row r="247" spans="2:18" ht="36" hidden="1" customHeight="1" x14ac:dyDescent="0.25">
      <c r="B247" s="84">
        <v>1824</v>
      </c>
      <c r="C247" s="83" t="s">
        <v>40</v>
      </c>
      <c r="D247" s="82" t="s">
        <v>2709</v>
      </c>
      <c r="E247" s="81">
        <v>42908</v>
      </c>
      <c r="F247" s="27">
        <f t="shared" ca="1" si="3"/>
        <v>1565</v>
      </c>
      <c r="G247" s="79" t="s">
        <v>603</v>
      </c>
      <c r="H247" s="80"/>
      <c r="I247" s="80"/>
      <c r="J247" s="79" t="s">
        <v>592</v>
      </c>
      <c r="K247" s="78" t="s">
        <v>623</v>
      </c>
      <c r="L247" s="77">
        <v>42921</v>
      </c>
      <c r="M247" s="68"/>
      <c r="N247" s="76"/>
      <c r="O247" s="75" t="s">
        <v>2710</v>
      </c>
      <c r="R247" s="74"/>
    </row>
    <row r="248" spans="2:18" ht="36" hidden="1" customHeight="1" x14ac:dyDescent="0.25">
      <c r="B248" s="84">
        <v>1820</v>
      </c>
      <c r="C248" s="83" t="s">
        <v>40</v>
      </c>
      <c r="D248" s="82" t="s">
        <v>2066</v>
      </c>
      <c r="E248" s="81">
        <v>42909</v>
      </c>
      <c r="F248" s="27">
        <f t="shared" ca="1" si="3"/>
        <v>1564</v>
      </c>
      <c r="G248" s="79" t="s">
        <v>603</v>
      </c>
      <c r="H248" s="80"/>
      <c r="I248" s="80"/>
      <c r="J248" s="79" t="s">
        <v>592</v>
      </c>
      <c r="K248" s="78" t="s">
        <v>623</v>
      </c>
      <c r="L248" s="77">
        <v>42921</v>
      </c>
      <c r="M248" s="68"/>
      <c r="N248" s="76"/>
      <c r="O248" s="75" t="s">
        <v>2067</v>
      </c>
      <c r="R248" s="74"/>
    </row>
    <row r="249" spans="2:18" ht="36" hidden="1" customHeight="1" x14ac:dyDescent="0.25">
      <c r="B249" s="84">
        <v>1826</v>
      </c>
      <c r="C249" s="83" t="s">
        <v>39</v>
      </c>
      <c r="D249" s="82" t="s">
        <v>3185</v>
      </c>
      <c r="E249" s="81">
        <v>42909</v>
      </c>
      <c r="F249" s="27">
        <f t="shared" ca="1" si="3"/>
        <v>1564</v>
      </c>
      <c r="G249" s="79" t="s">
        <v>603</v>
      </c>
      <c r="H249" s="80"/>
      <c r="I249" s="80"/>
      <c r="J249" s="79" t="s">
        <v>765</v>
      </c>
      <c r="K249" s="78" t="s">
        <v>623</v>
      </c>
      <c r="L249" s="77">
        <v>42924</v>
      </c>
      <c r="M249" s="68"/>
      <c r="N249" s="76"/>
      <c r="O249" s="75" t="s">
        <v>3186</v>
      </c>
      <c r="R249" s="74"/>
    </row>
    <row r="250" spans="2:18" ht="36" hidden="1" customHeight="1" x14ac:dyDescent="0.25">
      <c r="B250" s="84">
        <v>1826</v>
      </c>
      <c r="C250" s="83" t="s">
        <v>38</v>
      </c>
      <c r="D250" s="82" t="s">
        <v>3187</v>
      </c>
      <c r="E250" s="81">
        <v>42909</v>
      </c>
      <c r="F250" s="27">
        <f t="shared" ca="1" si="3"/>
        <v>1564</v>
      </c>
      <c r="G250" s="79" t="s">
        <v>603</v>
      </c>
      <c r="H250" s="80"/>
      <c r="I250" s="80"/>
      <c r="J250" s="79" t="s">
        <v>765</v>
      </c>
      <c r="K250" s="78" t="s">
        <v>623</v>
      </c>
      <c r="L250" s="77">
        <v>42924</v>
      </c>
      <c r="M250" s="68"/>
      <c r="N250" s="76"/>
      <c r="O250" s="75" t="s">
        <v>3188</v>
      </c>
      <c r="R250" s="74"/>
    </row>
    <row r="251" spans="2:18" ht="36" hidden="1" customHeight="1" x14ac:dyDescent="0.25">
      <c r="B251" s="84">
        <v>1828</v>
      </c>
      <c r="C251" s="83" t="s">
        <v>40</v>
      </c>
      <c r="D251" s="82" t="s">
        <v>3487</v>
      </c>
      <c r="E251" s="81">
        <v>42909</v>
      </c>
      <c r="F251" s="27">
        <f t="shared" ca="1" si="3"/>
        <v>1564</v>
      </c>
      <c r="G251" s="79" t="s">
        <v>1325</v>
      </c>
      <c r="H251" s="80"/>
      <c r="I251" s="80"/>
      <c r="J251" s="79" t="s">
        <v>579</v>
      </c>
      <c r="K251" s="78" t="s">
        <v>623</v>
      </c>
      <c r="L251" s="77">
        <v>42947</v>
      </c>
      <c r="M251" s="68"/>
      <c r="N251" s="76"/>
      <c r="O251" s="75" t="s">
        <v>3488</v>
      </c>
      <c r="R251" s="74"/>
    </row>
    <row r="252" spans="2:18" ht="36" hidden="1" customHeight="1" x14ac:dyDescent="0.25">
      <c r="B252" s="84">
        <v>1643</v>
      </c>
      <c r="C252" s="83" t="s">
        <v>40</v>
      </c>
      <c r="D252" s="82" t="s">
        <v>846</v>
      </c>
      <c r="E252" s="81">
        <v>42913</v>
      </c>
      <c r="F252" s="27">
        <f t="shared" ca="1" si="3"/>
        <v>1560</v>
      </c>
      <c r="G252" s="79"/>
      <c r="H252" s="80"/>
      <c r="I252" s="80"/>
      <c r="J252" s="79"/>
      <c r="K252" s="78"/>
      <c r="L252" s="77">
        <v>42913</v>
      </c>
      <c r="M252" s="68"/>
      <c r="N252" s="76"/>
      <c r="O252" s="75" t="s">
        <v>847</v>
      </c>
      <c r="R252" s="74"/>
    </row>
    <row r="253" spans="2:18" ht="36" hidden="1" customHeight="1" x14ac:dyDescent="0.25">
      <c r="B253" s="84">
        <v>1644</v>
      </c>
      <c r="C253" s="83" t="s">
        <v>40</v>
      </c>
      <c r="D253" s="82" t="s">
        <v>951</v>
      </c>
      <c r="E253" s="81">
        <v>42914</v>
      </c>
      <c r="F253" s="27">
        <f t="shared" ca="1" si="3"/>
        <v>1559</v>
      </c>
      <c r="G253" s="79" t="s">
        <v>603</v>
      </c>
      <c r="H253" s="80"/>
      <c r="I253" s="80"/>
      <c r="J253" s="79" t="s">
        <v>592</v>
      </c>
      <c r="K253" s="78" t="s">
        <v>580</v>
      </c>
      <c r="L253" s="77">
        <v>42914</v>
      </c>
      <c r="M253" s="68"/>
      <c r="N253" s="76"/>
      <c r="O253" s="75"/>
      <c r="R253" s="74"/>
    </row>
    <row r="254" spans="2:18" ht="36" hidden="1" customHeight="1" x14ac:dyDescent="0.25">
      <c r="B254" s="84">
        <v>1645</v>
      </c>
      <c r="C254" s="83" t="s">
        <v>40</v>
      </c>
      <c r="D254" s="82" t="s">
        <v>1009</v>
      </c>
      <c r="E254" s="81">
        <v>42914</v>
      </c>
      <c r="F254" s="27">
        <f t="shared" ca="1" si="3"/>
        <v>1559</v>
      </c>
      <c r="G254" s="79" t="s">
        <v>739</v>
      </c>
      <c r="H254" s="80"/>
      <c r="I254" s="80"/>
      <c r="J254" s="79" t="s">
        <v>740</v>
      </c>
      <c r="K254" s="78" t="s">
        <v>580</v>
      </c>
      <c r="L254" s="77">
        <v>42940</v>
      </c>
      <c r="M254" s="68"/>
      <c r="N254" s="76" t="s">
        <v>1010</v>
      </c>
      <c r="O254" s="75"/>
      <c r="R254" s="74"/>
    </row>
    <row r="255" spans="2:18" ht="36" hidden="1" customHeight="1" x14ac:dyDescent="0.25">
      <c r="B255" s="84">
        <v>1646</v>
      </c>
      <c r="C255" s="83" t="s">
        <v>40</v>
      </c>
      <c r="D255" s="82" t="s">
        <v>846</v>
      </c>
      <c r="E255" s="81">
        <v>42914</v>
      </c>
      <c r="F255" s="27">
        <f t="shared" ca="1" si="3"/>
        <v>1559</v>
      </c>
      <c r="G255" s="79"/>
      <c r="H255" s="80"/>
      <c r="I255" s="80"/>
      <c r="J255" s="79"/>
      <c r="K255" s="78"/>
      <c r="L255" s="77">
        <v>42914</v>
      </c>
      <c r="M255" s="68"/>
      <c r="N255" s="76"/>
      <c r="O255" s="75" t="s">
        <v>847</v>
      </c>
      <c r="R255" s="74"/>
    </row>
    <row r="256" spans="2:18" ht="36" hidden="1" customHeight="1" x14ac:dyDescent="0.25">
      <c r="B256" s="84">
        <v>1820</v>
      </c>
      <c r="C256" s="83" t="s">
        <v>23</v>
      </c>
      <c r="D256" s="82" t="s">
        <v>2068</v>
      </c>
      <c r="E256" s="81">
        <v>42914</v>
      </c>
      <c r="F256" s="27">
        <f t="shared" ca="1" si="3"/>
        <v>1559</v>
      </c>
      <c r="G256" s="79" t="s">
        <v>603</v>
      </c>
      <c r="H256" s="80"/>
      <c r="I256" s="80"/>
      <c r="J256" s="79" t="s">
        <v>592</v>
      </c>
      <c r="K256" s="78" t="s">
        <v>623</v>
      </c>
      <c r="L256" s="77">
        <v>42921</v>
      </c>
      <c r="M256" s="68"/>
      <c r="N256" s="76"/>
      <c r="O256" s="75" t="s">
        <v>2069</v>
      </c>
      <c r="R256" s="74"/>
    </row>
    <row r="257" spans="2:18" ht="36" hidden="1" customHeight="1" x14ac:dyDescent="0.25">
      <c r="B257" s="84">
        <v>1830</v>
      </c>
      <c r="C257" s="83" t="s">
        <v>40</v>
      </c>
      <c r="D257" s="82" t="s">
        <v>3890</v>
      </c>
      <c r="E257" s="81">
        <v>42914</v>
      </c>
      <c r="F257" s="27">
        <f t="shared" ca="1" si="3"/>
        <v>1559</v>
      </c>
      <c r="G257" s="79" t="s">
        <v>3726</v>
      </c>
      <c r="H257" s="80"/>
      <c r="I257" s="80"/>
      <c r="J257" s="79" t="s">
        <v>597</v>
      </c>
      <c r="K257" s="78" t="s">
        <v>623</v>
      </c>
      <c r="L257" s="77">
        <v>42924</v>
      </c>
      <c r="M257" s="68"/>
      <c r="N257" s="76"/>
      <c r="O257" s="75" t="s">
        <v>3891</v>
      </c>
      <c r="R257" s="74"/>
    </row>
    <row r="258" spans="2:18" ht="36" hidden="1" customHeight="1" x14ac:dyDescent="0.25">
      <c r="B258" s="84">
        <v>1642</v>
      </c>
      <c r="C258" s="83" t="s">
        <v>40</v>
      </c>
      <c r="D258" s="82" t="s">
        <v>742</v>
      </c>
      <c r="E258" s="81">
        <v>42915</v>
      </c>
      <c r="F258" s="27">
        <f t="shared" ca="1" si="3"/>
        <v>1558</v>
      </c>
      <c r="G258" s="79" t="s">
        <v>739</v>
      </c>
      <c r="H258" s="80"/>
      <c r="I258" s="80"/>
      <c r="J258" s="79" t="s">
        <v>740</v>
      </c>
      <c r="K258" s="78" t="s">
        <v>580</v>
      </c>
      <c r="L258" s="77">
        <v>42942</v>
      </c>
      <c r="M258" s="68"/>
      <c r="N258" s="76"/>
      <c r="O258" s="75" t="s">
        <v>743</v>
      </c>
      <c r="R258" s="74"/>
    </row>
    <row r="259" spans="2:18" ht="36" hidden="1" customHeight="1" x14ac:dyDescent="0.25">
      <c r="B259" s="84">
        <v>1643</v>
      </c>
      <c r="C259" s="83" t="s">
        <v>37</v>
      </c>
      <c r="D259" s="82" t="s">
        <v>848</v>
      </c>
      <c r="E259" s="81">
        <v>42915</v>
      </c>
      <c r="F259" s="27">
        <f t="shared" ca="1" si="3"/>
        <v>1558</v>
      </c>
      <c r="G259" s="79" t="s">
        <v>739</v>
      </c>
      <c r="H259" s="80"/>
      <c r="I259" s="80"/>
      <c r="J259" s="79" t="s">
        <v>740</v>
      </c>
      <c r="K259" s="78" t="s">
        <v>580</v>
      </c>
      <c r="L259" s="77">
        <v>42942</v>
      </c>
      <c r="M259" s="68"/>
      <c r="N259" s="76"/>
      <c r="O259" s="75" t="s">
        <v>849</v>
      </c>
      <c r="R259" s="74"/>
    </row>
    <row r="260" spans="2:18" ht="36" hidden="1" customHeight="1" x14ac:dyDescent="0.25">
      <c r="B260" s="84">
        <v>1819</v>
      </c>
      <c r="C260" s="83" t="s">
        <v>39</v>
      </c>
      <c r="D260" s="82" t="s">
        <v>1853</v>
      </c>
      <c r="E260" s="81">
        <v>42915</v>
      </c>
      <c r="F260" s="27">
        <f t="shared" ca="1" si="3"/>
        <v>1558</v>
      </c>
      <c r="G260" s="79" t="s">
        <v>603</v>
      </c>
      <c r="H260" s="80"/>
      <c r="I260" s="80"/>
      <c r="J260" s="79" t="s">
        <v>592</v>
      </c>
      <c r="K260" s="78" t="s">
        <v>623</v>
      </c>
      <c r="L260" s="77">
        <v>42916</v>
      </c>
      <c r="M260" s="68"/>
      <c r="N260" s="76"/>
      <c r="O260" s="75" t="s">
        <v>1854</v>
      </c>
      <c r="R260" s="74"/>
    </row>
    <row r="261" spans="2:18" ht="36" hidden="1" customHeight="1" x14ac:dyDescent="0.25">
      <c r="B261" s="84">
        <v>1819</v>
      </c>
      <c r="C261" s="83" t="s">
        <v>15</v>
      </c>
      <c r="D261" s="82" t="s">
        <v>1855</v>
      </c>
      <c r="E261" s="81">
        <v>42915</v>
      </c>
      <c r="F261" s="27">
        <f t="shared" ca="1" si="3"/>
        <v>1558</v>
      </c>
      <c r="G261" s="79" t="s">
        <v>603</v>
      </c>
      <c r="H261" s="80"/>
      <c r="I261" s="80"/>
      <c r="J261" s="79" t="s">
        <v>592</v>
      </c>
      <c r="K261" s="78" t="s">
        <v>623</v>
      </c>
      <c r="L261" s="77">
        <v>42916</v>
      </c>
      <c r="M261" s="68"/>
      <c r="N261" s="76"/>
      <c r="O261" s="75" t="s">
        <v>1856</v>
      </c>
      <c r="R261" s="74"/>
    </row>
    <row r="262" spans="2:18" ht="36" hidden="1" customHeight="1" x14ac:dyDescent="0.25">
      <c r="B262" s="84">
        <v>1819</v>
      </c>
      <c r="C262" s="83" t="s">
        <v>12</v>
      </c>
      <c r="D262" s="82" t="s">
        <v>1857</v>
      </c>
      <c r="E262" s="81">
        <v>42920</v>
      </c>
      <c r="F262" s="27">
        <f t="shared" ca="1" si="3"/>
        <v>1553</v>
      </c>
      <c r="G262" s="79" t="s">
        <v>603</v>
      </c>
      <c r="H262" s="80"/>
      <c r="I262" s="80"/>
      <c r="J262" s="79" t="s">
        <v>765</v>
      </c>
      <c r="K262" s="78" t="s">
        <v>623</v>
      </c>
      <c r="L262" s="77">
        <v>42924</v>
      </c>
      <c r="M262" s="68"/>
      <c r="N262" s="76"/>
      <c r="O262" s="75" t="s">
        <v>1858</v>
      </c>
      <c r="R262" s="74"/>
    </row>
    <row r="263" spans="2:18" ht="36" hidden="1" customHeight="1" x14ac:dyDescent="0.25">
      <c r="B263" s="84">
        <v>1827</v>
      </c>
      <c r="C263" s="83" t="s">
        <v>37</v>
      </c>
      <c r="D263" s="82" t="s">
        <v>3304</v>
      </c>
      <c r="E263" s="81">
        <v>42920</v>
      </c>
      <c r="F263" s="27">
        <f t="shared" ca="1" si="3"/>
        <v>1553</v>
      </c>
      <c r="G263" s="79" t="s">
        <v>603</v>
      </c>
      <c r="H263" s="80"/>
      <c r="I263" s="80"/>
      <c r="J263" s="79" t="s">
        <v>765</v>
      </c>
      <c r="K263" s="78" t="s">
        <v>623</v>
      </c>
      <c r="L263" s="77">
        <v>42924</v>
      </c>
      <c r="M263" s="68"/>
      <c r="N263" s="76"/>
      <c r="O263" s="75" t="s">
        <v>3305</v>
      </c>
      <c r="R263" s="74"/>
    </row>
    <row r="264" spans="2:18" ht="36" hidden="1" customHeight="1" x14ac:dyDescent="0.25">
      <c r="B264" s="84">
        <v>1816</v>
      </c>
      <c r="C264" s="83" t="s">
        <v>40</v>
      </c>
      <c r="D264" s="82" t="s">
        <v>1277</v>
      </c>
      <c r="E264" s="81">
        <v>42923</v>
      </c>
      <c r="F264" s="27">
        <f t="shared" ca="1" si="3"/>
        <v>1550</v>
      </c>
      <c r="G264" s="79" t="s">
        <v>603</v>
      </c>
      <c r="H264" s="80"/>
      <c r="I264" s="80"/>
      <c r="J264" s="79" t="s">
        <v>765</v>
      </c>
      <c r="K264" s="78" t="s">
        <v>623</v>
      </c>
      <c r="L264" s="77">
        <v>42924</v>
      </c>
      <c r="M264" s="68"/>
      <c r="N264" s="76"/>
      <c r="O264" s="75" t="s">
        <v>1278</v>
      </c>
      <c r="R264" s="74"/>
    </row>
    <row r="265" spans="2:18" ht="36" hidden="1" customHeight="1" x14ac:dyDescent="0.25">
      <c r="B265" s="84">
        <v>1828</v>
      </c>
      <c r="C265" s="83" t="s">
        <v>27</v>
      </c>
      <c r="D265" s="82" t="s">
        <v>3485</v>
      </c>
      <c r="E265" s="81">
        <v>42926</v>
      </c>
      <c r="F265" s="27">
        <f t="shared" ca="1" si="3"/>
        <v>1547</v>
      </c>
      <c r="G265" s="79" t="s">
        <v>1723</v>
      </c>
      <c r="H265" s="80"/>
      <c r="I265" s="80"/>
      <c r="J265" s="79" t="s">
        <v>579</v>
      </c>
      <c r="K265" s="78" t="s">
        <v>623</v>
      </c>
      <c r="L265" s="77">
        <v>42942</v>
      </c>
      <c r="M265" s="68"/>
      <c r="N265" s="76"/>
      <c r="O265" s="75" t="s">
        <v>3486</v>
      </c>
      <c r="R265" s="74"/>
    </row>
    <row r="266" spans="2:18" ht="36" hidden="1" customHeight="1" x14ac:dyDescent="0.25">
      <c r="B266" s="84">
        <v>1645</v>
      </c>
      <c r="C266" s="83" t="s">
        <v>40</v>
      </c>
      <c r="D266" s="82" t="s">
        <v>1015</v>
      </c>
      <c r="E266" s="81">
        <v>42927</v>
      </c>
      <c r="F266" s="27">
        <f t="shared" ca="1" si="3"/>
        <v>1546</v>
      </c>
      <c r="G266" s="79" t="s">
        <v>1016</v>
      </c>
      <c r="H266" s="80"/>
      <c r="I266" s="80"/>
      <c r="J266" s="79" t="s">
        <v>592</v>
      </c>
      <c r="K266" s="78" t="s">
        <v>580</v>
      </c>
      <c r="L266" s="77">
        <v>42961</v>
      </c>
      <c r="M266" s="68"/>
      <c r="N266" s="76"/>
      <c r="O266" s="75" t="s">
        <v>1017</v>
      </c>
      <c r="R266" s="74"/>
    </row>
    <row r="267" spans="2:18" ht="36" hidden="1" customHeight="1" x14ac:dyDescent="0.25">
      <c r="B267" s="84">
        <v>1817</v>
      </c>
      <c r="C267" s="83" t="s">
        <v>23</v>
      </c>
      <c r="D267" s="82" t="s">
        <v>1473</v>
      </c>
      <c r="E267" s="81">
        <v>42930</v>
      </c>
      <c r="F267" s="27">
        <f t="shared" ca="1" si="3"/>
        <v>1543</v>
      </c>
      <c r="G267" s="79" t="s">
        <v>1474</v>
      </c>
      <c r="H267" s="80"/>
      <c r="I267" s="80"/>
      <c r="J267" s="79" t="s">
        <v>579</v>
      </c>
      <c r="K267" s="78" t="s">
        <v>623</v>
      </c>
      <c r="L267" s="77">
        <v>42942</v>
      </c>
      <c r="M267" s="68"/>
      <c r="N267" s="76"/>
      <c r="O267" s="75" t="s">
        <v>1475</v>
      </c>
      <c r="R267" s="74"/>
    </row>
    <row r="268" spans="2:18" ht="36" hidden="1" customHeight="1" x14ac:dyDescent="0.25">
      <c r="B268" s="84">
        <v>1819</v>
      </c>
      <c r="C268" s="83" t="s">
        <v>12</v>
      </c>
      <c r="D268" s="82" t="s">
        <v>1859</v>
      </c>
      <c r="E268" s="81">
        <v>42930</v>
      </c>
      <c r="F268" s="27">
        <f t="shared" ca="1" si="3"/>
        <v>1543</v>
      </c>
      <c r="G268" s="79" t="s">
        <v>1860</v>
      </c>
      <c r="H268" s="80"/>
      <c r="I268" s="80"/>
      <c r="J268" s="79" t="s">
        <v>765</v>
      </c>
      <c r="K268" s="78" t="s">
        <v>623</v>
      </c>
      <c r="L268" s="77">
        <v>42947</v>
      </c>
      <c r="M268" s="68"/>
      <c r="N268" s="76"/>
      <c r="O268" s="75" t="s">
        <v>1861</v>
      </c>
      <c r="R268" s="74"/>
    </row>
    <row r="269" spans="2:18" ht="36" hidden="1" customHeight="1" x14ac:dyDescent="0.25">
      <c r="B269" s="84">
        <v>1822</v>
      </c>
      <c r="C269" s="83" t="s">
        <v>23</v>
      </c>
      <c r="D269" s="82" t="s">
        <v>1269</v>
      </c>
      <c r="E269" s="81">
        <v>42930</v>
      </c>
      <c r="F269" s="27">
        <f t="shared" ca="1" si="3"/>
        <v>1543</v>
      </c>
      <c r="G269" s="79" t="s">
        <v>578</v>
      </c>
      <c r="H269" s="80"/>
      <c r="I269" s="80"/>
      <c r="J269" s="79" t="s">
        <v>579</v>
      </c>
      <c r="K269" s="78" t="s">
        <v>623</v>
      </c>
      <c r="L269" s="77">
        <v>42942</v>
      </c>
      <c r="M269" s="68"/>
      <c r="N269" s="76"/>
      <c r="O269" s="75" t="s">
        <v>1270</v>
      </c>
      <c r="R269" s="74"/>
    </row>
    <row r="270" spans="2:18" ht="36" hidden="1" customHeight="1" x14ac:dyDescent="0.25">
      <c r="B270" s="84">
        <v>1822</v>
      </c>
      <c r="C270" s="83" t="s">
        <v>40</v>
      </c>
      <c r="D270" s="82" t="s">
        <v>2403</v>
      </c>
      <c r="E270" s="81">
        <v>42930</v>
      </c>
      <c r="F270" s="27">
        <f t="shared" ca="1" si="3"/>
        <v>1543</v>
      </c>
      <c r="G270" s="79" t="s">
        <v>603</v>
      </c>
      <c r="H270" s="80"/>
      <c r="I270" s="80"/>
      <c r="J270" s="79" t="s">
        <v>765</v>
      </c>
      <c r="K270" s="78" t="s">
        <v>623</v>
      </c>
      <c r="L270" s="77">
        <v>42947</v>
      </c>
      <c r="M270" s="68"/>
      <c r="N270" s="76"/>
      <c r="O270" s="75" t="s">
        <v>2404</v>
      </c>
      <c r="R270" s="74"/>
    </row>
    <row r="271" spans="2:18" ht="36" hidden="1" customHeight="1" x14ac:dyDescent="0.25">
      <c r="B271" s="84">
        <v>1826</v>
      </c>
      <c r="C271" s="83" t="s">
        <v>20</v>
      </c>
      <c r="D271" s="82" t="s">
        <v>3189</v>
      </c>
      <c r="E271" s="81">
        <v>42930</v>
      </c>
      <c r="F271" s="27">
        <f t="shared" ca="1" si="3"/>
        <v>1543</v>
      </c>
      <c r="G271" s="79" t="s">
        <v>603</v>
      </c>
      <c r="H271" s="80"/>
      <c r="I271" s="80"/>
      <c r="J271" s="79" t="s">
        <v>765</v>
      </c>
      <c r="K271" s="78" t="s">
        <v>623</v>
      </c>
      <c r="L271" s="77">
        <v>42969</v>
      </c>
      <c r="M271" s="68"/>
      <c r="N271" s="76"/>
      <c r="O271" s="75" t="s">
        <v>3190</v>
      </c>
      <c r="R271" s="74"/>
    </row>
    <row r="272" spans="2:18" ht="36" hidden="1" customHeight="1" x14ac:dyDescent="0.25">
      <c r="B272" s="84">
        <v>1821</v>
      </c>
      <c r="C272" s="83" t="s">
        <v>12</v>
      </c>
      <c r="D272" s="82" t="s">
        <v>2266</v>
      </c>
      <c r="E272" s="81">
        <v>42933</v>
      </c>
      <c r="F272" s="27">
        <f t="shared" ref="F272:F335" ca="1" si="4">IF(E272&lt;&gt;"",TODAY()-E272,"")</f>
        <v>1540</v>
      </c>
      <c r="G272" s="79"/>
      <c r="H272" s="80"/>
      <c r="I272" s="80"/>
      <c r="J272" s="79"/>
      <c r="K272" s="78"/>
      <c r="L272" s="77">
        <v>42933</v>
      </c>
      <c r="M272" s="68"/>
      <c r="N272" s="76"/>
      <c r="O272" s="75" t="s">
        <v>2267</v>
      </c>
      <c r="R272" s="74"/>
    </row>
    <row r="273" spans="2:18" ht="36" hidden="1" customHeight="1" x14ac:dyDescent="0.25">
      <c r="B273" s="84">
        <v>1821</v>
      </c>
      <c r="C273" s="83" t="s">
        <v>35</v>
      </c>
      <c r="D273" s="82" t="s">
        <v>2268</v>
      </c>
      <c r="E273" s="81">
        <v>42933</v>
      </c>
      <c r="F273" s="27">
        <f t="shared" ca="1" si="4"/>
        <v>1540</v>
      </c>
      <c r="G273" s="79"/>
      <c r="H273" s="80"/>
      <c r="I273" s="80"/>
      <c r="J273" s="79"/>
      <c r="K273" s="78"/>
      <c r="L273" s="77">
        <v>42933</v>
      </c>
      <c r="M273" s="68"/>
      <c r="N273" s="76"/>
      <c r="O273" s="75" t="s">
        <v>2269</v>
      </c>
      <c r="R273" s="74"/>
    </row>
    <row r="274" spans="2:18" ht="36" hidden="1" customHeight="1" x14ac:dyDescent="0.25">
      <c r="B274" s="84">
        <v>1823</v>
      </c>
      <c r="C274" s="83" t="s">
        <v>35</v>
      </c>
      <c r="D274" s="82" t="s">
        <v>2527</v>
      </c>
      <c r="E274" s="81">
        <v>42933</v>
      </c>
      <c r="F274" s="27">
        <f t="shared" ca="1" si="4"/>
        <v>1540</v>
      </c>
      <c r="G274" s="79"/>
      <c r="H274" s="80"/>
      <c r="I274" s="80"/>
      <c r="J274" s="79"/>
      <c r="K274" s="78"/>
      <c r="L274" s="77">
        <v>42933</v>
      </c>
      <c r="M274" s="68"/>
      <c r="N274" s="76"/>
      <c r="O274" s="75" t="s">
        <v>2528</v>
      </c>
      <c r="R274" s="74"/>
    </row>
    <row r="275" spans="2:18" ht="36" hidden="1" customHeight="1" x14ac:dyDescent="0.25">
      <c r="B275" s="84">
        <v>1825</v>
      </c>
      <c r="C275" s="83" t="s">
        <v>23</v>
      </c>
      <c r="D275" s="82" t="s">
        <v>2912</v>
      </c>
      <c r="E275" s="81">
        <v>42933</v>
      </c>
      <c r="F275" s="27">
        <f t="shared" ca="1" si="4"/>
        <v>1540</v>
      </c>
      <c r="G275" s="79" t="s">
        <v>1723</v>
      </c>
      <c r="H275" s="80"/>
      <c r="I275" s="80"/>
      <c r="J275" s="79" t="s">
        <v>579</v>
      </c>
      <c r="K275" s="78" t="s">
        <v>623</v>
      </c>
      <c r="L275" s="77">
        <v>42940</v>
      </c>
      <c r="M275" s="68"/>
      <c r="N275" s="76" t="s">
        <v>2970</v>
      </c>
      <c r="O275" s="75"/>
      <c r="R275" s="74"/>
    </row>
    <row r="276" spans="2:18" ht="36" hidden="1" customHeight="1" x14ac:dyDescent="0.25">
      <c r="B276" s="84">
        <v>1645</v>
      </c>
      <c r="C276" s="83" t="s">
        <v>23</v>
      </c>
      <c r="D276" s="82" t="s">
        <v>1011</v>
      </c>
      <c r="E276" s="81">
        <v>42934</v>
      </c>
      <c r="F276" s="27">
        <f t="shared" ca="1" si="4"/>
        <v>1539</v>
      </c>
      <c r="G276" s="79" t="s">
        <v>739</v>
      </c>
      <c r="H276" s="80"/>
      <c r="I276" s="80"/>
      <c r="J276" s="79" t="s">
        <v>740</v>
      </c>
      <c r="K276" s="78" t="s">
        <v>580</v>
      </c>
      <c r="L276" s="77">
        <v>42942</v>
      </c>
      <c r="M276" s="68"/>
      <c r="N276" s="76"/>
      <c r="O276" s="75" t="s">
        <v>1012</v>
      </c>
      <c r="R276" s="74"/>
    </row>
    <row r="277" spans="2:18" ht="36" hidden="1" customHeight="1" x14ac:dyDescent="0.25">
      <c r="B277" s="84">
        <v>1645</v>
      </c>
      <c r="C277" s="83" t="s">
        <v>40</v>
      </c>
      <c r="D277" s="82" t="s">
        <v>1018</v>
      </c>
      <c r="E277" s="81">
        <v>42934</v>
      </c>
      <c r="F277" s="27">
        <f t="shared" ca="1" si="4"/>
        <v>1539</v>
      </c>
      <c r="G277" s="79" t="s">
        <v>1016</v>
      </c>
      <c r="H277" s="80"/>
      <c r="I277" s="80"/>
      <c r="J277" s="79" t="s">
        <v>592</v>
      </c>
      <c r="K277" s="78" t="s">
        <v>580</v>
      </c>
      <c r="L277" s="77">
        <v>42961</v>
      </c>
      <c r="M277" s="68"/>
      <c r="N277" s="76"/>
      <c r="O277" s="75" t="s">
        <v>1019</v>
      </c>
      <c r="R277" s="74"/>
    </row>
    <row r="278" spans="2:18" ht="36" hidden="1" customHeight="1" x14ac:dyDescent="0.25">
      <c r="B278" s="84">
        <v>1817</v>
      </c>
      <c r="C278" s="83" t="s">
        <v>23</v>
      </c>
      <c r="D278" s="82" t="s">
        <v>1476</v>
      </c>
      <c r="E278" s="81">
        <v>42934</v>
      </c>
      <c r="F278" s="27">
        <f t="shared" ca="1" si="4"/>
        <v>1539</v>
      </c>
      <c r="G278" s="79" t="s">
        <v>1474</v>
      </c>
      <c r="H278" s="80"/>
      <c r="I278" s="80"/>
      <c r="J278" s="79" t="s">
        <v>579</v>
      </c>
      <c r="K278" s="78" t="s">
        <v>623</v>
      </c>
      <c r="L278" s="77">
        <v>42942</v>
      </c>
      <c r="M278" s="68"/>
      <c r="N278" s="76"/>
      <c r="O278" s="75" t="s">
        <v>1270</v>
      </c>
      <c r="R278" s="74"/>
    </row>
    <row r="279" spans="2:18" ht="36" hidden="1" customHeight="1" x14ac:dyDescent="0.25">
      <c r="B279" s="84">
        <v>1822</v>
      </c>
      <c r="C279" s="83" t="s">
        <v>18</v>
      </c>
      <c r="D279" s="82" t="s">
        <v>2405</v>
      </c>
      <c r="E279" s="81">
        <v>42936</v>
      </c>
      <c r="F279" s="27">
        <f t="shared" ca="1" si="4"/>
        <v>1537</v>
      </c>
      <c r="G279" s="79" t="s">
        <v>2147</v>
      </c>
      <c r="H279" s="80"/>
      <c r="I279" s="80"/>
      <c r="J279" s="79" t="s">
        <v>597</v>
      </c>
      <c r="K279" s="78" t="s">
        <v>623</v>
      </c>
      <c r="L279" s="77">
        <v>42956</v>
      </c>
      <c r="M279" s="68"/>
      <c r="N279" s="76"/>
      <c r="O279" s="75" t="s">
        <v>2406</v>
      </c>
      <c r="R279" s="74"/>
    </row>
    <row r="280" spans="2:18" ht="36" hidden="1" customHeight="1" x14ac:dyDescent="0.25">
      <c r="B280" s="84">
        <v>1827</v>
      </c>
      <c r="C280" s="83" t="s">
        <v>35</v>
      </c>
      <c r="D280" s="82" t="s">
        <v>3306</v>
      </c>
      <c r="E280" s="81">
        <v>42936</v>
      </c>
      <c r="F280" s="27">
        <f t="shared" ca="1" si="4"/>
        <v>1537</v>
      </c>
      <c r="G280" s="79" t="s">
        <v>603</v>
      </c>
      <c r="H280" s="80"/>
      <c r="I280" s="80"/>
      <c r="J280" s="79" t="s">
        <v>765</v>
      </c>
      <c r="K280" s="78" t="s">
        <v>623</v>
      </c>
      <c r="L280" s="77">
        <v>42937</v>
      </c>
      <c r="M280" s="68"/>
      <c r="N280" s="76"/>
      <c r="O280" s="75" t="s">
        <v>3307</v>
      </c>
      <c r="R280" s="74"/>
    </row>
    <row r="281" spans="2:18" ht="36" hidden="1" customHeight="1" x14ac:dyDescent="0.25">
      <c r="B281" s="84">
        <v>1641</v>
      </c>
      <c r="C281" s="83" t="s">
        <v>40</v>
      </c>
      <c r="D281" s="82" t="s">
        <v>605</v>
      </c>
      <c r="E281" s="81">
        <v>42937</v>
      </c>
      <c r="F281" s="27">
        <f t="shared" ca="1" si="4"/>
        <v>1536</v>
      </c>
      <c r="G281" s="79" t="s">
        <v>606</v>
      </c>
      <c r="H281" s="80"/>
      <c r="I281" s="80"/>
      <c r="J281" s="79" t="s">
        <v>597</v>
      </c>
      <c r="K281" s="78" t="s">
        <v>580</v>
      </c>
      <c r="L281" s="77">
        <v>42956</v>
      </c>
      <c r="M281" s="68"/>
      <c r="N281" s="76"/>
      <c r="O281" s="75" t="s">
        <v>607</v>
      </c>
      <c r="R281" s="74"/>
    </row>
    <row r="282" spans="2:18" ht="36" hidden="1" customHeight="1" x14ac:dyDescent="0.25">
      <c r="B282" s="84">
        <v>1818</v>
      </c>
      <c r="C282" s="83" t="s">
        <v>40</v>
      </c>
      <c r="D282" s="82" t="s">
        <v>1676</v>
      </c>
      <c r="E282" s="81">
        <v>42937</v>
      </c>
      <c r="F282" s="27">
        <f t="shared" ca="1" si="4"/>
        <v>1536</v>
      </c>
      <c r="G282" s="79" t="s">
        <v>1677</v>
      </c>
      <c r="H282" s="80"/>
      <c r="I282" s="80"/>
      <c r="J282" s="79" t="s">
        <v>765</v>
      </c>
      <c r="K282" s="78" t="s">
        <v>623</v>
      </c>
      <c r="L282" s="77">
        <v>43010</v>
      </c>
      <c r="M282" s="68"/>
      <c r="N282" s="76"/>
      <c r="O282" s="75" t="s">
        <v>686</v>
      </c>
      <c r="R282" s="74"/>
    </row>
    <row r="283" spans="2:18" ht="36" hidden="1" customHeight="1" x14ac:dyDescent="0.25">
      <c r="B283" s="84">
        <v>1819</v>
      </c>
      <c r="C283" s="83" t="s">
        <v>40</v>
      </c>
      <c r="D283" s="82" t="s">
        <v>1868</v>
      </c>
      <c r="E283" s="81">
        <v>42937</v>
      </c>
      <c r="F283" s="27">
        <f t="shared" ca="1" si="4"/>
        <v>1536</v>
      </c>
      <c r="G283" s="79" t="s">
        <v>1869</v>
      </c>
      <c r="H283" s="80"/>
      <c r="I283" s="80"/>
      <c r="J283" s="79" t="s">
        <v>579</v>
      </c>
      <c r="K283" s="78" t="s">
        <v>623</v>
      </c>
      <c r="L283" s="77">
        <v>43005</v>
      </c>
      <c r="M283" s="68"/>
      <c r="N283" s="76"/>
      <c r="O283" s="75"/>
      <c r="R283" s="74"/>
    </row>
    <row r="284" spans="2:18" ht="36" hidden="1" customHeight="1" x14ac:dyDescent="0.25">
      <c r="B284" s="84">
        <v>1820</v>
      </c>
      <c r="C284" s="83" t="s">
        <v>40</v>
      </c>
      <c r="D284" s="82" t="s">
        <v>1868</v>
      </c>
      <c r="E284" s="81">
        <v>42937</v>
      </c>
      <c r="F284" s="27">
        <f t="shared" ca="1" si="4"/>
        <v>1536</v>
      </c>
      <c r="G284" s="79" t="s">
        <v>2070</v>
      </c>
      <c r="H284" s="80"/>
      <c r="I284" s="80"/>
      <c r="J284" s="79" t="s">
        <v>597</v>
      </c>
      <c r="K284" s="78" t="s">
        <v>623</v>
      </c>
      <c r="L284" s="77">
        <v>42956</v>
      </c>
      <c r="M284" s="68"/>
      <c r="N284" s="76"/>
      <c r="O284" s="75" t="s">
        <v>1873</v>
      </c>
      <c r="R284" s="74"/>
    </row>
    <row r="285" spans="2:18" ht="36" hidden="1" customHeight="1" x14ac:dyDescent="0.25">
      <c r="B285" s="84">
        <v>1821</v>
      </c>
      <c r="C285" s="83" t="s">
        <v>40</v>
      </c>
      <c r="D285" s="82" t="s">
        <v>1868</v>
      </c>
      <c r="E285" s="81">
        <v>42937</v>
      </c>
      <c r="F285" s="27">
        <f t="shared" ca="1" si="4"/>
        <v>1536</v>
      </c>
      <c r="G285" s="79" t="s">
        <v>1294</v>
      </c>
      <c r="H285" s="80"/>
      <c r="I285" s="80"/>
      <c r="J285" s="79" t="s">
        <v>597</v>
      </c>
      <c r="K285" s="78" t="s">
        <v>623</v>
      </c>
      <c r="L285" s="77">
        <v>42956</v>
      </c>
      <c r="M285" s="68"/>
      <c r="N285" s="76"/>
      <c r="O285" s="75" t="s">
        <v>1873</v>
      </c>
      <c r="R285" s="74"/>
    </row>
    <row r="286" spans="2:18" ht="36" hidden="1" customHeight="1" x14ac:dyDescent="0.25">
      <c r="B286" s="84">
        <v>1823</v>
      </c>
      <c r="C286" s="83" t="s">
        <v>40</v>
      </c>
      <c r="D286" s="82" t="s">
        <v>1676</v>
      </c>
      <c r="E286" s="81">
        <v>42937</v>
      </c>
      <c r="F286" s="27">
        <f t="shared" ca="1" si="4"/>
        <v>1536</v>
      </c>
      <c r="G286" s="79" t="s">
        <v>2538</v>
      </c>
      <c r="H286" s="80"/>
      <c r="I286" s="80"/>
      <c r="J286" s="79" t="s">
        <v>597</v>
      </c>
      <c r="K286" s="78" t="s">
        <v>623</v>
      </c>
      <c r="L286" s="77">
        <v>43028</v>
      </c>
      <c r="M286" s="68"/>
      <c r="N286" s="76"/>
      <c r="O286" s="75"/>
      <c r="R286" s="74"/>
    </row>
    <row r="287" spans="2:18" ht="36" hidden="1" customHeight="1" x14ac:dyDescent="0.25">
      <c r="B287" s="84">
        <v>1824</v>
      </c>
      <c r="C287" s="83" t="s">
        <v>40</v>
      </c>
      <c r="D287" s="82" t="s">
        <v>1868</v>
      </c>
      <c r="E287" s="81">
        <v>42937</v>
      </c>
      <c r="F287" s="27">
        <f t="shared" ca="1" si="4"/>
        <v>1536</v>
      </c>
      <c r="G287" s="79" t="s">
        <v>1294</v>
      </c>
      <c r="H287" s="80"/>
      <c r="I287" s="80"/>
      <c r="J287" s="79" t="s">
        <v>597</v>
      </c>
      <c r="K287" s="78" t="s">
        <v>623</v>
      </c>
      <c r="L287" s="77">
        <v>42956</v>
      </c>
      <c r="M287" s="68"/>
      <c r="N287" s="76"/>
      <c r="O287" s="75" t="s">
        <v>2711</v>
      </c>
      <c r="R287" s="74"/>
    </row>
    <row r="288" spans="2:18" ht="36" hidden="1" customHeight="1" x14ac:dyDescent="0.25">
      <c r="B288" s="84">
        <v>1825</v>
      </c>
      <c r="C288" s="83" t="s">
        <v>35</v>
      </c>
      <c r="D288" s="82" t="s">
        <v>2971</v>
      </c>
      <c r="E288" s="81">
        <v>42937</v>
      </c>
      <c r="F288" s="27">
        <f t="shared" ca="1" si="4"/>
        <v>1536</v>
      </c>
      <c r="G288" s="79" t="s">
        <v>1723</v>
      </c>
      <c r="H288" s="80"/>
      <c r="I288" s="80"/>
      <c r="J288" s="79" t="s">
        <v>579</v>
      </c>
      <c r="K288" s="78" t="s">
        <v>623</v>
      </c>
      <c r="L288" s="77">
        <v>42940</v>
      </c>
      <c r="M288" s="68"/>
      <c r="N288" s="76" t="s">
        <v>2972</v>
      </c>
      <c r="O288" s="75"/>
      <c r="R288" s="74"/>
    </row>
    <row r="289" spans="2:18" ht="36" hidden="1" customHeight="1" x14ac:dyDescent="0.25">
      <c r="B289" s="84">
        <v>1826</v>
      </c>
      <c r="C289" s="83" t="s">
        <v>40</v>
      </c>
      <c r="D289" s="82" t="s">
        <v>1868</v>
      </c>
      <c r="E289" s="81">
        <v>42937</v>
      </c>
      <c r="F289" s="27">
        <f t="shared" ca="1" si="4"/>
        <v>1536</v>
      </c>
      <c r="G289" s="79" t="s">
        <v>2700</v>
      </c>
      <c r="H289" s="80"/>
      <c r="I289" s="80"/>
      <c r="J289" s="79" t="s">
        <v>597</v>
      </c>
      <c r="K289" s="78" t="s">
        <v>623</v>
      </c>
      <c r="L289" s="77">
        <v>42956</v>
      </c>
      <c r="M289" s="68"/>
      <c r="N289" s="76"/>
      <c r="O289" s="75" t="s">
        <v>1873</v>
      </c>
      <c r="R289" s="74"/>
    </row>
    <row r="290" spans="2:18" ht="36" hidden="1" customHeight="1" x14ac:dyDescent="0.25">
      <c r="B290" s="84">
        <v>1825</v>
      </c>
      <c r="C290" s="83" t="s">
        <v>40</v>
      </c>
      <c r="D290" s="82" t="s">
        <v>2973</v>
      </c>
      <c r="E290" s="81">
        <v>42940</v>
      </c>
      <c r="F290" s="27">
        <f t="shared" ca="1" si="4"/>
        <v>1533</v>
      </c>
      <c r="G290" s="79" t="s">
        <v>603</v>
      </c>
      <c r="H290" s="80"/>
      <c r="I290" s="80"/>
      <c r="J290" s="79" t="s">
        <v>765</v>
      </c>
      <c r="K290" s="78" t="s">
        <v>623</v>
      </c>
      <c r="L290" s="77">
        <v>42947</v>
      </c>
      <c r="M290" s="68"/>
      <c r="N290" s="76"/>
      <c r="O290" s="75" t="s">
        <v>2974</v>
      </c>
      <c r="R290" s="74"/>
    </row>
    <row r="291" spans="2:18" ht="36" hidden="1" customHeight="1" x14ac:dyDescent="0.25">
      <c r="B291" s="84">
        <v>1825</v>
      </c>
      <c r="C291" s="83" t="s">
        <v>35</v>
      </c>
      <c r="D291" s="82" t="s">
        <v>2977</v>
      </c>
      <c r="E291" s="81">
        <v>42940</v>
      </c>
      <c r="F291" s="27">
        <f t="shared" ca="1" si="4"/>
        <v>1533</v>
      </c>
      <c r="G291" s="79" t="s">
        <v>2978</v>
      </c>
      <c r="H291" s="80"/>
      <c r="I291" s="80"/>
      <c r="J291" s="79" t="s">
        <v>597</v>
      </c>
      <c r="K291" s="78" t="s">
        <v>623</v>
      </c>
      <c r="L291" s="77">
        <v>42949</v>
      </c>
      <c r="M291" s="68"/>
      <c r="N291" s="76"/>
      <c r="O291" s="75" t="s">
        <v>2979</v>
      </c>
      <c r="R291" s="74"/>
    </row>
    <row r="292" spans="2:18" ht="36" hidden="1" customHeight="1" x14ac:dyDescent="0.25">
      <c r="B292" s="84">
        <v>1829</v>
      </c>
      <c r="C292" s="83" t="s">
        <v>16</v>
      </c>
      <c r="D292" s="82" t="s">
        <v>3728</v>
      </c>
      <c r="E292" s="81">
        <v>42940</v>
      </c>
      <c r="F292" s="27">
        <f t="shared" ca="1" si="4"/>
        <v>1533</v>
      </c>
      <c r="G292" s="79" t="s">
        <v>603</v>
      </c>
      <c r="H292" s="80"/>
      <c r="I292" s="80"/>
      <c r="J292" s="79" t="s">
        <v>765</v>
      </c>
      <c r="K292" s="78" t="s">
        <v>623</v>
      </c>
      <c r="L292" s="77">
        <v>42958</v>
      </c>
      <c r="M292" s="68"/>
      <c r="N292" s="76" t="s">
        <v>3729</v>
      </c>
      <c r="O292" s="75" t="s">
        <v>3730</v>
      </c>
      <c r="R292" s="74"/>
    </row>
    <row r="293" spans="2:18" ht="36" hidden="1" customHeight="1" x14ac:dyDescent="0.25">
      <c r="B293" s="84">
        <v>1645</v>
      </c>
      <c r="C293" s="83" t="s">
        <v>40</v>
      </c>
      <c r="D293" s="82" t="s">
        <v>1013</v>
      </c>
      <c r="E293" s="81">
        <v>42941</v>
      </c>
      <c r="F293" s="27">
        <f t="shared" ca="1" si="4"/>
        <v>1532</v>
      </c>
      <c r="G293" s="79" t="s">
        <v>606</v>
      </c>
      <c r="H293" s="80"/>
      <c r="I293" s="80"/>
      <c r="J293" s="79" t="s">
        <v>597</v>
      </c>
      <c r="K293" s="78" t="s">
        <v>580</v>
      </c>
      <c r="L293" s="77">
        <v>42956</v>
      </c>
      <c r="M293" s="68"/>
      <c r="N293" s="76"/>
      <c r="O293" s="75" t="s">
        <v>1014</v>
      </c>
      <c r="R293" s="74"/>
    </row>
    <row r="294" spans="2:18" ht="36" hidden="1" customHeight="1" x14ac:dyDescent="0.25">
      <c r="B294" s="84">
        <v>1825</v>
      </c>
      <c r="C294" s="83" t="s">
        <v>33</v>
      </c>
      <c r="D294" s="82" t="s">
        <v>2975</v>
      </c>
      <c r="E294" s="81">
        <v>42941</v>
      </c>
      <c r="F294" s="27">
        <f t="shared" ca="1" si="4"/>
        <v>1532</v>
      </c>
      <c r="G294" s="79" t="s">
        <v>603</v>
      </c>
      <c r="H294" s="80"/>
      <c r="I294" s="80"/>
      <c r="J294" s="79" t="s">
        <v>765</v>
      </c>
      <c r="K294" s="78" t="s">
        <v>623</v>
      </c>
      <c r="L294" s="77">
        <v>42947</v>
      </c>
      <c r="M294" s="68"/>
      <c r="N294" s="76"/>
      <c r="O294" s="75" t="s">
        <v>2976</v>
      </c>
      <c r="R294" s="74"/>
    </row>
    <row r="295" spans="2:18" ht="36" hidden="1" customHeight="1" x14ac:dyDescent="0.25">
      <c r="B295" s="84">
        <v>1829</v>
      </c>
      <c r="C295" s="83" t="s">
        <v>35</v>
      </c>
      <c r="D295" s="82" t="s">
        <v>3721</v>
      </c>
      <c r="E295" s="81">
        <v>42941</v>
      </c>
      <c r="F295" s="27">
        <f t="shared" ca="1" si="4"/>
        <v>1532</v>
      </c>
      <c r="G295" s="79"/>
      <c r="H295" s="80"/>
      <c r="I295" s="80"/>
      <c r="J295" s="79"/>
      <c r="K295" s="78"/>
      <c r="L295" s="77">
        <v>42941</v>
      </c>
      <c r="M295" s="68"/>
      <c r="N295" s="76" t="s">
        <v>3722</v>
      </c>
      <c r="O295" s="75"/>
      <c r="R295" s="74"/>
    </row>
    <row r="296" spans="2:18" ht="36" hidden="1" customHeight="1" x14ac:dyDescent="0.25">
      <c r="B296" s="84">
        <v>1829</v>
      </c>
      <c r="C296" s="83" t="s">
        <v>37</v>
      </c>
      <c r="D296" s="82" t="s">
        <v>3723</v>
      </c>
      <c r="E296" s="81">
        <v>42942</v>
      </c>
      <c r="F296" s="27">
        <f t="shared" ca="1" si="4"/>
        <v>1531</v>
      </c>
      <c r="G296" s="79"/>
      <c r="H296" s="80"/>
      <c r="I296" s="80"/>
      <c r="J296" s="79"/>
      <c r="K296" s="78"/>
      <c r="L296" s="77">
        <v>42942</v>
      </c>
      <c r="M296" s="68"/>
      <c r="N296" s="76" t="s">
        <v>3724</v>
      </c>
      <c r="O296" s="75"/>
      <c r="R296" s="74"/>
    </row>
    <row r="297" spans="2:18" ht="36" hidden="1" customHeight="1" x14ac:dyDescent="0.25">
      <c r="B297" s="84">
        <v>1822</v>
      </c>
      <c r="C297" s="83" t="s">
        <v>20</v>
      </c>
      <c r="D297" s="82" t="s">
        <v>2407</v>
      </c>
      <c r="E297" s="81">
        <v>42943</v>
      </c>
      <c r="F297" s="27">
        <f t="shared" ca="1" si="4"/>
        <v>1530</v>
      </c>
      <c r="G297" s="79" t="s">
        <v>2147</v>
      </c>
      <c r="H297" s="80"/>
      <c r="I297" s="80"/>
      <c r="J297" s="79" t="s">
        <v>597</v>
      </c>
      <c r="K297" s="78" t="s">
        <v>623</v>
      </c>
      <c r="L297" s="77">
        <v>42956</v>
      </c>
      <c r="M297" s="68"/>
      <c r="N297" s="76"/>
      <c r="O297" s="75" t="s">
        <v>2408</v>
      </c>
      <c r="R297" s="74"/>
    </row>
    <row r="298" spans="2:18" ht="36" hidden="1" customHeight="1" x14ac:dyDescent="0.25">
      <c r="B298" s="84">
        <v>1822</v>
      </c>
      <c r="C298" s="83" t="s">
        <v>24</v>
      </c>
      <c r="D298" s="82" t="s">
        <v>2409</v>
      </c>
      <c r="E298" s="81">
        <v>42943</v>
      </c>
      <c r="F298" s="27">
        <f t="shared" ca="1" si="4"/>
        <v>1530</v>
      </c>
      <c r="G298" s="79" t="s">
        <v>578</v>
      </c>
      <c r="H298" s="80"/>
      <c r="I298" s="80"/>
      <c r="J298" s="79" t="s">
        <v>579</v>
      </c>
      <c r="K298" s="78" t="s">
        <v>623</v>
      </c>
      <c r="L298" s="77">
        <v>42984</v>
      </c>
      <c r="M298" s="68"/>
      <c r="N298" s="76"/>
      <c r="O298" s="75" t="s">
        <v>2410</v>
      </c>
      <c r="R298" s="74"/>
    </row>
    <row r="299" spans="2:18" ht="36" hidden="1" customHeight="1" x14ac:dyDescent="0.25">
      <c r="B299" s="84">
        <v>1829</v>
      </c>
      <c r="C299" s="83" t="s">
        <v>16</v>
      </c>
      <c r="D299" s="82" t="s">
        <v>3725</v>
      </c>
      <c r="E299" s="81">
        <v>42944</v>
      </c>
      <c r="F299" s="27">
        <f t="shared" ca="1" si="4"/>
        <v>1529</v>
      </c>
      <c r="G299" s="79" t="s">
        <v>3726</v>
      </c>
      <c r="H299" s="80"/>
      <c r="I299" s="80"/>
      <c r="J299" s="79" t="s">
        <v>597</v>
      </c>
      <c r="K299" s="78" t="s">
        <v>623</v>
      </c>
      <c r="L299" s="77">
        <v>42945</v>
      </c>
      <c r="M299" s="68"/>
      <c r="N299" s="76"/>
      <c r="O299" s="75" t="s">
        <v>3727</v>
      </c>
      <c r="R299" s="74"/>
    </row>
    <row r="300" spans="2:18" ht="36" hidden="1" customHeight="1" x14ac:dyDescent="0.25">
      <c r="B300" s="84">
        <v>1645</v>
      </c>
      <c r="C300" s="83" t="s">
        <v>40</v>
      </c>
      <c r="D300" s="82" t="s">
        <v>1020</v>
      </c>
      <c r="E300" s="81">
        <v>42948</v>
      </c>
      <c r="F300" s="27">
        <f t="shared" ca="1" si="4"/>
        <v>1525</v>
      </c>
      <c r="G300" s="79" t="s">
        <v>1016</v>
      </c>
      <c r="H300" s="80"/>
      <c r="I300" s="80"/>
      <c r="J300" s="79" t="s">
        <v>592</v>
      </c>
      <c r="K300" s="78" t="s">
        <v>580</v>
      </c>
      <c r="L300" s="77">
        <v>42961</v>
      </c>
      <c r="M300" s="68"/>
      <c r="N300" s="76"/>
      <c r="O300" s="75" t="s">
        <v>1021</v>
      </c>
      <c r="R300" s="74"/>
    </row>
    <row r="301" spans="2:18" ht="36" hidden="1" customHeight="1" x14ac:dyDescent="0.25">
      <c r="B301" s="84">
        <v>1641</v>
      </c>
      <c r="C301" s="83" t="s">
        <v>10</v>
      </c>
      <c r="D301" s="82" t="s">
        <v>608</v>
      </c>
      <c r="E301" s="81">
        <v>42949</v>
      </c>
      <c r="F301" s="27">
        <f t="shared" ca="1" si="4"/>
        <v>1524</v>
      </c>
      <c r="G301" s="79" t="s">
        <v>606</v>
      </c>
      <c r="H301" s="80"/>
      <c r="I301" s="80"/>
      <c r="J301" s="79" t="s">
        <v>597</v>
      </c>
      <c r="K301" s="78" t="s">
        <v>580</v>
      </c>
      <c r="L301" s="77">
        <v>42956</v>
      </c>
      <c r="M301" s="68"/>
      <c r="N301" s="76"/>
      <c r="O301" s="75" t="s">
        <v>609</v>
      </c>
      <c r="R301" s="74"/>
    </row>
    <row r="302" spans="2:18" ht="36" hidden="1" customHeight="1" x14ac:dyDescent="0.25">
      <c r="B302" s="84">
        <v>1816</v>
      </c>
      <c r="C302" s="83" t="s">
        <v>40</v>
      </c>
      <c r="D302" s="82" t="s">
        <v>1279</v>
      </c>
      <c r="E302" s="81">
        <v>42949</v>
      </c>
      <c r="F302" s="27">
        <f t="shared" ca="1" si="4"/>
        <v>1524</v>
      </c>
      <c r="G302" s="79" t="s">
        <v>1280</v>
      </c>
      <c r="H302" s="80"/>
      <c r="I302" s="80"/>
      <c r="J302" s="79" t="s">
        <v>597</v>
      </c>
      <c r="K302" s="78" t="s">
        <v>623</v>
      </c>
      <c r="L302" s="77">
        <v>42958</v>
      </c>
      <c r="M302" s="68"/>
      <c r="N302" s="76"/>
      <c r="O302" s="75" t="s">
        <v>1281</v>
      </c>
      <c r="R302" s="74"/>
    </row>
    <row r="303" spans="2:18" ht="36" hidden="1" customHeight="1" x14ac:dyDescent="0.25">
      <c r="B303" s="84">
        <v>1816</v>
      </c>
      <c r="C303" s="83" t="s">
        <v>19</v>
      </c>
      <c r="D303" s="82" t="s">
        <v>1282</v>
      </c>
      <c r="E303" s="81">
        <v>42949</v>
      </c>
      <c r="F303" s="27">
        <f t="shared" ca="1" si="4"/>
        <v>1524</v>
      </c>
      <c r="G303" s="79" t="s">
        <v>1280</v>
      </c>
      <c r="H303" s="80"/>
      <c r="I303" s="80"/>
      <c r="J303" s="79" t="s">
        <v>597</v>
      </c>
      <c r="K303" s="78" t="s">
        <v>623</v>
      </c>
      <c r="L303" s="77">
        <v>42958</v>
      </c>
      <c r="M303" s="68"/>
      <c r="N303" s="76"/>
      <c r="O303" s="75" t="s">
        <v>1283</v>
      </c>
      <c r="R303" s="74"/>
    </row>
    <row r="304" spans="2:18" ht="36" hidden="1" customHeight="1" x14ac:dyDescent="0.25">
      <c r="B304" s="84">
        <v>1644</v>
      </c>
      <c r="C304" s="83" t="s">
        <v>40</v>
      </c>
      <c r="D304" s="82" t="s">
        <v>952</v>
      </c>
      <c r="E304" s="81">
        <v>42950</v>
      </c>
      <c r="F304" s="27">
        <f t="shared" ca="1" si="4"/>
        <v>1523</v>
      </c>
      <c r="G304" s="79" t="s">
        <v>614</v>
      </c>
      <c r="H304" s="80"/>
      <c r="I304" s="80"/>
      <c r="J304" s="79" t="s">
        <v>597</v>
      </c>
      <c r="K304" s="78" t="s">
        <v>580</v>
      </c>
      <c r="L304" s="77">
        <v>42975</v>
      </c>
      <c r="M304" s="68"/>
      <c r="N304" s="76"/>
      <c r="O304" s="75"/>
      <c r="R304" s="74"/>
    </row>
    <row r="305" spans="2:18" ht="36" hidden="1" customHeight="1" x14ac:dyDescent="0.25">
      <c r="B305" s="84">
        <v>1646</v>
      </c>
      <c r="C305" s="83" t="s">
        <v>40</v>
      </c>
      <c r="D305" s="82" t="s">
        <v>1109</v>
      </c>
      <c r="E305" s="81">
        <v>42951</v>
      </c>
      <c r="F305" s="27">
        <f t="shared" ca="1" si="4"/>
        <v>1522</v>
      </c>
      <c r="G305" s="79" t="s">
        <v>616</v>
      </c>
      <c r="H305" s="80"/>
      <c r="I305" s="80"/>
      <c r="J305" s="79" t="s">
        <v>579</v>
      </c>
      <c r="K305" s="78" t="s">
        <v>580</v>
      </c>
      <c r="L305" s="77">
        <v>43005</v>
      </c>
      <c r="M305" s="68"/>
      <c r="N305" s="76"/>
      <c r="O305" s="75" t="s">
        <v>1110</v>
      </c>
      <c r="R305" s="74"/>
    </row>
    <row r="306" spans="2:18" ht="36" hidden="1" customHeight="1" x14ac:dyDescent="0.25">
      <c r="B306" s="84">
        <v>1825</v>
      </c>
      <c r="C306" s="83" t="s">
        <v>15</v>
      </c>
      <c r="D306" s="82" t="s">
        <v>2076</v>
      </c>
      <c r="E306" s="81">
        <v>42951</v>
      </c>
      <c r="F306" s="27">
        <f t="shared" ca="1" si="4"/>
        <v>1522</v>
      </c>
      <c r="G306" s="79" t="s">
        <v>2978</v>
      </c>
      <c r="H306" s="80"/>
      <c r="I306" s="80"/>
      <c r="J306" s="79" t="s">
        <v>597</v>
      </c>
      <c r="K306" s="78" t="s">
        <v>623</v>
      </c>
      <c r="L306" s="77">
        <v>42956</v>
      </c>
      <c r="M306" s="68"/>
      <c r="N306" s="76"/>
      <c r="O306" s="75" t="s">
        <v>1281</v>
      </c>
      <c r="R306" s="74"/>
    </row>
    <row r="307" spans="2:18" ht="36" hidden="1" customHeight="1" x14ac:dyDescent="0.25">
      <c r="B307" s="84">
        <v>1825</v>
      </c>
      <c r="C307" s="83" t="s">
        <v>37</v>
      </c>
      <c r="D307" s="82" t="s">
        <v>2980</v>
      </c>
      <c r="E307" s="81">
        <v>42951</v>
      </c>
      <c r="F307" s="27">
        <f t="shared" ca="1" si="4"/>
        <v>1522</v>
      </c>
      <c r="G307" s="79" t="s">
        <v>2978</v>
      </c>
      <c r="H307" s="80"/>
      <c r="I307" s="80"/>
      <c r="J307" s="79" t="s">
        <v>597</v>
      </c>
      <c r="K307" s="78" t="s">
        <v>623</v>
      </c>
      <c r="L307" s="77">
        <v>42956</v>
      </c>
      <c r="M307" s="68"/>
      <c r="N307" s="76"/>
      <c r="O307" s="75" t="s">
        <v>2981</v>
      </c>
      <c r="R307" s="74"/>
    </row>
    <row r="308" spans="2:18" ht="36" hidden="1" customHeight="1" x14ac:dyDescent="0.25">
      <c r="B308" s="84">
        <v>1819</v>
      </c>
      <c r="C308" s="83" t="s">
        <v>31</v>
      </c>
      <c r="D308" s="82" t="s">
        <v>1862</v>
      </c>
      <c r="E308" s="81">
        <v>42957</v>
      </c>
      <c r="F308" s="27">
        <f t="shared" ca="1" si="4"/>
        <v>1516</v>
      </c>
      <c r="G308" s="79" t="s">
        <v>1863</v>
      </c>
      <c r="H308" s="80"/>
      <c r="I308" s="80"/>
      <c r="J308" s="79" t="s">
        <v>597</v>
      </c>
      <c r="K308" s="78" t="s">
        <v>623</v>
      </c>
      <c r="L308" s="77">
        <v>42958</v>
      </c>
      <c r="M308" s="68"/>
      <c r="N308" s="76"/>
      <c r="O308" s="75" t="s">
        <v>1864</v>
      </c>
      <c r="R308" s="74"/>
    </row>
    <row r="309" spans="2:18" ht="36" hidden="1" customHeight="1" x14ac:dyDescent="0.25">
      <c r="B309" s="84">
        <v>1829</v>
      </c>
      <c r="C309" s="83" t="s">
        <v>16</v>
      </c>
      <c r="D309" s="82" t="s">
        <v>3731</v>
      </c>
      <c r="E309" s="81">
        <v>42957</v>
      </c>
      <c r="F309" s="27">
        <f t="shared" ca="1" si="4"/>
        <v>1516</v>
      </c>
      <c r="G309" s="79" t="s">
        <v>3726</v>
      </c>
      <c r="H309" s="80"/>
      <c r="I309" s="80"/>
      <c r="J309" s="79" t="s">
        <v>597</v>
      </c>
      <c r="K309" s="78" t="s">
        <v>623</v>
      </c>
      <c r="L309" s="77">
        <v>42958</v>
      </c>
      <c r="M309" s="68"/>
      <c r="N309" s="76"/>
      <c r="O309" s="75" t="s">
        <v>3732</v>
      </c>
      <c r="R309" s="74"/>
    </row>
    <row r="310" spans="2:18" ht="36" hidden="1" customHeight="1" x14ac:dyDescent="0.25">
      <c r="B310" s="84">
        <v>1645</v>
      </c>
      <c r="C310" s="83" t="s">
        <v>33</v>
      </c>
      <c r="D310" s="82" t="s">
        <v>1022</v>
      </c>
      <c r="E310" s="81">
        <v>42958</v>
      </c>
      <c r="F310" s="27">
        <f t="shared" ca="1" si="4"/>
        <v>1515</v>
      </c>
      <c r="G310" s="79" t="s">
        <v>1016</v>
      </c>
      <c r="H310" s="80"/>
      <c r="I310" s="80"/>
      <c r="J310" s="79" t="s">
        <v>592</v>
      </c>
      <c r="K310" s="78" t="s">
        <v>580</v>
      </c>
      <c r="L310" s="77">
        <v>42961</v>
      </c>
      <c r="M310" s="68"/>
      <c r="N310" s="76"/>
      <c r="O310" s="75" t="s">
        <v>1023</v>
      </c>
      <c r="R310" s="74"/>
    </row>
    <row r="311" spans="2:18" ht="36" hidden="1" customHeight="1" x14ac:dyDescent="0.25">
      <c r="B311" s="84">
        <v>1819</v>
      </c>
      <c r="C311" s="83" t="s">
        <v>23</v>
      </c>
      <c r="D311" s="82" t="s">
        <v>1865</v>
      </c>
      <c r="E311" s="81">
        <v>42961</v>
      </c>
      <c r="F311" s="27">
        <f t="shared" ca="1" si="4"/>
        <v>1512</v>
      </c>
      <c r="G311" s="79" t="s">
        <v>603</v>
      </c>
      <c r="H311" s="80"/>
      <c r="I311" s="80"/>
      <c r="J311" s="79" t="s">
        <v>765</v>
      </c>
      <c r="K311" s="78" t="s">
        <v>623</v>
      </c>
      <c r="L311" s="77">
        <v>42969</v>
      </c>
      <c r="M311" s="68"/>
      <c r="N311" s="76"/>
      <c r="O311" s="75"/>
      <c r="R311" s="74"/>
    </row>
    <row r="312" spans="2:18" ht="36" hidden="1" customHeight="1" x14ac:dyDescent="0.25">
      <c r="B312" s="84">
        <v>1821</v>
      </c>
      <c r="C312" s="83" t="s">
        <v>23</v>
      </c>
      <c r="D312" s="82" t="s">
        <v>2270</v>
      </c>
      <c r="E312" s="81">
        <v>42961</v>
      </c>
      <c r="F312" s="27">
        <f t="shared" ca="1" si="4"/>
        <v>1512</v>
      </c>
      <c r="G312" s="79" t="s">
        <v>603</v>
      </c>
      <c r="H312" s="80"/>
      <c r="I312" s="80"/>
      <c r="J312" s="79" t="s">
        <v>765</v>
      </c>
      <c r="K312" s="78" t="s">
        <v>623</v>
      </c>
      <c r="L312" s="77">
        <v>42969</v>
      </c>
      <c r="M312" s="68"/>
      <c r="N312" s="76"/>
      <c r="O312" s="75"/>
      <c r="R312" s="74"/>
    </row>
    <row r="313" spans="2:18" ht="36" hidden="1" customHeight="1" x14ac:dyDescent="0.25">
      <c r="B313" s="84">
        <v>1641</v>
      </c>
      <c r="C313" s="83" t="s">
        <v>40</v>
      </c>
      <c r="D313" s="82" t="s">
        <v>610</v>
      </c>
      <c r="E313" s="81">
        <v>42962</v>
      </c>
      <c r="F313" s="27">
        <f t="shared" ca="1" si="4"/>
        <v>1511</v>
      </c>
      <c r="G313" s="79" t="s">
        <v>611</v>
      </c>
      <c r="H313" s="80"/>
      <c r="I313" s="80"/>
      <c r="J313" s="79" t="s">
        <v>597</v>
      </c>
      <c r="K313" s="78" t="s">
        <v>580</v>
      </c>
      <c r="L313" s="77">
        <v>42964</v>
      </c>
      <c r="M313" s="68"/>
      <c r="N313" s="76"/>
      <c r="O313" s="75" t="s">
        <v>612</v>
      </c>
      <c r="R313" s="74"/>
    </row>
    <row r="314" spans="2:18" ht="36" hidden="1" customHeight="1" x14ac:dyDescent="0.25">
      <c r="B314" s="84">
        <v>1643</v>
      </c>
      <c r="C314" s="83" t="s">
        <v>40</v>
      </c>
      <c r="D314" s="82" t="s">
        <v>850</v>
      </c>
      <c r="E314" s="81">
        <v>42962</v>
      </c>
      <c r="F314" s="27">
        <f t="shared" ca="1" si="4"/>
        <v>1511</v>
      </c>
      <c r="G314" s="79" t="s">
        <v>614</v>
      </c>
      <c r="H314" s="80"/>
      <c r="I314" s="80"/>
      <c r="J314" s="79" t="s">
        <v>597</v>
      </c>
      <c r="K314" s="78" t="s">
        <v>580</v>
      </c>
      <c r="L314" s="77">
        <v>42975</v>
      </c>
      <c r="M314" s="68"/>
      <c r="N314" s="76"/>
      <c r="O314" s="75"/>
      <c r="R314" s="74"/>
    </row>
    <row r="315" spans="2:18" ht="36" hidden="1" customHeight="1" x14ac:dyDescent="0.25">
      <c r="B315" s="84">
        <v>1824</v>
      </c>
      <c r="C315" s="83" t="s">
        <v>40</v>
      </c>
      <c r="D315" s="82" t="s">
        <v>2712</v>
      </c>
      <c r="E315" s="81">
        <v>42962</v>
      </c>
      <c r="F315" s="27">
        <f t="shared" ca="1" si="4"/>
        <v>1511</v>
      </c>
      <c r="G315" s="79" t="s">
        <v>603</v>
      </c>
      <c r="H315" s="80"/>
      <c r="I315" s="80"/>
      <c r="J315" s="79" t="s">
        <v>765</v>
      </c>
      <c r="K315" s="78" t="s">
        <v>623</v>
      </c>
      <c r="L315" s="77">
        <v>42972</v>
      </c>
      <c r="M315" s="68"/>
      <c r="N315" s="76"/>
      <c r="O315" s="75" t="s">
        <v>2713</v>
      </c>
      <c r="R315" s="74"/>
    </row>
    <row r="316" spans="2:18" ht="36" hidden="1" customHeight="1" x14ac:dyDescent="0.25">
      <c r="B316" s="84">
        <v>1816</v>
      </c>
      <c r="C316" s="83" t="s">
        <v>20</v>
      </c>
      <c r="D316" s="82" t="s">
        <v>1284</v>
      </c>
      <c r="E316" s="81">
        <v>42963</v>
      </c>
      <c r="F316" s="27">
        <f t="shared" ca="1" si="4"/>
        <v>1510</v>
      </c>
      <c r="G316" s="79" t="s">
        <v>603</v>
      </c>
      <c r="H316" s="80"/>
      <c r="I316" s="80"/>
      <c r="J316" s="79" t="s">
        <v>765</v>
      </c>
      <c r="K316" s="78" t="s">
        <v>623</v>
      </c>
      <c r="L316" s="77">
        <v>42972</v>
      </c>
      <c r="M316" s="68"/>
      <c r="N316" s="76"/>
      <c r="O316" s="75" t="s">
        <v>1285</v>
      </c>
      <c r="R316" s="74"/>
    </row>
    <row r="317" spans="2:18" ht="36" hidden="1" customHeight="1" x14ac:dyDescent="0.25">
      <c r="B317" s="84">
        <v>1642</v>
      </c>
      <c r="C317" s="83" t="s">
        <v>19</v>
      </c>
      <c r="D317" s="82" t="s">
        <v>744</v>
      </c>
      <c r="E317" s="81">
        <v>42965</v>
      </c>
      <c r="F317" s="27">
        <f t="shared" ca="1" si="4"/>
        <v>1508</v>
      </c>
      <c r="G317" s="79" t="s">
        <v>614</v>
      </c>
      <c r="H317" s="80"/>
      <c r="I317" s="80"/>
      <c r="J317" s="79" t="s">
        <v>597</v>
      </c>
      <c r="K317" s="78" t="s">
        <v>580</v>
      </c>
      <c r="L317" s="77">
        <v>42975</v>
      </c>
      <c r="M317" s="68"/>
      <c r="N317" s="76"/>
      <c r="O317" s="75"/>
      <c r="R317" s="74"/>
    </row>
    <row r="318" spans="2:18" ht="36" hidden="1" customHeight="1" x14ac:dyDescent="0.25">
      <c r="B318" s="84">
        <v>1645</v>
      </c>
      <c r="C318" s="83" t="s">
        <v>23</v>
      </c>
      <c r="D318" s="82" t="s">
        <v>1024</v>
      </c>
      <c r="E318" s="81">
        <v>42965</v>
      </c>
      <c r="F318" s="27">
        <f t="shared" ca="1" si="4"/>
        <v>1508</v>
      </c>
      <c r="G318" s="79" t="s">
        <v>614</v>
      </c>
      <c r="H318" s="80"/>
      <c r="I318" s="80"/>
      <c r="J318" s="79" t="s">
        <v>597</v>
      </c>
      <c r="K318" s="78" t="s">
        <v>580</v>
      </c>
      <c r="L318" s="77">
        <v>42975</v>
      </c>
      <c r="M318" s="68"/>
      <c r="N318" s="76"/>
      <c r="O318" s="75"/>
      <c r="R318" s="74"/>
    </row>
    <row r="319" spans="2:18" ht="36" hidden="1" customHeight="1" x14ac:dyDescent="0.25">
      <c r="B319" s="84">
        <v>1817</v>
      </c>
      <c r="C319" s="83" t="s">
        <v>11</v>
      </c>
      <c r="D319" s="82" t="s">
        <v>1477</v>
      </c>
      <c r="E319" s="81">
        <v>42965</v>
      </c>
      <c r="F319" s="27">
        <f t="shared" ca="1" si="4"/>
        <v>1508</v>
      </c>
      <c r="G319" s="79" t="s">
        <v>603</v>
      </c>
      <c r="H319" s="80"/>
      <c r="I319" s="80"/>
      <c r="J319" s="79" t="s">
        <v>765</v>
      </c>
      <c r="K319" s="78" t="s">
        <v>623</v>
      </c>
      <c r="L319" s="77">
        <v>42969</v>
      </c>
      <c r="M319" s="68"/>
      <c r="N319" s="76"/>
      <c r="O319" s="75"/>
      <c r="R319" s="74"/>
    </row>
    <row r="320" spans="2:18" ht="36" hidden="1" customHeight="1" x14ac:dyDescent="0.25">
      <c r="B320" s="84">
        <v>1827</v>
      </c>
      <c r="C320" s="83" t="s">
        <v>31</v>
      </c>
      <c r="D320" s="82" t="s">
        <v>1096</v>
      </c>
      <c r="E320" s="81">
        <v>42965</v>
      </c>
      <c r="F320" s="27">
        <f t="shared" ca="1" si="4"/>
        <v>1508</v>
      </c>
      <c r="G320" s="79" t="s">
        <v>603</v>
      </c>
      <c r="H320" s="80"/>
      <c r="I320" s="80"/>
      <c r="J320" s="79" t="s">
        <v>765</v>
      </c>
      <c r="K320" s="78" t="s">
        <v>623</v>
      </c>
      <c r="L320" s="77">
        <v>42972</v>
      </c>
      <c r="M320" s="68"/>
      <c r="N320" s="76"/>
      <c r="O320" s="75" t="s">
        <v>3308</v>
      </c>
      <c r="R320" s="74"/>
    </row>
    <row r="321" spans="2:18" ht="36" hidden="1" customHeight="1" x14ac:dyDescent="0.25">
      <c r="B321" s="84">
        <v>1827</v>
      </c>
      <c r="C321" s="83" t="s">
        <v>40</v>
      </c>
      <c r="D321" s="82" t="s">
        <v>3309</v>
      </c>
      <c r="E321" s="81">
        <v>42965</v>
      </c>
      <c r="F321" s="27">
        <f t="shared" ca="1" si="4"/>
        <v>1508</v>
      </c>
      <c r="G321" s="79" t="s">
        <v>603</v>
      </c>
      <c r="H321" s="80"/>
      <c r="I321" s="80"/>
      <c r="J321" s="79" t="s">
        <v>765</v>
      </c>
      <c r="K321" s="78" t="s">
        <v>623</v>
      </c>
      <c r="L321" s="77">
        <v>42972</v>
      </c>
      <c r="M321" s="68"/>
      <c r="N321" s="76"/>
      <c r="O321" s="75" t="s">
        <v>3308</v>
      </c>
      <c r="R321" s="74"/>
    </row>
    <row r="322" spans="2:18" ht="36" hidden="1" customHeight="1" x14ac:dyDescent="0.25">
      <c r="B322" s="84">
        <v>1816</v>
      </c>
      <c r="C322" s="83"/>
      <c r="D322" s="82" t="s">
        <v>1286</v>
      </c>
      <c r="E322" s="81">
        <v>42968</v>
      </c>
      <c r="F322" s="27">
        <f t="shared" ca="1" si="4"/>
        <v>1505</v>
      </c>
      <c r="G322" s="79" t="s">
        <v>1287</v>
      </c>
      <c r="H322" s="80"/>
      <c r="I322" s="80"/>
      <c r="J322" s="79" t="s">
        <v>1288</v>
      </c>
      <c r="K322" s="78" t="s">
        <v>623</v>
      </c>
      <c r="L322" s="77">
        <v>42972</v>
      </c>
      <c r="M322" s="68"/>
      <c r="N322" s="76"/>
      <c r="O322" s="75" t="s">
        <v>1289</v>
      </c>
      <c r="R322" s="74"/>
    </row>
    <row r="323" spans="2:18" ht="36" hidden="1" customHeight="1" x14ac:dyDescent="0.25">
      <c r="B323" s="84">
        <v>1825</v>
      </c>
      <c r="C323" s="83"/>
      <c r="D323" s="82" t="s">
        <v>2982</v>
      </c>
      <c r="E323" s="81">
        <v>42969</v>
      </c>
      <c r="F323" s="27">
        <f t="shared" ca="1" si="4"/>
        <v>1504</v>
      </c>
      <c r="G323" s="79" t="s">
        <v>586</v>
      </c>
      <c r="H323" s="80"/>
      <c r="I323" s="80"/>
      <c r="J323" s="79" t="s">
        <v>2983</v>
      </c>
      <c r="K323" s="78" t="s">
        <v>623</v>
      </c>
      <c r="L323" s="77">
        <v>42979</v>
      </c>
      <c r="M323" s="68"/>
      <c r="N323" s="76"/>
      <c r="O323" s="75" t="s">
        <v>2984</v>
      </c>
      <c r="R323" s="74"/>
    </row>
    <row r="324" spans="2:18" ht="36" hidden="1" customHeight="1" x14ac:dyDescent="0.25">
      <c r="B324" s="84">
        <v>1641</v>
      </c>
      <c r="C324" s="83"/>
      <c r="D324" s="82" t="s">
        <v>613</v>
      </c>
      <c r="E324" s="81">
        <v>42970</v>
      </c>
      <c r="F324" s="27">
        <f t="shared" ca="1" si="4"/>
        <v>1503</v>
      </c>
      <c r="G324" s="79" t="s">
        <v>614</v>
      </c>
      <c r="H324" s="80"/>
      <c r="I324" s="80"/>
      <c r="J324" s="79" t="s">
        <v>597</v>
      </c>
      <c r="K324" s="78" t="s">
        <v>580</v>
      </c>
      <c r="L324" s="77">
        <v>42975</v>
      </c>
      <c r="M324" s="68"/>
      <c r="N324" s="76"/>
      <c r="O324" s="75"/>
      <c r="R324" s="74"/>
    </row>
    <row r="325" spans="2:18" ht="36" hidden="1" customHeight="1" x14ac:dyDescent="0.25">
      <c r="B325" s="84">
        <v>1823</v>
      </c>
      <c r="C325" s="83" t="s">
        <v>38</v>
      </c>
      <c r="D325" s="82" t="s">
        <v>2529</v>
      </c>
      <c r="E325" s="81">
        <v>42972</v>
      </c>
      <c r="F325" s="27">
        <f t="shared" ca="1" si="4"/>
        <v>1501</v>
      </c>
      <c r="G325" s="79"/>
      <c r="H325" s="80"/>
      <c r="I325" s="80"/>
      <c r="J325" s="79"/>
      <c r="K325" s="78"/>
      <c r="L325" s="77">
        <v>42975</v>
      </c>
      <c r="M325" s="68"/>
      <c r="N325" s="76"/>
      <c r="O325" s="75"/>
      <c r="R325" s="74"/>
    </row>
    <row r="326" spans="2:18" ht="36" hidden="1" customHeight="1" x14ac:dyDescent="0.25">
      <c r="B326" s="84">
        <v>1823</v>
      </c>
      <c r="C326" s="83"/>
      <c r="D326" s="82" t="s">
        <v>2530</v>
      </c>
      <c r="E326" s="81">
        <v>42972</v>
      </c>
      <c r="F326" s="27">
        <f t="shared" ca="1" si="4"/>
        <v>1501</v>
      </c>
      <c r="G326" s="79" t="s">
        <v>603</v>
      </c>
      <c r="H326" s="80"/>
      <c r="I326" s="80"/>
      <c r="J326" s="79" t="s">
        <v>2531</v>
      </c>
      <c r="K326" s="78" t="s">
        <v>2532</v>
      </c>
      <c r="L326" s="77">
        <v>42976</v>
      </c>
      <c r="M326" s="68"/>
      <c r="N326" s="76" t="s">
        <v>2533</v>
      </c>
      <c r="O326" s="75"/>
      <c r="R326" s="74"/>
    </row>
    <row r="327" spans="2:18" ht="36" hidden="1" customHeight="1" x14ac:dyDescent="0.25">
      <c r="B327" s="84">
        <v>1826</v>
      </c>
      <c r="C327" s="83"/>
      <c r="D327" s="82" t="s">
        <v>3191</v>
      </c>
      <c r="E327" s="81">
        <v>42972</v>
      </c>
      <c r="F327" s="27">
        <f t="shared" ca="1" si="4"/>
        <v>1501</v>
      </c>
      <c r="G327" s="79"/>
      <c r="H327" s="80"/>
      <c r="I327" s="80"/>
      <c r="J327" s="79" t="s">
        <v>2983</v>
      </c>
      <c r="K327" s="78"/>
      <c r="L327" s="77">
        <v>42979</v>
      </c>
      <c r="M327" s="68"/>
      <c r="N327" s="76"/>
      <c r="O327" s="75" t="s">
        <v>3192</v>
      </c>
      <c r="R327" s="74"/>
    </row>
    <row r="328" spans="2:18" ht="36" hidden="1" customHeight="1" x14ac:dyDescent="0.25">
      <c r="B328" s="84">
        <v>1828</v>
      </c>
      <c r="C328" s="83"/>
      <c r="D328" s="82" t="s">
        <v>3489</v>
      </c>
      <c r="E328" s="81">
        <v>42972</v>
      </c>
      <c r="F328" s="27">
        <f t="shared" ca="1" si="4"/>
        <v>1501</v>
      </c>
      <c r="G328" s="79"/>
      <c r="H328" s="80"/>
      <c r="I328" s="80"/>
      <c r="J328" s="79"/>
      <c r="K328" s="78"/>
      <c r="L328" s="77">
        <v>42972</v>
      </c>
      <c r="M328" s="68"/>
      <c r="N328" s="76"/>
      <c r="O328" s="75" t="s">
        <v>3490</v>
      </c>
      <c r="R328" s="74"/>
    </row>
    <row r="329" spans="2:18" ht="36" hidden="1" customHeight="1" x14ac:dyDescent="0.25">
      <c r="B329" s="84">
        <v>1828</v>
      </c>
      <c r="C329" s="83"/>
      <c r="D329" s="82" t="s">
        <v>3491</v>
      </c>
      <c r="E329" s="81">
        <v>42972</v>
      </c>
      <c r="F329" s="27">
        <f t="shared" ca="1" si="4"/>
        <v>1501</v>
      </c>
      <c r="G329" s="79"/>
      <c r="H329" s="80"/>
      <c r="I329" s="80"/>
      <c r="J329" s="79"/>
      <c r="K329" s="78"/>
      <c r="L329" s="77">
        <v>42972</v>
      </c>
      <c r="M329" s="68"/>
      <c r="N329" s="76"/>
      <c r="O329" s="75" t="s">
        <v>3492</v>
      </c>
      <c r="R329" s="74"/>
    </row>
    <row r="330" spans="2:18" ht="36" hidden="1" customHeight="1" x14ac:dyDescent="0.25">
      <c r="B330" s="84">
        <v>1819</v>
      </c>
      <c r="C330" s="83" t="s">
        <v>12</v>
      </c>
      <c r="D330" s="82" t="s">
        <v>1866</v>
      </c>
      <c r="E330" s="81">
        <v>42978</v>
      </c>
      <c r="F330" s="27">
        <f t="shared" ca="1" si="4"/>
        <v>1495</v>
      </c>
      <c r="G330" s="79" t="s">
        <v>578</v>
      </c>
      <c r="H330" s="80"/>
      <c r="I330" s="80"/>
      <c r="J330" s="79" t="s">
        <v>579</v>
      </c>
      <c r="K330" s="78" t="s">
        <v>623</v>
      </c>
      <c r="L330" s="77">
        <v>42984</v>
      </c>
      <c r="M330" s="68"/>
      <c r="N330" s="76"/>
      <c r="O330" s="75" t="s">
        <v>52</v>
      </c>
      <c r="R330" s="74"/>
    </row>
    <row r="331" spans="2:18" ht="36" hidden="1" customHeight="1" x14ac:dyDescent="0.25">
      <c r="B331" s="84">
        <v>1828</v>
      </c>
      <c r="C331" s="83"/>
      <c r="D331" s="82" t="s">
        <v>3493</v>
      </c>
      <c r="E331" s="81">
        <v>42978</v>
      </c>
      <c r="F331" s="27">
        <f t="shared" ca="1" si="4"/>
        <v>1495</v>
      </c>
      <c r="G331" s="79" t="s">
        <v>3494</v>
      </c>
      <c r="H331" s="80"/>
      <c r="I331" s="80"/>
      <c r="J331" s="79" t="s">
        <v>2983</v>
      </c>
      <c r="K331" s="78" t="s">
        <v>623</v>
      </c>
      <c r="L331" s="77">
        <v>42979</v>
      </c>
      <c r="M331" s="68"/>
      <c r="N331" s="76"/>
      <c r="O331" s="75"/>
      <c r="R331" s="74"/>
    </row>
    <row r="332" spans="2:18" ht="36" hidden="1" customHeight="1" x14ac:dyDescent="0.25">
      <c r="B332" s="84">
        <v>1820</v>
      </c>
      <c r="C332" s="83" t="s">
        <v>23</v>
      </c>
      <c r="D332" s="82" t="s">
        <v>2071</v>
      </c>
      <c r="E332" s="81">
        <v>42979</v>
      </c>
      <c r="F332" s="27">
        <f t="shared" ca="1" si="4"/>
        <v>1494</v>
      </c>
      <c r="G332" s="79" t="s">
        <v>1657</v>
      </c>
      <c r="H332" s="80"/>
      <c r="I332" s="80"/>
      <c r="J332" s="79" t="s">
        <v>579</v>
      </c>
      <c r="K332" s="78" t="s">
        <v>623</v>
      </c>
      <c r="L332" s="77">
        <v>42990</v>
      </c>
      <c r="M332" s="68"/>
      <c r="N332" s="76" t="s">
        <v>2072</v>
      </c>
      <c r="O332" s="75"/>
      <c r="R332" s="74"/>
    </row>
    <row r="333" spans="2:18" ht="36" hidden="1" customHeight="1" x14ac:dyDescent="0.25">
      <c r="B333" s="84">
        <v>1823</v>
      </c>
      <c r="C333" s="83" t="s">
        <v>11</v>
      </c>
      <c r="D333" s="82" t="s">
        <v>2534</v>
      </c>
      <c r="E333" s="81">
        <v>42979</v>
      </c>
      <c r="F333" s="27">
        <f t="shared" ca="1" si="4"/>
        <v>1494</v>
      </c>
      <c r="G333" s="79" t="s">
        <v>1723</v>
      </c>
      <c r="H333" s="80"/>
      <c r="I333" s="80"/>
      <c r="J333" s="79" t="s">
        <v>579</v>
      </c>
      <c r="K333" s="78" t="s">
        <v>623</v>
      </c>
      <c r="L333" s="77">
        <v>42996</v>
      </c>
      <c r="M333" s="68"/>
      <c r="N333" s="76"/>
      <c r="O333" s="75" t="s">
        <v>2535</v>
      </c>
      <c r="R333" s="74"/>
    </row>
    <row r="334" spans="2:18" ht="36" hidden="1" customHeight="1" x14ac:dyDescent="0.25">
      <c r="B334" s="84">
        <v>1826</v>
      </c>
      <c r="C334" s="83" t="s">
        <v>23</v>
      </c>
      <c r="D334" s="82" t="s">
        <v>3193</v>
      </c>
      <c r="E334" s="81">
        <v>42979</v>
      </c>
      <c r="F334" s="27">
        <f t="shared" ca="1" si="4"/>
        <v>1494</v>
      </c>
      <c r="G334" s="79" t="s">
        <v>603</v>
      </c>
      <c r="H334" s="80"/>
      <c r="I334" s="80"/>
      <c r="J334" s="79" t="s">
        <v>2983</v>
      </c>
      <c r="K334" s="78" t="s">
        <v>623</v>
      </c>
      <c r="L334" s="77">
        <v>42979</v>
      </c>
      <c r="M334" s="68"/>
      <c r="N334" s="76"/>
      <c r="O334" s="75"/>
      <c r="R334" s="74"/>
    </row>
    <row r="335" spans="2:18" ht="36" hidden="1" customHeight="1" x14ac:dyDescent="0.25">
      <c r="B335" s="84">
        <v>1830</v>
      </c>
      <c r="C335" s="83" t="s">
        <v>40</v>
      </c>
      <c r="D335" s="82" t="s">
        <v>3892</v>
      </c>
      <c r="E335" s="81">
        <v>42979</v>
      </c>
      <c r="F335" s="27">
        <f t="shared" ca="1" si="4"/>
        <v>1494</v>
      </c>
      <c r="G335" s="79" t="s">
        <v>3726</v>
      </c>
      <c r="H335" s="80"/>
      <c r="I335" s="80"/>
      <c r="J335" s="79" t="s">
        <v>597</v>
      </c>
      <c r="K335" s="78" t="s">
        <v>623</v>
      </c>
      <c r="L335" s="77">
        <v>43001</v>
      </c>
      <c r="M335" s="68"/>
      <c r="N335" s="76"/>
      <c r="O335" s="75" t="s">
        <v>3893</v>
      </c>
      <c r="R335" s="74"/>
    </row>
    <row r="336" spans="2:18" ht="36" hidden="1" customHeight="1" x14ac:dyDescent="0.25">
      <c r="B336" s="84">
        <v>1819</v>
      </c>
      <c r="C336" s="83" t="s">
        <v>23</v>
      </c>
      <c r="D336" s="82" t="s">
        <v>1867</v>
      </c>
      <c r="E336" s="81">
        <v>42984</v>
      </c>
      <c r="F336" s="27">
        <f t="shared" ref="F336:F399" ca="1" si="5">IF(E336&lt;&gt;"",TODAY()-E336,"")</f>
        <v>1489</v>
      </c>
      <c r="G336" s="79" t="s">
        <v>578</v>
      </c>
      <c r="H336" s="80"/>
      <c r="I336" s="80"/>
      <c r="J336" s="79" t="s">
        <v>579</v>
      </c>
      <c r="K336" s="78" t="s">
        <v>623</v>
      </c>
      <c r="L336" s="77">
        <v>42984</v>
      </c>
      <c r="M336" s="68"/>
      <c r="N336" s="76"/>
      <c r="O336" s="75" t="s">
        <v>51</v>
      </c>
      <c r="R336" s="74"/>
    </row>
    <row r="337" spans="2:18" ht="36" hidden="1" customHeight="1" x14ac:dyDescent="0.25">
      <c r="B337" s="84">
        <v>1820</v>
      </c>
      <c r="C337" s="83" t="s">
        <v>23</v>
      </c>
      <c r="D337" s="82" t="s">
        <v>2073</v>
      </c>
      <c r="E337" s="81">
        <v>42984</v>
      </c>
      <c r="F337" s="27">
        <f t="shared" ca="1" si="5"/>
        <v>1489</v>
      </c>
      <c r="G337" s="79" t="s">
        <v>1657</v>
      </c>
      <c r="H337" s="80"/>
      <c r="I337" s="80"/>
      <c r="J337" s="79" t="s">
        <v>579</v>
      </c>
      <c r="K337" s="78" t="s">
        <v>623</v>
      </c>
      <c r="L337" s="77">
        <v>42990</v>
      </c>
      <c r="M337" s="68"/>
      <c r="N337" s="76" t="s">
        <v>2072</v>
      </c>
      <c r="O337" s="75"/>
      <c r="R337" s="74"/>
    </row>
    <row r="338" spans="2:18" ht="36" hidden="1" customHeight="1" x14ac:dyDescent="0.25">
      <c r="B338" s="84">
        <v>1825</v>
      </c>
      <c r="C338" s="83" t="s">
        <v>23</v>
      </c>
      <c r="D338" s="82" t="s">
        <v>2985</v>
      </c>
      <c r="E338" s="81">
        <v>42984</v>
      </c>
      <c r="F338" s="27">
        <f t="shared" ca="1" si="5"/>
        <v>1489</v>
      </c>
      <c r="G338" s="79" t="s">
        <v>2986</v>
      </c>
      <c r="H338" s="80"/>
      <c r="I338" s="80"/>
      <c r="J338" s="79" t="s">
        <v>579</v>
      </c>
      <c r="K338" s="78" t="s">
        <v>623</v>
      </c>
      <c r="L338" s="77">
        <v>42985</v>
      </c>
      <c r="M338" s="68"/>
      <c r="N338" s="76"/>
      <c r="O338" s="75" t="s">
        <v>2550</v>
      </c>
      <c r="R338" s="74"/>
    </row>
    <row r="339" spans="2:18" ht="36" hidden="1" customHeight="1" x14ac:dyDescent="0.25">
      <c r="B339" s="84">
        <v>1824</v>
      </c>
      <c r="C339" s="83" t="s">
        <v>35</v>
      </c>
      <c r="D339" s="82" t="s">
        <v>2714</v>
      </c>
      <c r="E339" s="81">
        <v>42985</v>
      </c>
      <c r="F339" s="27">
        <f t="shared" ca="1" si="5"/>
        <v>1488</v>
      </c>
      <c r="G339" s="79" t="s">
        <v>578</v>
      </c>
      <c r="H339" s="80"/>
      <c r="I339" s="80"/>
      <c r="J339" s="79" t="s">
        <v>579</v>
      </c>
      <c r="K339" s="78" t="s">
        <v>623</v>
      </c>
      <c r="L339" s="77">
        <v>43001</v>
      </c>
      <c r="M339" s="68"/>
      <c r="N339" s="76"/>
      <c r="O339" s="75" t="s">
        <v>2715</v>
      </c>
      <c r="R339" s="74"/>
    </row>
    <row r="340" spans="2:18" ht="36" hidden="1" customHeight="1" x14ac:dyDescent="0.25">
      <c r="B340" s="84">
        <v>1824</v>
      </c>
      <c r="C340" s="83" t="s">
        <v>37</v>
      </c>
      <c r="D340" s="82" t="s">
        <v>2716</v>
      </c>
      <c r="E340" s="81">
        <v>42985</v>
      </c>
      <c r="F340" s="27">
        <f t="shared" ca="1" si="5"/>
        <v>1488</v>
      </c>
      <c r="G340" s="79" t="s">
        <v>1112</v>
      </c>
      <c r="H340" s="80"/>
      <c r="I340" s="80"/>
      <c r="J340" s="79" t="s">
        <v>791</v>
      </c>
      <c r="K340" s="78" t="s">
        <v>623</v>
      </c>
      <c r="L340" s="77">
        <v>43013</v>
      </c>
      <c r="M340" s="68"/>
      <c r="N340" s="76"/>
      <c r="O340" s="75"/>
      <c r="R340" s="74"/>
    </row>
    <row r="341" spans="2:18" ht="36" hidden="1" customHeight="1" x14ac:dyDescent="0.25">
      <c r="B341" s="84">
        <v>1817</v>
      </c>
      <c r="C341" s="83" t="s">
        <v>23</v>
      </c>
      <c r="D341" s="82" t="s">
        <v>1478</v>
      </c>
      <c r="E341" s="81">
        <v>42986</v>
      </c>
      <c r="F341" s="27">
        <f t="shared" ca="1" si="5"/>
        <v>1487</v>
      </c>
      <c r="G341" s="79" t="s">
        <v>1479</v>
      </c>
      <c r="H341" s="80"/>
      <c r="I341" s="80"/>
      <c r="J341" s="79" t="s">
        <v>765</v>
      </c>
      <c r="K341" s="78" t="s">
        <v>623</v>
      </c>
      <c r="L341" s="77">
        <v>42990</v>
      </c>
      <c r="M341" s="68"/>
      <c r="N341" s="76"/>
      <c r="O341" s="75"/>
      <c r="R341" s="74"/>
    </row>
    <row r="342" spans="2:18" ht="36" hidden="1" customHeight="1" x14ac:dyDescent="0.25">
      <c r="B342" s="84">
        <v>1825</v>
      </c>
      <c r="C342" s="83" t="s">
        <v>23</v>
      </c>
      <c r="D342" s="82" t="s">
        <v>2987</v>
      </c>
      <c r="E342" s="81">
        <v>42986</v>
      </c>
      <c r="F342" s="27">
        <f t="shared" ca="1" si="5"/>
        <v>1487</v>
      </c>
      <c r="G342" s="79" t="s">
        <v>2988</v>
      </c>
      <c r="H342" s="80"/>
      <c r="I342" s="80"/>
      <c r="J342" s="79" t="s">
        <v>579</v>
      </c>
      <c r="K342" s="78" t="s">
        <v>623</v>
      </c>
      <c r="L342" s="77">
        <v>43001</v>
      </c>
      <c r="M342" s="68"/>
      <c r="N342" s="76"/>
      <c r="O342" s="75" t="s">
        <v>2989</v>
      </c>
      <c r="R342" s="74"/>
    </row>
    <row r="343" spans="2:18" ht="36" hidden="1" customHeight="1" x14ac:dyDescent="0.25">
      <c r="B343" s="84">
        <v>1817</v>
      </c>
      <c r="C343" s="83" t="s">
        <v>40</v>
      </c>
      <c r="D343" s="82" t="s">
        <v>1480</v>
      </c>
      <c r="E343" s="81">
        <v>42989</v>
      </c>
      <c r="F343" s="27">
        <f t="shared" ca="1" si="5"/>
        <v>1484</v>
      </c>
      <c r="G343" s="79"/>
      <c r="H343" s="80"/>
      <c r="I343" s="80"/>
      <c r="J343" s="79"/>
      <c r="K343" s="78"/>
      <c r="L343" s="77">
        <v>42990</v>
      </c>
      <c r="M343" s="68"/>
      <c r="N343" s="76"/>
      <c r="O343" s="75" t="s">
        <v>1481</v>
      </c>
      <c r="R343" s="74"/>
    </row>
    <row r="344" spans="2:18" ht="36" hidden="1" customHeight="1" x14ac:dyDescent="0.25">
      <c r="B344" s="84">
        <v>1829</v>
      </c>
      <c r="C344" s="83" t="s">
        <v>35</v>
      </c>
      <c r="D344" s="82" t="s">
        <v>3733</v>
      </c>
      <c r="E344" s="81">
        <v>42990</v>
      </c>
      <c r="F344" s="27">
        <f t="shared" ca="1" si="5"/>
        <v>1483</v>
      </c>
      <c r="G344" s="79" t="s">
        <v>3726</v>
      </c>
      <c r="H344" s="80"/>
      <c r="I344" s="80"/>
      <c r="J344" s="79" t="s">
        <v>597</v>
      </c>
      <c r="K344" s="78" t="s">
        <v>623</v>
      </c>
      <c r="L344" s="77">
        <v>42999</v>
      </c>
      <c r="M344" s="68"/>
      <c r="N344" s="76"/>
      <c r="O344" s="75" t="s">
        <v>3734</v>
      </c>
      <c r="R344" s="74"/>
    </row>
    <row r="345" spans="2:18" ht="36" hidden="1" customHeight="1" x14ac:dyDescent="0.25">
      <c r="B345" s="84">
        <v>1641</v>
      </c>
      <c r="C345" s="83" t="s">
        <v>40</v>
      </c>
      <c r="D345" s="82" t="s">
        <v>615</v>
      </c>
      <c r="E345" s="81">
        <v>42992</v>
      </c>
      <c r="F345" s="27">
        <f t="shared" ca="1" si="5"/>
        <v>1481</v>
      </c>
      <c r="G345" s="79" t="s">
        <v>616</v>
      </c>
      <c r="H345" s="80"/>
      <c r="I345" s="80"/>
      <c r="J345" s="79" t="s">
        <v>579</v>
      </c>
      <c r="K345" s="78" t="s">
        <v>580</v>
      </c>
      <c r="L345" s="77">
        <v>42998</v>
      </c>
      <c r="M345" s="68"/>
      <c r="N345" s="76"/>
      <c r="O345" s="75" t="s">
        <v>617</v>
      </c>
      <c r="R345" s="74"/>
    </row>
    <row r="346" spans="2:18" ht="36" hidden="1" customHeight="1" x14ac:dyDescent="0.25">
      <c r="B346" s="84">
        <v>1643</v>
      </c>
      <c r="C346" s="83" t="s">
        <v>40</v>
      </c>
      <c r="D346" s="82" t="s">
        <v>851</v>
      </c>
      <c r="E346" s="81">
        <v>42992</v>
      </c>
      <c r="F346" s="27">
        <f t="shared" ca="1" si="5"/>
        <v>1481</v>
      </c>
      <c r="G346" s="79" t="s">
        <v>616</v>
      </c>
      <c r="H346" s="80"/>
      <c r="I346" s="80"/>
      <c r="J346" s="79" t="s">
        <v>579</v>
      </c>
      <c r="K346" s="78" t="s">
        <v>580</v>
      </c>
      <c r="L346" s="77">
        <v>42996</v>
      </c>
      <c r="M346" s="68"/>
      <c r="N346" s="76"/>
      <c r="O346" s="75" t="s">
        <v>852</v>
      </c>
      <c r="R346" s="74"/>
    </row>
    <row r="347" spans="2:18" ht="36" hidden="1" customHeight="1" x14ac:dyDescent="0.25">
      <c r="B347" s="84">
        <v>1820</v>
      </c>
      <c r="C347" s="83" t="s">
        <v>23</v>
      </c>
      <c r="D347" s="82" t="s">
        <v>2074</v>
      </c>
      <c r="E347" s="81">
        <v>42992</v>
      </c>
      <c r="F347" s="27">
        <f t="shared" ca="1" si="5"/>
        <v>1481</v>
      </c>
      <c r="G347" s="79" t="s">
        <v>1304</v>
      </c>
      <c r="H347" s="80"/>
      <c r="I347" s="80"/>
      <c r="J347" s="79" t="s">
        <v>579</v>
      </c>
      <c r="K347" s="78" t="s">
        <v>623</v>
      </c>
      <c r="L347" s="77">
        <v>42996</v>
      </c>
      <c r="M347" s="68"/>
      <c r="N347" s="76"/>
      <c r="O347" s="75" t="s">
        <v>2075</v>
      </c>
      <c r="R347" s="74"/>
    </row>
    <row r="348" spans="2:18" ht="36" hidden="1" customHeight="1" x14ac:dyDescent="0.25">
      <c r="B348" s="84">
        <v>1820</v>
      </c>
      <c r="C348" s="83" t="s">
        <v>15</v>
      </c>
      <c r="D348" s="82" t="s">
        <v>2076</v>
      </c>
      <c r="E348" s="81">
        <v>42992</v>
      </c>
      <c r="F348" s="27">
        <f t="shared" ca="1" si="5"/>
        <v>1481</v>
      </c>
      <c r="G348" s="79" t="s">
        <v>1304</v>
      </c>
      <c r="H348" s="80"/>
      <c r="I348" s="80"/>
      <c r="J348" s="79" t="s">
        <v>579</v>
      </c>
      <c r="K348" s="78" t="s">
        <v>623</v>
      </c>
      <c r="L348" s="77">
        <v>42996</v>
      </c>
      <c r="M348" s="68"/>
      <c r="N348" s="76"/>
      <c r="O348" s="75" t="s">
        <v>2077</v>
      </c>
      <c r="R348" s="74"/>
    </row>
    <row r="349" spans="2:18" ht="36" hidden="1" customHeight="1" x14ac:dyDescent="0.25">
      <c r="B349" s="84">
        <v>1826</v>
      </c>
      <c r="C349" s="83" t="s">
        <v>23</v>
      </c>
      <c r="D349" s="82" t="s">
        <v>3194</v>
      </c>
      <c r="E349" s="81">
        <v>42993</v>
      </c>
      <c r="F349" s="27">
        <f t="shared" ca="1" si="5"/>
        <v>1480</v>
      </c>
      <c r="G349" s="79" t="s">
        <v>1304</v>
      </c>
      <c r="H349" s="80"/>
      <c r="I349" s="80"/>
      <c r="J349" s="79" t="s">
        <v>579</v>
      </c>
      <c r="K349" s="78" t="s">
        <v>623</v>
      </c>
      <c r="L349" s="77">
        <v>42996</v>
      </c>
      <c r="M349" s="68"/>
      <c r="N349" s="76"/>
      <c r="O349" s="75" t="s">
        <v>3195</v>
      </c>
      <c r="R349" s="74"/>
    </row>
    <row r="350" spans="2:18" ht="36" hidden="1" customHeight="1" x14ac:dyDescent="0.25">
      <c r="B350" s="84">
        <v>1820</v>
      </c>
      <c r="C350" s="83" t="s">
        <v>40</v>
      </c>
      <c r="D350" s="82" t="s">
        <v>2078</v>
      </c>
      <c r="E350" s="81">
        <v>42996</v>
      </c>
      <c r="F350" s="27">
        <f t="shared" ca="1" si="5"/>
        <v>1477</v>
      </c>
      <c r="G350" s="79"/>
      <c r="H350" s="80"/>
      <c r="I350" s="80"/>
      <c r="J350" s="79"/>
      <c r="K350" s="78"/>
      <c r="L350" s="77">
        <v>42996</v>
      </c>
      <c r="M350" s="68"/>
      <c r="N350" s="76"/>
      <c r="O350" s="75" t="s">
        <v>2079</v>
      </c>
      <c r="R350" s="74"/>
    </row>
    <row r="351" spans="2:18" ht="36" hidden="1" customHeight="1" x14ac:dyDescent="0.25">
      <c r="B351" s="84">
        <v>1827</v>
      </c>
      <c r="C351" s="83" t="s">
        <v>40</v>
      </c>
      <c r="D351" s="82" t="s">
        <v>3310</v>
      </c>
      <c r="E351" s="81">
        <v>42996</v>
      </c>
      <c r="F351" s="27">
        <f t="shared" ca="1" si="5"/>
        <v>1477</v>
      </c>
      <c r="G351" s="79" t="s">
        <v>1325</v>
      </c>
      <c r="H351" s="80"/>
      <c r="I351" s="80"/>
      <c r="J351" s="79" t="s">
        <v>579</v>
      </c>
      <c r="K351" s="78" t="s">
        <v>623</v>
      </c>
      <c r="L351" s="77">
        <v>42998</v>
      </c>
      <c r="M351" s="68"/>
      <c r="N351" s="76"/>
      <c r="O351" s="75" t="s">
        <v>3311</v>
      </c>
      <c r="R351" s="74"/>
    </row>
    <row r="352" spans="2:18" ht="36" hidden="1" customHeight="1" x14ac:dyDescent="0.25">
      <c r="B352" s="84">
        <v>1827</v>
      </c>
      <c r="C352" s="83" t="s">
        <v>40</v>
      </c>
      <c r="D352" s="82" t="s">
        <v>3312</v>
      </c>
      <c r="E352" s="81">
        <v>42996</v>
      </c>
      <c r="F352" s="27">
        <f t="shared" ca="1" si="5"/>
        <v>1477</v>
      </c>
      <c r="G352" s="79" t="s">
        <v>1325</v>
      </c>
      <c r="H352" s="80"/>
      <c r="I352" s="80"/>
      <c r="J352" s="79" t="s">
        <v>579</v>
      </c>
      <c r="K352" s="78" t="s">
        <v>623</v>
      </c>
      <c r="L352" s="77">
        <v>43001</v>
      </c>
      <c r="M352" s="68"/>
      <c r="N352" s="76"/>
      <c r="O352" s="75" t="s">
        <v>3313</v>
      </c>
      <c r="R352" s="74"/>
    </row>
    <row r="353" spans="2:18" ht="36" hidden="1" customHeight="1" x14ac:dyDescent="0.25">
      <c r="B353" s="84">
        <v>1829</v>
      </c>
      <c r="C353" s="83" t="s">
        <v>40</v>
      </c>
      <c r="D353" s="82" t="s">
        <v>3735</v>
      </c>
      <c r="E353" s="81">
        <v>42998</v>
      </c>
      <c r="F353" s="27">
        <f t="shared" ca="1" si="5"/>
        <v>1475</v>
      </c>
      <c r="G353" s="79" t="s">
        <v>3726</v>
      </c>
      <c r="H353" s="80"/>
      <c r="I353" s="80"/>
      <c r="J353" s="79" t="s">
        <v>597</v>
      </c>
      <c r="K353" s="78" t="s">
        <v>623</v>
      </c>
      <c r="L353" s="77">
        <v>43001</v>
      </c>
      <c r="M353" s="68"/>
      <c r="N353" s="76"/>
      <c r="O353" s="75" t="s">
        <v>3736</v>
      </c>
      <c r="R353" s="74"/>
    </row>
    <row r="354" spans="2:18" ht="36" hidden="1" customHeight="1" x14ac:dyDescent="0.25">
      <c r="B354" s="84">
        <v>1821</v>
      </c>
      <c r="C354" s="83" t="s">
        <v>27</v>
      </c>
      <c r="D354" s="82" t="s">
        <v>2271</v>
      </c>
      <c r="E354" s="81">
        <v>42999</v>
      </c>
      <c r="F354" s="27">
        <f t="shared" ca="1" si="5"/>
        <v>1474</v>
      </c>
      <c r="G354" s="79" t="s">
        <v>2096</v>
      </c>
      <c r="H354" s="80"/>
      <c r="I354" s="80"/>
      <c r="J354" s="79" t="s">
        <v>1301</v>
      </c>
      <c r="K354" s="78" t="s">
        <v>1301</v>
      </c>
      <c r="L354" s="77">
        <v>43004</v>
      </c>
      <c r="M354" s="68"/>
      <c r="N354" s="76"/>
      <c r="O354" s="75" t="s">
        <v>2272</v>
      </c>
      <c r="R354" s="74"/>
    </row>
    <row r="355" spans="2:18" ht="36" hidden="1" customHeight="1" x14ac:dyDescent="0.25">
      <c r="B355" s="84">
        <v>1829</v>
      </c>
      <c r="C355" s="83" t="s">
        <v>40</v>
      </c>
      <c r="D355" s="82" t="s">
        <v>3737</v>
      </c>
      <c r="E355" s="81">
        <v>43000</v>
      </c>
      <c r="F355" s="27">
        <f t="shared" ca="1" si="5"/>
        <v>1473</v>
      </c>
      <c r="G355" s="79" t="s">
        <v>3738</v>
      </c>
      <c r="H355" s="80"/>
      <c r="I355" s="80"/>
      <c r="J355" s="79" t="s">
        <v>597</v>
      </c>
      <c r="K355" s="78" t="s">
        <v>623</v>
      </c>
      <c r="L355" s="77">
        <v>43028</v>
      </c>
      <c r="M355" s="68"/>
      <c r="N355" s="76"/>
      <c r="O355" s="75"/>
      <c r="R355" s="74"/>
    </row>
    <row r="356" spans="2:18" ht="36" hidden="1" customHeight="1" x14ac:dyDescent="0.25">
      <c r="B356" s="84">
        <v>1825</v>
      </c>
      <c r="C356" s="83" t="s">
        <v>40</v>
      </c>
      <c r="D356" s="82" t="s">
        <v>2990</v>
      </c>
      <c r="E356" s="81">
        <v>43001</v>
      </c>
      <c r="F356" s="27">
        <f t="shared" ca="1" si="5"/>
        <v>1472</v>
      </c>
      <c r="G356" s="79"/>
      <c r="H356" s="80"/>
      <c r="I356" s="80"/>
      <c r="J356" s="79" t="s">
        <v>579</v>
      </c>
      <c r="K356" s="78" t="s">
        <v>623</v>
      </c>
      <c r="L356" s="77">
        <v>43001</v>
      </c>
      <c r="M356" s="68"/>
      <c r="N356" s="76"/>
      <c r="O356" s="75" t="s">
        <v>2991</v>
      </c>
      <c r="R356" s="74"/>
    </row>
    <row r="357" spans="2:18" ht="36" hidden="1" customHeight="1" x14ac:dyDescent="0.25">
      <c r="B357" s="84">
        <v>1819</v>
      </c>
      <c r="C357" s="83" t="s">
        <v>37</v>
      </c>
      <c r="D357" s="82" t="s">
        <v>1870</v>
      </c>
      <c r="E357" s="81">
        <v>43003</v>
      </c>
      <c r="F357" s="27">
        <f t="shared" ca="1" si="5"/>
        <v>1470</v>
      </c>
      <c r="G357" s="79" t="s">
        <v>1112</v>
      </c>
      <c r="H357" s="80"/>
      <c r="I357" s="80"/>
      <c r="J357" s="79" t="s">
        <v>791</v>
      </c>
      <c r="K357" s="78" t="s">
        <v>623</v>
      </c>
      <c r="L357" s="77">
        <v>43013</v>
      </c>
      <c r="M357" s="68"/>
      <c r="N357" s="76"/>
      <c r="O357" s="75"/>
      <c r="R357" s="74"/>
    </row>
    <row r="358" spans="2:18" ht="36" hidden="1" customHeight="1" x14ac:dyDescent="0.25">
      <c r="B358" s="84">
        <v>1823</v>
      </c>
      <c r="C358" s="83" t="s">
        <v>37</v>
      </c>
      <c r="D358" s="82" t="s">
        <v>2536</v>
      </c>
      <c r="E358" s="81">
        <v>43003</v>
      </c>
      <c r="F358" s="27">
        <f t="shared" ca="1" si="5"/>
        <v>1470</v>
      </c>
      <c r="G358" s="79" t="s">
        <v>1723</v>
      </c>
      <c r="H358" s="80"/>
      <c r="I358" s="80"/>
      <c r="J358" s="79" t="s">
        <v>579</v>
      </c>
      <c r="K358" s="78" t="s">
        <v>623</v>
      </c>
      <c r="L358" s="77">
        <v>43004</v>
      </c>
      <c r="M358" s="68"/>
      <c r="N358" s="76" t="s">
        <v>2537</v>
      </c>
      <c r="O358" s="75"/>
      <c r="R358" s="74"/>
    </row>
    <row r="359" spans="2:18" ht="36" hidden="1" customHeight="1" x14ac:dyDescent="0.25">
      <c r="B359" s="84">
        <v>1825</v>
      </c>
      <c r="C359" s="83" t="s">
        <v>37</v>
      </c>
      <c r="D359" s="82" t="s">
        <v>2080</v>
      </c>
      <c r="E359" s="81">
        <v>43003</v>
      </c>
      <c r="F359" s="27">
        <f t="shared" ca="1" si="5"/>
        <v>1470</v>
      </c>
      <c r="G359" s="79" t="s">
        <v>1112</v>
      </c>
      <c r="H359" s="80"/>
      <c r="I359" s="80"/>
      <c r="J359" s="79" t="s">
        <v>791</v>
      </c>
      <c r="K359" s="78" t="s">
        <v>623</v>
      </c>
      <c r="L359" s="77">
        <v>43013</v>
      </c>
      <c r="M359" s="68"/>
      <c r="N359" s="76"/>
      <c r="O359" s="75"/>
      <c r="R359" s="74"/>
    </row>
    <row r="360" spans="2:18" ht="36" hidden="1" customHeight="1" x14ac:dyDescent="0.25">
      <c r="B360" s="84">
        <v>1828</v>
      </c>
      <c r="C360" s="83" t="s">
        <v>37</v>
      </c>
      <c r="D360" s="82" t="s">
        <v>1870</v>
      </c>
      <c r="E360" s="81">
        <v>43003</v>
      </c>
      <c r="F360" s="27">
        <f t="shared" ca="1" si="5"/>
        <v>1470</v>
      </c>
      <c r="G360" s="79" t="s">
        <v>603</v>
      </c>
      <c r="H360" s="80"/>
      <c r="I360" s="80"/>
      <c r="J360" s="79" t="s">
        <v>597</v>
      </c>
      <c r="K360" s="78" t="s">
        <v>623</v>
      </c>
      <c r="L360" s="77">
        <v>43029</v>
      </c>
      <c r="M360" s="68"/>
      <c r="N360" s="76"/>
      <c r="O360" s="75" t="s">
        <v>3495</v>
      </c>
      <c r="R360" s="74"/>
    </row>
    <row r="361" spans="2:18" ht="36" hidden="1" customHeight="1" x14ac:dyDescent="0.25">
      <c r="B361" s="84">
        <v>1820</v>
      </c>
      <c r="C361" s="83" t="s">
        <v>37</v>
      </c>
      <c r="D361" s="82" t="s">
        <v>2080</v>
      </c>
      <c r="E361" s="81">
        <v>43004</v>
      </c>
      <c r="F361" s="27">
        <f t="shared" ca="1" si="5"/>
        <v>1469</v>
      </c>
      <c r="G361" s="79" t="s">
        <v>1112</v>
      </c>
      <c r="H361" s="80"/>
      <c r="I361" s="80"/>
      <c r="J361" s="79" t="s">
        <v>791</v>
      </c>
      <c r="K361" s="78" t="s">
        <v>623</v>
      </c>
      <c r="L361" s="77">
        <v>43013</v>
      </c>
      <c r="M361" s="68"/>
      <c r="N361" s="76"/>
      <c r="O361" s="75"/>
      <c r="R361" s="74"/>
    </row>
    <row r="362" spans="2:18" ht="36" hidden="1" customHeight="1" x14ac:dyDescent="0.25">
      <c r="B362" s="84">
        <v>1645</v>
      </c>
      <c r="C362" s="83" t="s">
        <v>40</v>
      </c>
      <c r="D362" s="82" t="s">
        <v>1025</v>
      </c>
      <c r="E362" s="81">
        <v>43006</v>
      </c>
      <c r="F362" s="27">
        <f t="shared" ca="1" si="5"/>
        <v>1467</v>
      </c>
      <c r="G362" s="79" t="s">
        <v>1026</v>
      </c>
      <c r="H362" s="80"/>
      <c r="I362" s="80"/>
      <c r="J362" s="79" t="s">
        <v>592</v>
      </c>
      <c r="K362" s="78" t="s">
        <v>580</v>
      </c>
      <c r="L362" s="77">
        <v>43010</v>
      </c>
      <c r="M362" s="68"/>
      <c r="N362" s="76"/>
      <c r="O362" s="75" t="s">
        <v>1027</v>
      </c>
      <c r="R362" s="74"/>
    </row>
    <row r="363" spans="2:18" ht="36" hidden="1" customHeight="1" x14ac:dyDescent="0.25">
      <c r="B363" s="84">
        <v>1645</v>
      </c>
      <c r="C363" s="83" t="s">
        <v>40</v>
      </c>
      <c r="D363" s="82" t="s">
        <v>1028</v>
      </c>
      <c r="E363" s="81">
        <v>43006</v>
      </c>
      <c r="F363" s="27">
        <f t="shared" ca="1" si="5"/>
        <v>1467</v>
      </c>
      <c r="G363" s="79" t="s">
        <v>1026</v>
      </c>
      <c r="H363" s="80"/>
      <c r="I363" s="80"/>
      <c r="J363" s="79" t="s">
        <v>592</v>
      </c>
      <c r="K363" s="78" t="s">
        <v>580</v>
      </c>
      <c r="L363" s="77">
        <v>43010</v>
      </c>
      <c r="M363" s="68"/>
      <c r="N363" s="76"/>
      <c r="O363" s="75" t="s">
        <v>1029</v>
      </c>
      <c r="R363" s="74"/>
    </row>
    <row r="364" spans="2:18" ht="36" hidden="1" customHeight="1" x14ac:dyDescent="0.25">
      <c r="B364" s="84">
        <v>1646</v>
      </c>
      <c r="C364" s="83" t="s">
        <v>40</v>
      </c>
      <c r="D364" s="82" t="s">
        <v>1111</v>
      </c>
      <c r="E364" s="81">
        <v>43007</v>
      </c>
      <c r="F364" s="27">
        <f t="shared" ca="1" si="5"/>
        <v>1466</v>
      </c>
      <c r="G364" s="79" t="s">
        <v>1112</v>
      </c>
      <c r="H364" s="80"/>
      <c r="I364" s="80"/>
      <c r="J364" s="79" t="s">
        <v>791</v>
      </c>
      <c r="K364" s="78" t="s">
        <v>580</v>
      </c>
      <c r="L364" s="77">
        <v>43013</v>
      </c>
      <c r="M364" s="68"/>
      <c r="N364" s="76"/>
      <c r="O364" s="75"/>
      <c r="R364" s="74"/>
    </row>
    <row r="365" spans="2:18" ht="36" hidden="1" customHeight="1" x14ac:dyDescent="0.25">
      <c r="B365" s="84">
        <v>1816</v>
      </c>
      <c r="C365" s="83" t="s">
        <v>23</v>
      </c>
      <c r="D365" s="82" t="s">
        <v>1292</v>
      </c>
      <c r="E365" s="81">
        <v>43007</v>
      </c>
      <c r="F365" s="27">
        <f t="shared" ca="1" si="5"/>
        <v>1466</v>
      </c>
      <c r="G365" s="79" t="s">
        <v>603</v>
      </c>
      <c r="H365" s="80"/>
      <c r="I365" s="80"/>
      <c r="J365" s="79" t="s">
        <v>597</v>
      </c>
      <c r="K365" s="78" t="s">
        <v>623</v>
      </c>
      <c r="L365" s="77">
        <v>43031</v>
      </c>
      <c r="M365" s="68"/>
      <c r="N365" s="76"/>
      <c r="O365" s="75"/>
      <c r="R365" s="74"/>
    </row>
    <row r="366" spans="2:18" ht="36" hidden="1" customHeight="1" x14ac:dyDescent="0.25">
      <c r="B366" s="84">
        <v>1818</v>
      </c>
      <c r="C366" s="83" t="s">
        <v>37</v>
      </c>
      <c r="D366" s="82" t="s">
        <v>1678</v>
      </c>
      <c r="E366" s="81">
        <v>43007</v>
      </c>
      <c r="F366" s="27">
        <f t="shared" ca="1" si="5"/>
        <v>1466</v>
      </c>
      <c r="G366" s="79" t="s">
        <v>1677</v>
      </c>
      <c r="H366" s="80"/>
      <c r="I366" s="80"/>
      <c r="J366" s="79" t="s">
        <v>765</v>
      </c>
      <c r="K366" s="78" t="s">
        <v>623</v>
      </c>
      <c r="L366" s="77">
        <v>43010</v>
      </c>
      <c r="M366" s="68"/>
      <c r="N366" s="76"/>
      <c r="O366" s="75" t="s">
        <v>1679</v>
      </c>
      <c r="R366" s="74"/>
    </row>
    <row r="367" spans="2:18" ht="36" hidden="1" customHeight="1" x14ac:dyDescent="0.25">
      <c r="B367" s="84">
        <v>1823</v>
      </c>
      <c r="C367" s="83" t="s">
        <v>40</v>
      </c>
      <c r="D367" s="82" t="s">
        <v>2539</v>
      </c>
      <c r="E367" s="81">
        <v>43007</v>
      </c>
      <c r="F367" s="27">
        <f t="shared" ca="1" si="5"/>
        <v>1466</v>
      </c>
      <c r="G367" s="79" t="s">
        <v>2540</v>
      </c>
      <c r="H367" s="80"/>
      <c r="I367" s="80"/>
      <c r="J367" s="79" t="s">
        <v>597</v>
      </c>
      <c r="K367" s="78" t="s">
        <v>623</v>
      </c>
      <c r="L367" s="77">
        <v>43033</v>
      </c>
      <c r="M367" s="68"/>
      <c r="N367" s="76"/>
      <c r="O367" s="75" t="s">
        <v>2541</v>
      </c>
      <c r="R367" s="74"/>
    </row>
    <row r="368" spans="2:18" ht="36" hidden="1" customHeight="1" x14ac:dyDescent="0.25">
      <c r="B368" s="84">
        <v>1823</v>
      </c>
      <c r="C368" s="83" t="s">
        <v>18</v>
      </c>
      <c r="D368" s="82" t="s">
        <v>2542</v>
      </c>
      <c r="E368" s="81">
        <v>43007</v>
      </c>
      <c r="F368" s="27">
        <f t="shared" ca="1" si="5"/>
        <v>1466</v>
      </c>
      <c r="G368" s="79" t="s">
        <v>2540</v>
      </c>
      <c r="H368" s="80"/>
      <c r="I368" s="80"/>
      <c r="J368" s="79" t="s">
        <v>597</v>
      </c>
      <c r="K368" s="78" t="s">
        <v>623</v>
      </c>
      <c r="L368" s="77">
        <v>43033</v>
      </c>
      <c r="M368" s="68"/>
      <c r="N368" s="76"/>
      <c r="O368" s="75" t="s">
        <v>52</v>
      </c>
      <c r="R368" s="74"/>
    </row>
    <row r="369" spans="2:18" ht="36" hidden="1" customHeight="1" x14ac:dyDescent="0.25">
      <c r="B369" s="84">
        <v>1824</v>
      </c>
      <c r="C369" s="83" t="s">
        <v>23</v>
      </c>
      <c r="D369" s="82" t="s">
        <v>2717</v>
      </c>
      <c r="E369" s="81">
        <v>43007</v>
      </c>
      <c r="F369" s="27">
        <f t="shared" ca="1" si="5"/>
        <v>1466</v>
      </c>
      <c r="G369" s="79" t="s">
        <v>1112</v>
      </c>
      <c r="H369" s="80"/>
      <c r="I369" s="80"/>
      <c r="J369" s="79" t="s">
        <v>791</v>
      </c>
      <c r="K369" s="78" t="s">
        <v>623</v>
      </c>
      <c r="L369" s="77">
        <v>43013</v>
      </c>
      <c r="M369" s="68"/>
      <c r="N369" s="76"/>
      <c r="O369" s="75"/>
      <c r="R369" s="74"/>
    </row>
    <row r="370" spans="2:18" ht="36" hidden="1" customHeight="1" x14ac:dyDescent="0.25">
      <c r="B370" s="84">
        <v>1824</v>
      </c>
      <c r="C370" s="83" t="s">
        <v>39</v>
      </c>
      <c r="D370" s="82" t="s">
        <v>2718</v>
      </c>
      <c r="E370" s="81">
        <v>43007</v>
      </c>
      <c r="F370" s="27">
        <f t="shared" ca="1" si="5"/>
        <v>1466</v>
      </c>
      <c r="G370" s="79" t="s">
        <v>1112</v>
      </c>
      <c r="H370" s="80"/>
      <c r="I370" s="80"/>
      <c r="J370" s="79" t="s">
        <v>791</v>
      </c>
      <c r="K370" s="78" t="s">
        <v>623</v>
      </c>
      <c r="L370" s="77">
        <v>43013</v>
      </c>
      <c r="M370" s="68"/>
      <c r="N370" s="76"/>
      <c r="O370" s="75"/>
      <c r="R370" s="74"/>
    </row>
    <row r="371" spans="2:18" ht="36" hidden="1" customHeight="1" x14ac:dyDescent="0.25">
      <c r="B371" s="84">
        <v>1826</v>
      </c>
      <c r="C371" s="83" t="s">
        <v>38</v>
      </c>
      <c r="D371" s="82" t="s">
        <v>3196</v>
      </c>
      <c r="E371" s="81">
        <v>43007</v>
      </c>
      <c r="F371" s="27">
        <f t="shared" ca="1" si="5"/>
        <v>1466</v>
      </c>
      <c r="G371" s="79" t="s">
        <v>3197</v>
      </c>
      <c r="H371" s="80"/>
      <c r="I371" s="80"/>
      <c r="J371" s="79" t="s">
        <v>1301</v>
      </c>
      <c r="K371" s="78" t="s">
        <v>1301</v>
      </c>
      <c r="L371" s="77">
        <v>43028</v>
      </c>
      <c r="M371" s="68"/>
      <c r="N371" s="76" t="s">
        <v>3198</v>
      </c>
      <c r="O371" s="75"/>
      <c r="R371" s="74"/>
    </row>
    <row r="372" spans="2:18" ht="36" hidden="1" customHeight="1" x14ac:dyDescent="0.25">
      <c r="B372" s="84">
        <v>1827</v>
      </c>
      <c r="C372" s="83" t="s">
        <v>19</v>
      </c>
      <c r="D372" s="82" t="s">
        <v>744</v>
      </c>
      <c r="E372" s="81">
        <v>43007</v>
      </c>
      <c r="F372" s="27">
        <f t="shared" ca="1" si="5"/>
        <v>1466</v>
      </c>
      <c r="G372" s="79" t="s">
        <v>1074</v>
      </c>
      <c r="H372" s="80"/>
      <c r="I372" s="80"/>
      <c r="J372" s="79" t="s">
        <v>1301</v>
      </c>
      <c r="K372" s="78" t="s">
        <v>1301</v>
      </c>
      <c r="L372" s="77">
        <v>43028</v>
      </c>
      <c r="M372" s="68"/>
      <c r="N372" s="76"/>
      <c r="O372" s="75"/>
      <c r="R372" s="74"/>
    </row>
    <row r="373" spans="2:18" ht="36" hidden="1" customHeight="1" x14ac:dyDescent="0.25">
      <c r="B373" s="84">
        <v>1821</v>
      </c>
      <c r="C373" s="83" t="s">
        <v>9</v>
      </c>
      <c r="D373" s="82" t="s">
        <v>2273</v>
      </c>
      <c r="E373" s="81">
        <v>43010</v>
      </c>
      <c r="F373" s="27">
        <f t="shared" ca="1" si="5"/>
        <v>1463</v>
      </c>
      <c r="G373" s="79" t="s">
        <v>1112</v>
      </c>
      <c r="H373" s="80"/>
      <c r="I373" s="80"/>
      <c r="J373" s="79" t="s">
        <v>791</v>
      </c>
      <c r="K373" s="78" t="s">
        <v>623</v>
      </c>
      <c r="L373" s="77">
        <v>43013</v>
      </c>
      <c r="M373" s="68"/>
      <c r="N373" s="76"/>
      <c r="O373" s="75"/>
      <c r="R373" s="74"/>
    </row>
    <row r="374" spans="2:18" ht="36" hidden="1" customHeight="1" x14ac:dyDescent="0.25">
      <c r="B374" s="84">
        <v>1830</v>
      </c>
      <c r="C374" s="83" t="s">
        <v>33</v>
      </c>
      <c r="D374" s="82" t="s">
        <v>3894</v>
      </c>
      <c r="E374" s="81">
        <v>43010</v>
      </c>
      <c r="F374" s="27">
        <f t="shared" ca="1" si="5"/>
        <v>1463</v>
      </c>
      <c r="G374" s="79" t="s">
        <v>1325</v>
      </c>
      <c r="H374" s="80"/>
      <c r="I374" s="80"/>
      <c r="J374" s="79" t="s">
        <v>597</v>
      </c>
      <c r="K374" s="78" t="s">
        <v>623</v>
      </c>
      <c r="L374" s="77">
        <v>43032</v>
      </c>
      <c r="M374" s="68"/>
      <c r="N374" s="76"/>
      <c r="O374" s="75" t="s">
        <v>3895</v>
      </c>
      <c r="R374" s="74"/>
    </row>
    <row r="375" spans="2:18" ht="36" hidden="1" customHeight="1" x14ac:dyDescent="0.25">
      <c r="B375" s="84">
        <v>1830</v>
      </c>
      <c r="C375" s="83" t="s">
        <v>40</v>
      </c>
      <c r="D375" s="82" t="s">
        <v>3902</v>
      </c>
      <c r="E375" s="81">
        <v>43010</v>
      </c>
      <c r="F375" s="27">
        <f t="shared" ca="1" si="5"/>
        <v>1463</v>
      </c>
      <c r="G375" s="79" t="s">
        <v>3900</v>
      </c>
      <c r="H375" s="80"/>
      <c r="I375" s="80"/>
      <c r="J375" s="79" t="s">
        <v>579</v>
      </c>
      <c r="K375" s="78" t="s">
        <v>623</v>
      </c>
      <c r="L375" s="77">
        <v>43077</v>
      </c>
      <c r="M375" s="68"/>
      <c r="N375" s="76"/>
      <c r="O375" s="75" t="s">
        <v>3903</v>
      </c>
      <c r="R375" s="74"/>
    </row>
    <row r="376" spans="2:18" ht="36" hidden="1" customHeight="1" x14ac:dyDescent="0.25">
      <c r="B376" s="84">
        <v>1819</v>
      </c>
      <c r="C376" s="83" t="s">
        <v>40</v>
      </c>
      <c r="D376" s="82" t="s">
        <v>1871</v>
      </c>
      <c r="E376" s="81">
        <v>43011</v>
      </c>
      <c r="F376" s="27">
        <f t="shared" ca="1" si="5"/>
        <v>1462</v>
      </c>
      <c r="G376" s="79" t="s">
        <v>1872</v>
      </c>
      <c r="H376" s="80"/>
      <c r="I376" s="80"/>
      <c r="J376" s="79" t="s">
        <v>597</v>
      </c>
      <c r="K376" s="78" t="s">
        <v>623</v>
      </c>
      <c r="L376" s="77">
        <v>43019</v>
      </c>
      <c r="M376" s="68"/>
      <c r="N376" s="76"/>
      <c r="O376" s="75" t="s">
        <v>1873</v>
      </c>
      <c r="R376" s="74"/>
    </row>
    <row r="377" spans="2:18" ht="36" hidden="1" customHeight="1" x14ac:dyDescent="0.25">
      <c r="B377" s="84">
        <v>1820</v>
      </c>
      <c r="C377" s="83" t="s">
        <v>23</v>
      </c>
      <c r="D377" s="82" t="s">
        <v>2081</v>
      </c>
      <c r="E377" s="81">
        <v>43012</v>
      </c>
      <c r="F377" s="27">
        <f t="shared" ca="1" si="5"/>
        <v>1461</v>
      </c>
      <c r="G377" s="79" t="s">
        <v>2082</v>
      </c>
      <c r="H377" s="80"/>
      <c r="I377" s="80"/>
      <c r="J377" s="79" t="s">
        <v>597</v>
      </c>
      <c r="K377" s="78" t="s">
        <v>623</v>
      </c>
      <c r="L377" s="77">
        <v>43019</v>
      </c>
      <c r="M377" s="68"/>
      <c r="N377" s="76"/>
      <c r="O377" s="75" t="s">
        <v>2083</v>
      </c>
      <c r="R377" s="74"/>
    </row>
    <row r="378" spans="2:18" ht="36" hidden="1" customHeight="1" x14ac:dyDescent="0.25">
      <c r="B378" s="84">
        <v>1820</v>
      </c>
      <c r="C378" s="83" t="s">
        <v>40</v>
      </c>
      <c r="D378" s="82" t="s">
        <v>2084</v>
      </c>
      <c r="E378" s="81">
        <v>43012</v>
      </c>
      <c r="F378" s="27">
        <f t="shared" ca="1" si="5"/>
        <v>1461</v>
      </c>
      <c r="G378" s="79" t="s">
        <v>2085</v>
      </c>
      <c r="H378" s="80"/>
      <c r="I378" s="80"/>
      <c r="J378" s="79" t="s">
        <v>579</v>
      </c>
      <c r="K378" s="78" t="s">
        <v>623</v>
      </c>
      <c r="L378" s="77">
        <v>43067</v>
      </c>
      <c r="M378" s="68"/>
      <c r="N378" s="76"/>
      <c r="O378" s="75" t="s">
        <v>2086</v>
      </c>
      <c r="R378" s="74"/>
    </row>
    <row r="379" spans="2:18" ht="36" hidden="1" customHeight="1" x14ac:dyDescent="0.25">
      <c r="B379" s="84">
        <v>1826</v>
      </c>
      <c r="C379" s="83" t="s">
        <v>21</v>
      </c>
      <c r="D379" s="82" t="s">
        <v>3199</v>
      </c>
      <c r="E379" s="81">
        <v>43013</v>
      </c>
      <c r="F379" s="27">
        <f t="shared" ca="1" si="5"/>
        <v>1460</v>
      </c>
      <c r="G379" s="79" t="s">
        <v>3197</v>
      </c>
      <c r="H379" s="80"/>
      <c r="I379" s="80"/>
      <c r="J379" s="79" t="s">
        <v>1301</v>
      </c>
      <c r="K379" s="78" t="s">
        <v>1301</v>
      </c>
      <c r="L379" s="77">
        <v>43028</v>
      </c>
      <c r="M379" s="68"/>
      <c r="N379" s="76"/>
      <c r="O379" s="75" t="s">
        <v>3200</v>
      </c>
      <c r="R379" s="74"/>
    </row>
    <row r="380" spans="2:18" ht="36" hidden="1" customHeight="1" x14ac:dyDescent="0.25">
      <c r="B380" s="84">
        <v>1823</v>
      </c>
      <c r="C380" s="83" t="s">
        <v>20</v>
      </c>
      <c r="D380" s="82" t="s">
        <v>2543</v>
      </c>
      <c r="E380" s="81">
        <v>43014</v>
      </c>
      <c r="F380" s="27">
        <f t="shared" ca="1" si="5"/>
        <v>1459</v>
      </c>
      <c r="G380" s="79" t="s">
        <v>2540</v>
      </c>
      <c r="H380" s="80"/>
      <c r="I380" s="80"/>
      <c r="J380" s="79" t="s">
        <v>597</v>
      </c>
      <c r="K380" s="78" t="s">
        <v>623</v>
      </c>
      <c r="L380" s="77">
        <v>43033</v>
      </c>
      <c r="M380" s="68"/>
      <c r="N380" s="76"/>
      <c r="O380" s="75" t="s">
        <v>2544</v>
      </c>
      <c r="R380" s="74"/>
    </row>
    <row r="381" spans="2:18" ht="36" hidden="1" customHeight="1" x14ac:dyDescent="0.25">
      <c r="B381" s="84">
        <v>1824</v>
      </c>
      <c r="C381" s="83" t="s">
        <v>40</v>
      </c>
      <c r="D381" s="82" t="s">
        <v>2719</v>
      </c>
      <c r="E381" s="81">
        <v>43014</v>
      </c>
      <c r="F381" s="27">
        <f t="shared" ca="1" si="5"/>
        <v>1459</v>
      </c>
      <c r="G381" s="79" t="s">
        <v>2720</v>
      </c>
      <c r="H381" s="80"/>
      <c r="I381" s="80"/>
      <c r="J381" s="79" t="s">
        <v>597</v>
      </c>
      <c r="K381" s="78" t="s">
        <v>623</v>
      </c>
      <c r="L381" s="77">
        <v>43019</v>
      </c>
      <c r="M381" s="68"/>
      <c r="N381" s="76"/>
      <c r="O381" s="75"/>
      <c r="R381" s="74"/>
    </row>
    <row r="382" spans="2:18" ht="36" hidden="1" customHeight="1" x14ac:dyDescent="0.25">
      <c r="B382" s="84">
        <v>1645</v>
      </c>
      <c r="C382" s="83" t="s">
        <v>40</v>
      </c>
      <c r="D382" s="82" t="s">
        <v>1030</v>
      </c>
      <c r="E382" s="81">
        <v>43020</v>
      </c>
      <c r="F382" s="27">
        <f t="shared" ca="1" si="5"/>
        <v>1453</v>
      </c>
      <c r="G382" s="79" t="s">
        <v>1031</v>
      </c>
      <c r="H382" s="80"/>
      <c r="I382" s="80"/>
      <c r="J382" s="79" t="s">
        <v>592</v>
      </c>
      <c r="K382" s="78" t="s">
        <v>730</v>
      </c>
      <c r="L382" s="77">
        <v>43031</v>
      </c>
      <c r="M382" s="68"/>
      <c r="N382" s="76"/>
      <c r="O382" s="75" t="s">
        <v>1032</v>
      </c>
      <c r="R382" s="74"/>
    </row>
    <row r="383" spans="2:18" ht="36" hidden="1" customHeight="1" x14ac:dyDescent="0.25">
      <c r="B383" s="84">
        <v>1826</v>
      </c>
      <c r="C383" s="83" t="s">
        <v>12</v>
      </c>
      <c r="D383" s="82" t="s">
        <v>3201</v>
      </c>
      <c r="E383" s="81">
        <v>43020</v>
      </c>
      <c r="F383" s="27">
        <f t="shared" ca="1" si="5"/>
        <v>1453</v>
      </c>
      <c r="G383" s="79" t="s">
        <v>3197</v>
      </c>
      <c r="H383" s="80"/>
      <c r="I383" s="80"/>
      <c r="J383" s="79" t="s">
        <v>1301</v>
      </c>
      <c r="K383" s="78" t="s">
        <v>1301</v>
      </c>
      <c r="L383" s="77">
        <v>43028</v>
      </c>
      <c r="M383" s="68"/>
      <c r="N383" s="76"/>
      <c r="O383" s="75"/>
      <c r="R383" s="74"/>
    </row>
    <row r="384" spans="2:18" ht="36" hidden="1" customHeight="1" x14ac:dyDescent="0.25">
      <c r="B384" s="84">
        <v>1645</v>
      </c>
      <c r="C384" s="83" t="s">
        <v>40</v>
      </c>
      <c r="D384" s="82" t="s">
        <v>1033</v>
      </c>
      <c r="E384" s="81">
        <v>43021</v>
      </c>
      <c r="F384" s="27">
        <f t="shared" ca="1" si="5"/>
        <v>1452</v>
      </c>
      <c r="G384" s="79" t="s">
        <v>1031</v>
      </c>
      <c r="H384" s="80"/>
      <c r="I384" s="80"/>
      <c r="J384" s="79" t="s">
        <v>592</v>
      </c>
      <c r="K384" s="78" t="s">
        <v>580</v>
      </c>
      <c r="L384" s="77">
        <v>43031</v>
      </c>
      <c r="M384" s="68"/>
      <c r="N384" s="76"/>
      <c r="O384" s="75" t="s">
        <v>1034</v>
      </c>
      <c r="R384" s="74"/>
    </row>
    <row r="385" spans="2:18" ht="36" hidden="1" customHeight="1" x14ac:dyDescent="0.25">
      <c r="B385" s="84">
        <v>1816</v>
      </c>
      <c r="C385" s="83" t="s">
        <v>40</v>
      </c>
      <c r="D385" s="82" t="s">
        <v>1290</v>
      </c>
      <c r="E385" s="81">
        <v>43021</v>
      </c>
      <c r="F385" s="27">
        <f t="shared" ca="1" si="5"/>
        <v>1452</v>
      </c>
      <c r="G385" s="79" t="s">
        <v>603</v>
      </c>
      <c r="H385" s="80"/>
      <c r="I385" s="80"/>
      <c r="J385" s="79" t="s">
        <v>597</v>
      </c>
      <c r="K385" s="78" t="s">
        <v>623</v>
      </c>
      <c r="L385" s="77">
        <v>43029</v>
      </c>
      <c r="M385" s="68"/>
      <c r="N385" s="76"/>
      <c r="O385" s="75" t="s">
        <v>1291</v>
      </c>
      <c r="R385" s="74"/>
    </row>
    <row r="386" spans="2:18" ht="36" hidden="1" customHeight="1" x14ac:dyDescent="0.25">
      <c r="B386" s="84">
        <v>1819</v>
      </c>
      <c r="C386" s="83" t="s">
        <v>40</v>
      </c>
      <c r="D386" s="82" t="s">
        <v>1874</v>
      </c>
      <c r="E386" s="81">
        <v>43021</v>
      </c>
      <c r="F386" s="27">
        <f t="shared" ca="1" si="5"/>
        <v>1452</v>
      </c>
      <c r="G386" s="79" t="s">
        <v>603</v>
      </c>
      <c r="H386" s="80"/>
      <c r="I386" s="80"/>
      <c r="J386" s="79" t="s">
        <v>597</v>
      </c>
      <c r="K386" s="78" t="s">
        <v>623</v>
      </c>
      <c r="L386" s="77">
        <v>43029</v>
      </c>
      <c r="M386" s="68"/>
      <c r="N386" s="76"/>
      <c r="O386" s="75" t="s">
        <v>1875</v>
      </c>
      <c r="R386" s="74"/>
    </row>
    <row r="387" spans="2:18" ht="36" hidden="1" customHeight="1" x14ac:dyDescent="0.25">
      <c r="B387" s="84">
        <v>1819</v>
      </c>
      <c r="C387" s="83" t="s">
        <v>17</v>
      </c>
      <c r="D387" s="82" t="s">
        <v>1880</v>
      </c>
      <c r="E387" s="81">
        <v>43024</v>
      </c>
      <c r="F387" s="27">
        <f t="shared" ca="1" si="5"/>
        <v>1449</v>
      </c>
      <c r="G387" s="79" t="s">
        <v>1881</v>
      </c>
      <c r="H387" s="80"/>
      <c r="I387" s="80"/>
      <c r="J387" s="79" t="s">
        <v>579</v>
      </c>
      <c r="K387" s="78" t="s">
        <v>623</v>
      </c>
      <c r="L387" s="77">
        <v>43067</v>
      </c>
      <c r="M387" s="68"/>
      <c r="N387" s="76"/>
      <c r="O387" s="75" t="s">
        <v>1882</v>
      </c>
      <c r="R387" s="74"/>
    </row>
    <row r="388" spans="2:18" ht="36" hidden="1" customHeight="1" x14ac:dyDescent="0.25">
      <c r="B388" s="84">
        <v>1829</v>
      </c>
      <c r="C388" s="83" t="s">
        <v>39</v>
      </c>
      <c r="D388" s="82" t="s">
        <v>3739</v>
      </c>
      <c r="E388" s="81">
        <v>43024</v>
      </c>
      <c r="F388" s="27">
        <f t="shared" ca="1" si="5"/>
        <v>1449</v>
      </c>
      <c r="G388" s="79" t="s">
        <v>603</v>
      </c>
      <c r="H388" s="80"/>
      <c r="I388" s="80"/>
      <c r="J388" s="79" t="s">
        <v>597</v>
      </c>
      <c r="K388" s="78" t="s">
        <v>623</v>
      </c>
      <c r="L388" s="77">
        <v>43029</v>
      </c>
      <c r="M388" s="68"/>
      <c r="N388" s="76"/>
      <c r="O388" s="75" t="s">
        <v>1854</v>
      </c>
      <c r="R388" s="74"/>
    </row>
    <row r="389" spans="2:18" ht="36" hidden="1" customHeight="1" x14ac:dyDescent="0.25">
      <c r="B389" s="84">
        <v>1642</v>
      </c>
      <c r="C389" s="83" t="s">
        <v>40</v>
      </c>
      <c r="D389" s="82" t="s">
        <v>745</v>
      </c>
      <c r="E389" s="81">
        <v>43025</v>
      </c>
      <c r="F389" s="27">
        <f t="shared" ca="1" si="5"/>
        <v>1448</v>
      </c>
      <c r="G389" s="79" t="s">
        <v>746</v>
      </c>
      <c r="H389" s="80"/>
      <c r="I389" s="80"/>
      <c r="J389" s="79" t="s">
        <v>597</v>
      </c>
      <c r="K389" s="78"/>
      <c r="L389" s="77">
        <v>43028</v>
      </c>
      <c r="M389" s="68"/>
      <c r="N389" s="76"/>
      <c r="O389" s="75"/>
      <c r="R389" s="74"/>
    </row>
    <row r="390" spans="2:18" ht="36" hidden="1" customHeight="1" x14ac:dyDescent="0.25">
      <c r="B390" s="84">
        <v>1642</v>
      </c>
      <c r="C390" s="83" t="s">
        <v>40</v>
      </c>
      <c r="D390" s="82" t="s">
        <v>747</v>
      </c>
      <c r="E390" s="81">
        <v>43025</v>
      </c>
      <c r="F390" s="27">
        <f t="shared" ca="1" si="5"/>
        <v>1448</v>
      </c>
      <c r="G390" s="79" t="s">
        <v>746</v>
      </c>
      <c r="H390" s="80"/>
      <c r="I390" s="80"/>
      <c r="J390" s="79" t="s">
        <v>597</v>
      </c>
      <c r="K390" s="78"/>
      <c r="L390" s="77">
        <v>43028</v>
      </c>
      <c r="M390" s="68"/>
      <c r="N390" s="76"/>
      <c r="O390" s="75"/>
      <c r="R390" s="74"/>
    </row>
    <row r="391" spans="2:18" ht="36" hidden="1" customHeight="1" x14ac:dyDescent="0.25">
      <c r="B391" s="84">
        <v>1642</v>
      </c>
      <c r="C391" s="83" t="s">
        <v>24</v>
      </c>
      <c r="D391" s="82" t="s">
        <v>748</v>
      </c>
      <c r="E391" s="81">
        <v>43025</v>
      </c>
      <c r="F391" s="27">
        <f t="shared" ca="1" si="5"/>
        <v>1448</v>
      </c>
      <c r="G391" s="79" t="s">
        <v>746</v>
      </c>
      <c r="H391" s="80"/>
      <c r="I391" s="80"/>
      <c r="J391" s="79" t="s">
        <v>597</v>
      </c>
      <c r="K391" s="78" t="s">
        <v>580</v>
      </c>
      <c r="L391" s="77">
        <v>43028</v>
      </c>
      <c r="M391" s="68"/>
      <c r="N391" s="76"/>
      <c r="O391" s="75"/>
      <c r="R391" s="74"/>
    </row>
    <row r="392" spans="2:18" ht="36" hidden="1" customHeight="1" x14ac:dyDescent="0.25">
      <c r="B392" s="84">
        <v>1817</v>
      </c>
      <c r="C392" s="83" t="s">
        <v>40</v>
      </c>
      <c r="D392" s="82" t="s">
        <v>1483</v>
      </c>
      <c r="E392" s="81">
        <v>43028</v>
      </c>
      <c r="F392" s="27">
        <f t="shared" ca="1" si="5"/>
        <v>1445</v>
      </c>
      <c r="G392" s="79" t="s">
        <v>603</v>
      </c>
      <c r="H392" s="80"/>
      <c r="I392" s="80"/>
      <c r="J392" s="79" t="s">
        <v>597</v>
      </c>
      <c r="K392" s="78" t="s">
        <v>623</v>
      </c>
      <c r="L392" s="77">
        <v>43029</v>
      </c>
      <c r="M392" s="68"/>
      <c r="N392" s="76"/>
      <c r="O392" s="75" t="s">
        <v>1484</v>
      </c>
      <c r="R392" s="74"/>
    </row>
    <row r="393" spans="2:18" ht="36" hidden="1" customHeight="1" x14ac:dyDescent="0.25">
      <c r="B393" s="84">
        <v>1823</v>
      </c>
      <c r="C393" s="83" t="s">
        <v>40</v>
      </c>
      <c r="D393" s="82" t="s">
        <v>1483</v>
      </c>
      <c r="E393" s="81">
        <v>43028</v>
      </c>
      <c r="F393" s="27">
        <f t="shared" ca="1" si="5"/>
        <v>1445</v>
      </c>
      <c r="G393" s="79" t="s">
        <v>2540</v>
      </c>
      <c r="H393" s="80"/>
      <c r="I393" s="80"/>
      <c r="J393" s="79" t="s">
        <v>597</v>
      </c>
      <c r="K393" s="78" t="s">
        <v>623</v>
      </c>
      <c r="L393" s="77">
        <v>43033</v>
      </c>
      <c r="M393" s="68"/>
      <c r="N393" s="76"/>
      <c r="O393" s="75" t="s">
        <v>2545</v>
      </c>
      <c r="R393" s="74"/>
    </row>
    <row r="394" spans="2:18" ht="36" hidden="1" customHeight="1" x14ac:dyDescent="0.25">
      <c r="B394" s="84">
        <v>1822</v>
      </c>
      <c r="C394" s="83" t="s">
        <v>40</v>
      </c>
      <c r="D394" s="82" t="s">
        <v>2411</v>
      </c>
      <c r="E394" s="81">
        <v>43031</v>
      </c>
      <c r="F394" s="27">
        <f t="shared" ca="1" si="5"/>
        <v>1442</v>
      </c>
      <c r="G394" s="79" t="s">
        <v>1325</v>
      </c>
      <c r="H394" s="80"/>
      <c r="I394" s="80"/>
      <c r="J394" s="79" t="s">
        <v>579</v>
      </c>
      <c r="K394" s="78" t="s">
        <v>623</v>
      </c>
      <c r="L394" s="77">
        <v>43045</v>
      </c>
      <c r="M394" s="68"/>
      <c r="N394" s="76"/>
      <c r="O394" s="75"/>
      <c r="R394" s="74"/>
    </row>
    <row r="395" spans="2:18" ht="36" hidden="1" customHeight="1" x14ac:dyDescent="0.25">
      <c r="B395" s="84">
        <v>1822</v>
      </c>
      <c r="C395" s="83" t="s">
        <v>40</v>
      </c>
      <c r="D395" s="82" t="s">
        <v>2412</v>
      </c>
      <c r="E395" s="81">
        <v>43031</v>
      </c>
      <c r="F395" s="27">
        <f t="shared" ca="1" si="5"/>
        <v>1442</v>
      </c>
      <c r="G395" s="79" t="s">
        <v>1325</v>
      </c>
      <c r="H395" s="80"/>
      <c r="I395" s="80"/>
      <c r="J395" s="79" t="s">
        <v>579</v>
      </c>
      <c r="K395" s="78" t="s">
        <v>623</v>
      </c>
      <c r="L395" s="77">
        <v>43045</v>
      </c>
      <c r="M395" s="68"/>
      <c r="N395" s="76"/>
      <c r="O395" s="75"/>
      <c r="R395" s="74"/>
    </row>
    <row r="396" spans="2:18" ht="36" hidden="1" customHeight="1" x14ac:dyDescent="0.25">
      <c r="B396" s="84">
        <v>1824</v>
      </c>
      <c r="C396" s="83" t="s">
        <v>31</v>
      </c>
      <c r="D396" s="82" t="s">
        <v>2725</v>
      </c>
      <c r="E396" s="81">
        <v>43031</v>
      </c>
      <c r="F396" s="27">
        <f t="shared" ca="1" si="5"/>
        <v>1442</v>
      </c>
      <c r="G396" s="79" t="s">
        <v>2723</v>
      </c>
      <c r="H396" s="80"/>
      <c r="I396" s="80"/>
      <c r="J396" s="79" t="s">
        <v>597</v>
      </c>
      <c r="K396" s="78" t="s">
        <v>623</v>
      </c>
      <c r="L396" s="77">
        <v>43040</v>
      </c>
      <c r="M396" s="68"/>
      <c r="N396" s="76" t="s">
        <v>2726</v>
      </c>
      <c r="O396" s="75"/>
      <c r="R396" s="74"/>
    </row>
    <row r="397" spans="2:18" ht="36" hidden="1" customHeight="1" x14ac:dyDescent="0.25">
      <c r="B397" s="84">
        <v>1827</v>
      </c>
      <c r="C397" s="83" t="s">
        <v>37</v>
      </c>
      <c r="D397" s="82" t="s">
        <v>3314</v>
      </c>
      <c r="E397" s="81">
        <v>43031</v>
      </c>
      <c r="F397" s="27">
        <f t="shared" ca="1" si="5"/>
        <v>1442</v>
      </c>
      <c r="G397" s="79" t="s">
        <v>578</v>
      </c>
      <c r="H397" s="80"/>
      <c r="I397" s="80"/>
      <c r="J397" s="79" t="s">
        <v>597</v>
      </c>
      <c r="K397" s="78" t="s">
        <v>623</v>
      </c>
      <c r="L397" s="77">
        <v>43033</v>
      </c>
      <c r="M397" s="68"/>
      <c r="N397" s="76"/>
      <c r="O397" s="75" t="s">
        <v>861</v>
      </c>
      <c r="R397" s="74"/>
    </row>
    <row r="398" spans="2:18" ht="36" hidden="1" customHeight="1" x14ac:dyDescent="0.25">
      <c r="B398" s="84">
        <v>1830</v>
      </c>
      <c r="C398" s="83" t="s">
        <v>40</v>
      </c>
      <c r="D398" s="82" t="s">
        <v>1483</v>
      </c>
      <c r="E398" s="81">
        <v>43031</v>
      </c>
      <c r="F398" s="27">
        <f t="shared" ca="1" si="5"/>
        <v>1442</v>
      </c>
      <c r="G398" s="79" t="s">
        <v>1325</v>
      </c>
      <c r="H398" s="80"/>
      <c r="I398" s="80"/>
      <c r="J398" s="79" t="s">
        <v>597</v>
      </c>
      <c r="K398" s="78" t="s">
        <v>623</v>
      </c>
      <c r="L398" s="77">
        <v>43032</v>
      </c>
      <c r="M398" s="68"/>
      <c r="N398" s="76"/>
      <c r="O398" s="75" t="s">
        <v>3896</v>
      </c>
      <c r="R398" s="74"/>
    </row>
    <row r="399" spans="2:18" ht="36" hidden="1" customHeight="1" x14ac:dyDescent="0.25">
      <c r="B399" s="84">
        <v>1641</v>
      </c>
      <c r="C399" s="83" t="s">
        <v>13</v>
      </c>
      <c r="D399" s="82" t="s">
        <v>618</v>
      </c>
      <c r="E399" s="81">
        <v>43032</v>
      </c>
      <c r="F399" s="27">
        <f t="shared" ca="1" si="5"/>
        <v>1441</v>
      </c>
      <c r="G399" s="79" t="s">
        <v>619</v>
      </c>
      <c r="H399" s="80"/>
      <c r="I399" s="80"/>
      <c r="J399" s="79" t="s">
        <v>592</v>
      </c>
      <c r="K399" s="78" t="s">
        <v>580</v>
      </c>
      <c r="L399" s="77">
        <v>43045</v>
      </c>
      <c r="M399" s="68"/>
      <c r="N399" s="76"/>
      <c r="O399" s="75" t="s">
        <v>620</v>
      </c>
      <c r="R399" s="74"/>
    </row>
    <row r="400" spans="2:18" ht="36" hidden="1" customHeight="1" x14ac:dyDescent="0.25">
      <c r="B400" s="84">
        <v>1816</v>
      </c>
      <c r="C400" s="83" t="s">
        <v>40</v>
      </c>
      <c r="D400" s="82" t="s">
        <v>1293</v>
      </c>
      <c r="E400" s="81">
        <v>43032</v>
      </c>
      <c r="F400" s="27">
        <f t="shared" ref="F400:F463" ca="1" si="6">IF(E400&lt;&gt;"",TODAY()-E400,"")</f>
        <v>1441</v>
      </c>
      <c r="G400" s="79" t="s">
        <v>1294</v>
      </c>
      <c r="H400" s="80"/>
      <c r="I400" s="80"/>
      <c r="J400" s="79" t="s">
        <v>597</v>
      </c>
      <c r="K400" s="78" t="s">
        <v>623</v>
      </c>
      <c r="L400" s="77">
        <v>43033</v>
      </c>
      <c r="M400" s="68"/>
      <c r="N400" s="76"/>
      <c r="O400" s="75" t="s">
        <v>1295</v>
      </c>
      <c r="R400" s="74"/>
    </row>
    <row r="401" spans="2:18" ht="36" hidden="1" customHeight="1" x14ac:dyDescent="0.25">
      <c r="B401" s="84">
        <v>1816</v>
      </c>
      <c r="C401" s="83" t="s">
        <v>17</v>
      </c>
      <c r="D401" s="82" t="s">
        <v>1299</v>
      </c>
      <c r="E401" s="81">
        <v>43032</v>
      </c>
      <c r="F401" s="27">
        <f t="shared" ca="1" si="6"/>
        <v>1441</v>
      </c>
      <c r="G401" s="79" t="s">
        <v>1300</v>
      </c>
      <c r="H401" s="80"/>
      <c r="I401" s="80"/>
      <c r="J401" s="79" t="s">
        <v>1301</v>
      </c>
      <c r="K401" s="78" t="s">
        <v>1301</v>
      </c>
      <c r="L401" s="77">
        <v>43056</v>
      </c>
      <c r="M401" s="68"/>
      <c r="N401" s="76"/>
      <c r="O401" s="75" t="s">
        <v>1302</v>
      </c>
      <c r="R401" s="74"/>
    </row>
    <row r="402" spans="2:18" ht="36" hidden="1" customHeight="1" x14ac:dyDescent="0.25">
      <c r="B402" s="84">
        <v>1817</v>
      </c>
      <c r="C402" s="83" t="s">
        <v>40</v>
      </c>
      <c r="D402" s="82" t="s">
        <v>1485</v>
      </c>
      <c r="E402" s="81">
        <v>43032</v>
      </c>
      <c r="F402" s="27">
        <f t="shared" ca="1" si="6"/>
        <v>1441</v>
      </c>
      <c r="G402" s="79" t="s">
        <v>1470</v>
      </c>
      <c r="H402" s="80"/>
      <c r="I402" s="80"/>
      <c r="J402" s="79" t="s">
        <v>579</v>
      </c>
      <c r="K402" s="78" t="s">
        <v>623</v>
      </c>
      <c r="L402" s="77">
        <v>43045</v>
      </c>
      <c r="M402" s="68"/>
      <c r="N402" s="76"/>
      <c r="O402" s="75"/>
      <c r="R402" s="74"/>
    </row>
    <row r="403" spans="2:18" ht="36" hidden="1" customHeight="1" x14ac:dyDescent="0.25">
      <c r="B403" s="84">
        <v>1819</v>
      </c>
      <c r="C403" s="83" t="s">
        <v>16</v>
      </c>
      <c r="D403" s="82" t="s">
        <v>1876</v>
      </c>
      <c r="E403" s="81">
        <v>43032</v>
      </c>
      <c r="F403" s="27">
        <f t="shared" ca="1" si="6"/>
        <v>1441</v>
      </c>
      <c r="G403" s="79" t="s">
        <v>1877</v>
      </c>
      <c r="H403" s="80"/>
      <c r="I403" s="80"/>
      <c r="J403" s="79" t="s">
        <v>579</v>
      </c>
      <c r="K403" s="78" t="s">
        <v>623</v>
      </c>
      <c r="L403" s="77">
        <v>43045</v>
      </c>
      <c r="M403" s="68"/>
      <c r="N403" s="76"/>
      <c r="O403" s="75"/>
      <c r="R403" s="74"/>
    </row>
    <row r="404" spans="2:18" ht="36" hidden="1" customHeight="1" x14ac:dyDescent="0.25">
      <c r="B404" s="84">
        <v>1825</v>
      </c>
      <c r="C404" s="83" t="s">
        <v>12</v>
      </c>
      <c r="D404" s="82" t="s">
        <v>2992</v>
      </c>
      <c r="E404" s="81">
        <v>43032</v>
      </c>
      <c r="F404" s="27">
        <f t="shared" ca="1" si="6"/>
        <v>1441</v>
      </c>
      <c r="G404" s="79" t="s">
        <v>1294</v>
      </c>
      <c r="H404" s="80"/>
      <c r="I404" s="80"/>
      <c r="J404" s="79" t="s">
        <v>597</v>
      </c>
      <c r="K404" s="78" t="s">
        <v>623</v>
      </c>
      <c r="L404" s="77">
        <v>43038</v>
      </c>
      <c r="M404" s="68"/>
      <c r="N404" s="76"/>
      <c r="O404" s="75" t="s">
        <v>2993</v>
      </c>
      <c r="R404" s="74"/>
    </row>
    <row r="405" spans="2:18" ht="36" hidden="1" customHeight="1" x14ac:dyDescent="0.25">
      <c r="B405" s="84">
        <v>1827</v>
      </c>
      <c r="C405" s="83"/>
      <c r="D405" s="82" t="s">
        <v>3315</v>
      </c>
      <c r="E405" s="81">
        <v>43033</v>
      </c>
      <c r="F405" s="27">
        <f t="shared" ca="1" si="6"/>
        <v>1440</v>
      </c>
      <c r="G405" s="79"/>
      <c r="H405" s="80"/>
      <c r="I405" s="80"/>
      <c r="J405" s="79"/>
      <c r="K405" s="78"/>
      <c r="L405" s="77">
        <v>43033</v>
      </c>
      <c r="M405" s="68"/>
      <c r="N405" s="76"/>
      <c r="O405" s="75" t="s">
        <v>3316</v>
      </c>
      <c r="R405" s="74"/>
    </row>
    <row r="406" spans="2:18" ht="36" hidden="1" customHeight="1" x14ac:dyDescent="0.25">
      <c r="B406" s="84">
        <v>1828</v>
      </c>
      <c r="C406" s="83" t="s">
        <v>40</v>
      </c>
      <c r="D406" s="82" t="s">
        <v>2403</v>
      </c>
      <c r="E406" s="81">
        <v>43033</v>
      </c>
      <c r="F406" s="27">
        <f t="shared" ca="1" si="6"/>
        <v>1440</v>
      </c>
      <c r="G406" s="79"/>
      <c r="H406" s="80"/>
      <c r="I406" s="80"/>
      <c r="J406" s="79"/>
      <c r="K406" s="78"/>
      <c r="L406" s="77">
        <v>43033</v>
      </c>
      <c r="M406" s="68"/>
      <c r="N406" s="76"/>
      <c r="O406" s="75" t="s">
        <v>3496</v>
      </c>
      <c r="R406" s="74"/>
    </row>
    <row r="407" spans="2:18" ht="36" hidden="1" customHeight="1" x14ac:dyDescent="0.25">
      <c r="B407" s="84">
        <v>1642</v>
      </c>
      <c r="C407" s="83" t="s">
        <v>23</v>
      </c>
      <c r="D407" s="82" t="s">
        <v>749</v>
      </c>
      <c r="E407" s="81">
        <v>43034</v>
      </c>
      <c r="F407" s="27">
        <f t="shared" ca="1" si="6"/>
        <v>1439</v>
      </c>
      <c r="G407" s="79" t="s">
        <v>750</v>
      </c>
      <c r="H407" s="80"/>
      <c r="I407" s="80"/>
      <c r="J407" s="79" t="s">
        <v>597</v>
      </c>
      <c r="K407" s="78" t="s">
        <v>580</v>
      </c>
      <c r="L407" s="77">
        <v>43039</v>
      </c>
      <c r="M407" s="68"/>
      <c r="N407" s="76"/>
      <c r="O407" s="75" t="s">
        <v>751</v>
      </c>
      <c r="R407" s="74"/>
    </row>
    <row r="408" spans="2:18" ht="36" hidden="1" customHeight="1" x14ac:dyDescent="0.25">
      <c r="B408" s="84">
        <v>1821</v>
      </c>
      <c r="C408" s="83" t="s">
        <v>27</v>
      </c>
      <c r="D408" s="82" t="s">
        <v>2274</v>
      </c>
      <c r="E408" s="81">
        <v>43034</v>
      </c>
      <c r="F408" s="27">
        <f t="shared" ca="1" si="6"/>
        <v>1439</v>
      </c>
      <c r="G408" s="79" t="s">
        <v>2275</v>
      </c>
      <c r="H408" s="80"/>
      <c r="I408" s="80"/>
      <c r="J408" s="79" t="s">
        <v>579</v>
      </c>
      <c r="K408" s="78" t="s">
        <v>623</v>
      </c>
      <c r="L408" s="77">
        <v>43045</v>
      </c>
      <c r="M408" s="68"/>
      <c r="N408" s="76"/>
      <c r="O408" s="75"/>
      <c r="R408" s="74"/>
    </row>
    <row r="409" spans="2:18" ht="36" hidden="1" customHeight="1" x14ac:dyDescent="0.25">
      <c r="B409" s="84">
        <v>1828</v>
      </c>
      <c r="C409" s="83" t="s">
        <v>23</v>
      </c>
      <c r="D409" s="82" t="s">
        <v>3497</v>
      </c>
      <c r="E409" s="81">
        <v>43034</v>
      </c>
      <c r="F409" s="27">
        <f t="shared" ca="1" si="6"/>
        <v>1439</v>
      </c>
      <c r="G409" s="79" t="s">
        <v>578</v>
      </c>
      <c r="H409" s="80"/>
      <c r="I409" s="80"/>
      <c r="J409" s="79" t="s">
        <v>579</v>
      </c>
      <c r="K409" s="78" t="s">
        <v>623</v>
      </c>
      <c r="L409" s="77">
        <v>43045</v>
      </c>
      <c r="M409" s="68"/>
      <c r="N409" s="76"/>
      <c r="O409" s="75"/>
      <c r="R409" s="74"/>
    </row>
    <row r="410" spans="2:18" ht="36" hidden="1" customHeight="1" x14ac:dyDescent="0.25">
      <c r="B410" s="84">
        <v>1829</v>
      </c>
      <c r="C410" s="83" t="s">
        <v>39</v>
      </c>
      <c r="D410" s="82" t="s">
        <v>3740</v>
      </c>
      <c r="E410" s="81">
        <v>43034</v>
      </c>
      <c r="F410" s="27">
        <f t="shared" ca="1" si="6"/>
        <v>1439</v>
      </c>
      <c r="G410" s="79" t="s">
        <v>1863</v>
      </c>
      <c r="H410" s="80"/>
      <c r="I410" s="80"/>
      <c r="J410" s="79" t="s">
        <v>579</v>
      </c>
      <c r="K410" s="78" t="s">
        <v>623</v>
      </c>
      <c r="L410" s="77">
        <v>43045</v>
      </c>
      <c r="M410" s="68"/>
      <c r="N410" s="76"/>
      <c r="O410" s="75"/>
      <c r="R410" s="74"/>
    </row>
    <row r="411" spans="2:18" ht="36" hidden="1" customHeight="1" x14ac:dyDescent="0.25">
      <c r="B411" s="84">
        <v>1645</v>
      </c>
      <c r="C411" s="83" t="s">
        <v>40</v>
      </c>
      <c r="D411" s="82" t="s">
        <v>1035</v>
      </c>
      <c r="E411" s="81">
        <v>43035</v>
      </c>
      <c r="F411" s="27">
        <f t="shared" ca="1" si="6"/>
        <v>1438</v>
      </c>
      <c r="G411" s="79" t="s">
        <v>619</v>
      </c>
      <c r="H411" s="80"/>
      <c r="I411" s="80"/>
      <c r="J411" s="79" t="s">
        <v>592</v>
      </c>
      <c r="K411" s="78" t="s">
        <v>580</v>
      </c>
      <c r="L411" s="77">
        <v>43045</v>
      </c>
      <c r="M411" s="68"/>
      <c r="N411" s="76"/>
      <c r="O411" s="75"/>
      <c r="R411" s="74"/>
    </row>
    <row r="412" spans="2:18" ht="36" hidden="1" customHeight="1" x14ac:dyDescent="0.25">
      <c r="B412" s="84">
        <v>1817</v>
      </c>
      <c r="C412" s="83" t="s">
        <v>11</v>
      </c>
      <c r="D412" s="82" t="s">
        <v>1503</v>
      </c>
      <c r="E412" s="81">
        <v>43035</v>
      </c>
      <c r="F412" s="27">
        <f t="shared" ca="1" si="6"/>
        <v>1438</v>
      </c>
      <c r="G412" s="79" t="s">
        <v>1504</v>
      </c>
      <c r="H412" s="80"/>
      <c r="I412" s="80"/>
      <c r="J412" s="79" t="s">
        <v>1505</v>
      </c>
      <c r="K412" s="78" t="s">
        <v>623</v>
      </c>
      <c r="L412" s="77">
        <v>43091</v>
      </c>
      <c r="M412" s="68"/>
      <c r="N412" s="76"/>
      <c r="O412" s="75" t="s">
        <v>1506</v>
      </c>
      <c r="R412" s="74"/>
    </row>
    <row r="413" spans="2:18" ht="36" hidden="1" customHeight="1" x14ac:dyDescent="0.25">
      <c r="B413" s="84">
        <v>1824</v>
      </c>
      <c r="C413" s="83" t="s">
        <v>23</v>
      </c>
      <c r="D413" s="82" t="s">
        <v>2727</v>
      </c>
      <c r="E413" s="81">
        <v>43035</v>
      </c>
      <c r="F413" s="27">
        <f t="shared" ca="1" si="6"/>
        <v>1438</v>
      </c>
      <c r="G413" s="79" t="s">
        <v>2096</v>
      </c>
      <c r="H413" s="80"/>
      <c r="I413" s="80"/>
      <c r="J413" s="79" t="s">
        <v>579</v>
      </c>
      <c r="K413" s="78" t="s">
        <v>623</v>
      </c>
      <c r="L413" s="77">
        <v>43045</v>
      </c>
      <c r="M413" s="68"/>
      <c r="N413" s="76"/>
      <c r="O413" s="75"/>
      <c r="R413" s="74"/>
    </row>
    <row r="414" spans="2:18" ht="36" hidden="1" customHeight="1" x14ac:dyDescent="0.25">
      <c r="B414" s="84">
        <v>1825</v>
      </c>
      <c r="C414" s="83" t="s">
        <v>9</v>
      </c>
      <c r="D414" s="82" t="s">
        <v>2994</v>
      </c>
      <c r="E414" s="81">
        <v>43035</v>
      </c>
      <c r="F414" s="27">
        <f t="shared" ca="1" si="6"/>
        <v>1438</v>
      </c>
      <c r="G414" s="79" t="s">
        <v>1325</v>
      </c>
      <c r="H414" s="80"/>
      <c r="I414" s="80"/>
      <c r="J414" s="79" t="s">
        <v>597</v>
      </c>
      <c r="K414" s="78" t="s">
        <v>623</v>
      </c>
      <c r="L414" s="77">
        <v>43038</v>
      </c>
      <c r="M414" s="68"/>
      <c r="N414" s="76"/>
      <c r="O414" s="75" t="s">
        <v>2995</v>
      </c>
      <c r="R414" s="74"/>
    </row>
    <row r="415" spans="2:18" ht="36" hidden="1" customHeight="1" x14ac:dyDescent="0.25">
      <c r="B415" s="84">
        <v>1827</v>
      </c>
      <c r="C415" s="83" t="s">
        <v>18</v>
      </c>
      <c r="D415" s="82" t="s">
        <v>3317</v>
      </c>
      <c r="E415" s="81">
        <v>43035</v>
      </c>
      <c r="F415" s="27">
        <f t="shared" ca="1" si="6"/>
        <v>1438</v>
      </c>
      <c r="G415" s="79" t="s">
        <v>3318</v>
      </c>
      <c r="H415" s="80"/>
      <c r="I415" s="80"/>
      <c r="J415" s="79" t="s">
        <v>597</v>
      </c>
      <c r="K415" s="78" t="s">
        <v>623</v>
      </c>
      <c r="L415" s="77">
        <v>43038</v>
      </c>
      <c r="M415" s="68"/>
      <c r="N415" s="76" t="s">
        <v>3319</v>
      </c>
      <c r="O415" s="75" t="s">
        <v>3320</v>
      </c>
      <c r="R415" s="74"/>
    </row>
    <row r="416" spans="2:18" ht="36" hidden="1" customHeight="1" x14ac:dyDescent="0.25">
      <c r="B416" s="84">
        <v>1827</v>
      </c>
      <c r="C416" s="83" t="s">
        <v>11</v>
      </c>
      <c r="D416" s="82" t="s">
        <v>3321</v>
      </c>
      <c r="E416" s="81">
        <v>43035</v>
      </c>
      <c r="F416" s="27">
        <f t="shared" ca="1" si="6"/>
        <v>1438</v>
      </c>
      <c r="G416" s="79" t="s">
        <v>3318</v>
      </c>
      <c r="H416" s="80"/>
      <c r="I416" s="80"/>
      <c r="J416" s="79" t="s">
        <v>597</v>
      </c>
      <c r="K416" s="78" t="s">
        <v>623</v>
      </c>
      <c r="L416" s="77">
        <v>43038</v>
      </c>
      <c r="M416" s="68"/>
      <c r="N416" s="76"/>
      <c r="O416" s="75" t="s">
        <v>3322</v>
      </c>
      <c r="R416" s="74"/>
    </row>
    <row r="417" spans="2:18" ht="36" hidden="1" customHeight="1" x14ac:dyDescent="0.25">
      <c r="B417" s="84">
        <v>1830</v>
      </c>
      <c r="C417" s="83" t="s">
        <v>11</v>
      </c>
      <c r="D417" s="82" t="s">
        <v>1503</v>
      </c>
      <c r="E417" s="81">
        <v>43035</v>
      </c>
      <c r="F417" s="27">
        <f t="shared" ca="1" si="6"/>
        <v>1438</v>
      </c>
      <c r="G417" s="79" t="s">
        <v>1328</v>
      </c>
      <c r="H417" s="80"/>
      <c r="I417" s="80"/>
      <c r="J417" s="79" t="s">
        <v>579</v>
      </c>
      <c r="K417" s="78" t="s">
        <v>623</v>
      </c>
      <c r="L417" s="77">
        <v>43045</v>
      </c>
      <c r="M417" s="68"/>
      <c r="N417" s="76"/>
      <c r="O417" s="75"/>
      <c r="R417" s="74"/>
    </row>
    <row r="418" spans="2:18" ht="36" hidden="1" customHeight="1" x14ac:dyDescent="0.25">
      <c r="B418" s="84">
        <v>1822</v>
      </c>
      <c r="C418" s="83" t="s">
        <v>37</v>
      </c>
      <c r="D418" s="82" t="s">
        <v>1870</v>
      </c>
      <c r="E418" s="81">
        <v>43038</v>
      </c>
      <c r="F418" s="27">
        <f t="shared" ca="1" si="6"/>
        <v>1435</v>
      </c>
      <c r="G418" s="79" t="s">
        <v>1325</v>
      </c>
      <c r="H418" s="80"/>
      <c r="I418" s="80"/>
      <c r="J418" s="79" t="s">
        <v>579</v>
      </c>
      <c r="K418" s="78" t="s">
        <v>623</v>
      </c>
      <c r="L418" s="77">
        <v>43045</v>
      </c>
      <c r="M418" s="68"/>
      <c r="N418" s="76"/>
      <c r="O418" s="75"/>
      <c r="R418" s="74"/>
    </row>
    <row r="419" spans="2:18" ht="36" hidden="1" customHeight="1" x14ac:dyDescent="0.25">
      <c r="B419" s="84">
        <v>1823</v>
      </c>
      <c r="C419" s="83" t="s">
        <v>37</v>
      </c>
      <c r="D419" s="82" t="s">
        <v>1482</v>
      </c>
      <c r="E419" s="81">
        <v>43038</v>
      </c>
      <c r="F419" s="27">
        <f t="shared" ca="1" si="6"/>
        <v>1435</v>
      </c>
      <c r="G419" s="79"/>
      <c r="H419" s="80"/>
      <c r="I419" s="80"/>
      <c r="J419" s="79"/>
      <c r="K419" s="78"/>
      <c r="L419" s="77">
        <v>43035</v>
      </c>
      <c r="M419" s="68"/>
      <c r="N419" s="76" t="s">
        <v>2546</v>
      </c>
      <c r="O419" s="75"/>
      <c r="R419" s="74"/>
    </row>
    <row r="420" spans="2:18" ht="36" hidden="1" customHeight="1" x14ac:dyDescent="0.25">
      <c r="B420" s="84">
        <v>1823</v>
      </c>
      <c r="C420" s="83" t="s">
        <v>40</v>
      </c>
      <c r="D420" s="82" t="s">
        <v>2551</v>
      </c>
      <c r="E420" s="81">
        <v>43038</v>
      </c>
      <c r="F420" s="27">
        <f t="shared" ca="1" si="6"/>
        <v>1435</v>
      </c>
      <c r="G420" s="79" t="s">
        <v>1074</v>
      </c>
      <c r="H420" s="80"/>
      <c r="I420" s="80"/>
      <c r="J420" s="79" t="s">
        <v>1074</v>
      </c>
      <c r="K420" s="78" t="s">
        <v>2552</v>
      </c>
      <c r="L420" s="77">
        <v>43063</v>
      </c>
      <c r="M420" s="68"/>
      <c r="N420" s="76"/>
      <c r="O420" s="75" t="s">
        <v>2553</v>
      </c>
      <c r="R420" s="74"/>
    </row>
    <row r="421" spans="2:18" ht="36" hidden="1" customHeight="1" x14ac:dyDescent="0.25">
      <c r="B421" s="84">
        <v>1823</v>
      </c>
      <c r="C421" s="83" t="s">
        <v>36</v>
      </c>
      <c r="D421" s="82" t="s">
        <v>2554</v>
      </c>
      <c r="E421" s="81">
        <v>43038</v>
      </c>
      <c r="F421" s="27">
        <f t="shared" ca="1" si="6"/>
        <v>1435</v>
      </c>
      <c r="G421" s="79" t="s">
        <v>1074</v>
      </c>
      <c r="H421" s="80"/>
      <c r="I421" s="80"/>
      <c r="J421" s="79" t="s">
        <v>1074</v>
      </c>
      <c r="K421" s="78" t="s">
        <v>2552</v>
      </c>
      <c r="L421" s="77">
        <v>43063</v>
      </c>
      <c r="M421" s="68"/>
      <c r="N421" s="76"/>
      <c r="O421" s="75" t="s">
        <v>2555</v>
      </c>
      <c r="R421" s="74"/>
    </row>
    <row r="422" spans="2:18" ht="36" hidden="1" customHeight="1" x14ac:dyDescent="0.25">
      <c r="B422" s="84">
        <v>1643</v>
      </c>
      <c r="C422" s="83"/>
      <c r="D422" s="82" t="s">
        <v>853</v>
      </c>
      <c r="E422" s="81">
        <v>43039</v>
      </c>
      <c r="F422" s="27">
        <f t="shared" ca="1" si="6"/>
        <v>1434</v>
      </c>
      <c r="G422" s="79" t="s">
        <v>750</v>
      </c>
      <c r="H422" s="80"/>
      <c r="I422" s="80"/>
      <c r="J422" s="79" t="s">
        <v>597</v>
      </c>
      <c r="K422" s="78" t="s">
        <v>580</v>
      </c>
      <c r="L422" s="77">
        <v>43039</v>
      </c>
      <c r="M422" s="68"/>
      <c r="N422" s="76"/>
      <c r="O422" s="75" t="s">
        <v>854</v>
      </c>
      <c r="R422" s="74"/>
    </row>
    <row r="423" spans="2:18" ht="36" hidden="1" customHeight="1" x14ac:dyDescent="0.25">
      <c r="B423" s="84">
        <v>1646</v>
      </c>
      <c r="C423" s="83"/>
      <c r="D423" s="82" t="s">
        <v>1113</v>
      </c>
      <c r="E423" s="81">
        <v>43039</v>
      </c>
      <c r="F423" s="27">
        <f t="shared" ca="1" si="6"/>
        <v>1434</v>
      </c>
      <c r="G423" s="79" t="s">
        <v>750</v>
      </c>
      <c r="H423" s="80"/>
      <c r="I423" s="80"/>
      <c r="J423" s="79" t="s">
        <v>597</v>
      </c>
      <c r="K423" s="78" t="s">
        <v>580</v>
      </c>
      <c r="L423" s="77">
        <v>43039</v>
      </c>
      <c r="M423" s="68"/>
      <c r="N423" s="76"/>
      <c r="O423" s="75"/>
      <c r="R423" s="74"/>
    </row>
    <row r="424" spans="2:18" ht="36" hidden="1" customHeight="1" x14ac:dyDescent="0.25">
      <c r="B424" s="84">
        <v>1829</v>
      </c>
      <c r="C424" s="83" t="s">
        <v>40</v>
      </c>
      <c r="D424" s="82" t="s">
        <v>3741</v>
      </c>
      <c r="E424" s="81">
        <v>43039</v>
      </c>
      <c r="F424" s="27">
        <f t="shared" ca="1" si="6"/>
        <v>1434</v>
      </c>
      <c r="G424" s="79" t="s">
        <v>1275</v>
      </c>
      <c r="H424" s="80"/>
      <c r="I424" s="80"/>
      <c r="J424" s="79" t="s">
        <v>765</v>
      </c>
      <c r="K424" s="78" t="s">
        <v>623</v>
      </c>
      <c r="L424" s="77">
        <v>43050</v>
      </c>
      <c r="M424" s="68"/>
      <c r="N424" s="76"/>
      <c r="O424" s="75" t="s">
        <v>3742</v>
      </c>
      <c r="R424" s="74"/>
    </row>
    <row r="425" spans="2:18" ht="36" hidden="1" customHeight="1" x14ac:dyDescent="0.25">
      <c r="B425" s="84">
        <v>1821</v>
      </c>
      <c r="C425" s="83" t="s">
        <v>19</v>
      </c>
      <c r="D425" s="82" t="s">
        <v>1941</v>
      </c>
      <c r="E425" s="81">
        <v>43040</v>
      </c>
      <c r="F425" s="27">
        <f t="shared" ca="1" si="6"/>
        <v>1433</v>
      </c>
      <c r="G425" s="79" t="s">
        <v>2275</v>
      </c>
      <c r="H425" s="80"/>
      <c r="I425" s="80"/>
      <c r="J425" s="79" t="s">
        <v>579</v>
      </c>
      <c r="K425" s="78" t="s">
        <v>623</v>
      </c>
      <c r="L425" s="77">
        <v>43045</v>
      </c>
      <c r="M425" s="68"/>
      <c r="N425" s="76"/>
      <c r="O425" s="75"/>
      <c r="R425" s="74"/>
    </row>
    <row r="426" spans="2:18" ht="36" hidden="1" customHeight="1" x14ac:dyDescent="0.25">
      <c r="B426" s="84">
        <v>1824</v>
      </c>
      <c r="C426" s="83" t="s">
        <v>9</v>
      </c>
      <c r="D426" s="82" t="s">
        <v>2722</v>
      </c>
      <c r="E426" s="81">
        <v>43040</v>
      </c>
      <c r="F426" s="27">
        <f t="shared" ca="1" si="6"/>
        <v>1433</v>
      </c>
      <c r="G426" s="79" t="s">
        <v>2723</v>
      </c>
      <c r="H426" s="80"/>
      <c r="I426" s="80"/>
      <c r="J426" s="79" t="s">
        <v>597</v>
      </c>
      <c r="K426" s="78" t="s">
        <v>623</v>
      </c>
      <c r="L426" s="77">
        <v>43040</v>
      </c>
      <c r="M426" s="68"/>
      <c r="N426" s="76"/>
      <c r="O426" s="75" t="s">
        <v>2724</v>
      </c>
      <c r="R426" s="74"/>
    </row>
    <row r="427" spans="2:18" ht="36" hidden="1" customHeight="1" x14ac:dyDescent="0.25">
      <c r="B427" s="84">
        <v>1824</v>
      </c>
      <c r="C427" s="83" t="s">
        <v>17</v>
      </c>
      <c r="D427" s="82" t="s">
        <v>2728</v>
      </c>
      <c r="E427" s="81">
        <v>43040</v>
      </c>
      <c r="F427" s="27">
        <f t="shared" ca="1" si="6"/>
        <v>1433</v>
      </c>
      <c r="G427" s="79" t="s">
        <v>2096</v>
      </c>
      <c r="H427" s="80"/>
      <c r="I427" s="80"/>
      <c r="J427" s="79" t="s">
        <v>579</v>
      </c>
      <c r="K427" s="78" t="s">
        <v>623</v>
      </c>
      <c r="L427" s="77">
        <v>43045</v>
      </c>
      <c r="M427" s="68"/>
      <c r="N427" s="76"/>
      <c r="O427" s="75"/>
      <c r="R427" s="74"/>
    </row>
    <row r="428" spans="2:18" ht="36" hidden="1" customHeight="1" x14ac:dyDescent="0.25">
      <c r="B428" s="84">
        <v>1828</v>
      </c>
      <c r="C428" s="83" t="s">
        <v>35</v>
      </c>
      <c r="D428" s="82" t="s">
        <v>3498</v>
      </c>
      <c r="E428" s="81">
        <v>43040</v>
      </c>
      <c r="F428" s="27">
        <f t="shared" ca="1" si="6"/>
        <v>1433</v>
      </c>
      <c r="G428" s="79" t="s">
        <v>1275</v>
      </c>
      <c r="H428" s="80"/>
      <c r="I428" s="80"/>
      <c r="J428" s="79" t="s">
        <v>765</v>
      </c>
      <c r="K428" s="78" t="s">
        <v>623</v>
      </c>
      <c r="L428" s="77">
        <v>43050</v>
      </c>
      <c r="M428" s="68"/>
      <c r="N428" s="76"/>
      <c r="O428" s="75" t="s">
        <v>3499</v>
      </c>
      <c r="R428" s="74"/>
    </row>
    <row r="429" spans="2:18" ht="36" hidden="1" customHeight="1" x14ac:dyDescent="0.25">
      <c r="B429" s="84">
        <v>1642</v>
      </c>
      <c r="C429" s="83" t="s">
        <v>12</v>
      </c>
      <c r="D429" s="82" t="s">
        <v>752</v>
      </c>
      <c r="E429" s="81">
        <v>43041</v>
      </c>
      <c r="F429" s="27">
        <f t="shared" ca="1" si="6"/>
        <v>1432</v>
      </c>
      <c r="G429" s="79" t="s">
        <v>753</v>
      </c>
      <c r="H429" s="80"/>
      <c r="I429" s="80"/>
      <c r="J429" s="79" t="s">
        <v>597</v>
      </c>
      <c r="K429" s="78" t="s">
        <v>580</v>
      </c>
      <c r="L429" s="77">
        <v>43056</v>
      </c>
      <c r="M429" s="68"/>
      <c r="N429" s="76"/>
      <c r="O429" s="75" t="s">
        <v>754</v>
      </c>
      <c r="R429" s="74"/>
    </row>
    <row r="430" spans="2:18" ht="36" hidden="1" customHeight="1" x14ac:dyDescent="0.25">
      <c r="B430" s="84">
        <v>1642</v>
      </c>
      <c r="C430" s="83" t="s">
        <v>40</v>
      </c>
      <c r="D430" s="82" t="s">
        <v>755</v>
      </c>
      <c r="E430" s="81">
        <v>43041</v>
      </c>
      <c r="F430" s="27">
        <f t="shared" ca="1" si="6"/>
        <v>1432</v>
      </c>
      <c r="G430" s="79" t="s">
        <v>753</v>
      </c>
      <c r="H430" s="80"/>
      <c r="I430" s="80"/>
      <c r="J430" s="79" t="s">
        <v>597</v>
      </c>
      <c r="K430" s="78" t="s">
        <v>580</v>
      </c>
      <c r="L430" s="77">
        <v>43056</v>
      </c>
      <c r="M430" s="68"/>
      <c r="N430" s="76"/>
      <c r="O430" s="75" t="s">
        <v>756</v>
      </c>
      <c r="R430" s="74"/>
    </row>
    <row r="431" spans="2:18" ht="36" hidden="1" customHeight="1" x14ac:dyDescent="0.25">
      <c r="B431" s="84">
        <v>1823</v>
      </c>
      <c r="C431" s="83" t="s">
        <v>9</v>
      </c>
      <c r="D431" s="82" t="s">
        <v>2547</v>
      </c>
      <c r="E431" s="81">
        <v>43041</v>
      </c>
      <c r="F431" s="27">
        <f t="shared" ca="1" si="6"/>
        <v>1432</v>
      </c>
      <c r="G431" s="79" t="s">
        <v>1275</v>
      </c>
      <c r="H431" s="80"/>
      <c r="I431" s="80"/>
      <c r="J431" s="79" t="s">
        <v>765</v>
      </c>
      <c r="K431" s="78" t="s">
        <v>623</v>
      </c>
      <c r="L431" s="77">
        <v>43042</v>
      </c>
      <c r="M431" s="68"/>
      <c r="N431" s="76"/>
      <c r="O431" s="75" t="s">
        <v>2548</v>
      </c>
      <c r="R431" s="74"/>
    </row>
    <row r="432" spans="2:18" ht="36" hidden="1" customHeight="1" x14ac:dyDescent="0.25">
      <c r="B432" s="84">
        <v>1825</v>
      </c>
      <c r="C432" s="83" t="s">
        <v>15</v>
      </c>
      <c r="D432" s="82" t="s">
        <v>2996</v>
      </c>
      <c r="E432" s="81">
        <v>43041</v>
      </c>
      <c r="F432" s="27">
        <f t="shared" ca="1" si="6"/>
        <v>1432</v>
      </c>
      <c r="G432" s="79" t="s">
        <v>2997</v>
      </c>
      <c r="H432" s="80"/>
      <c r="I432" s="80"/>
      <c r="J432" s="79" t="s">
        <v>579</v>
      </c>
      <c r="K432" s="78" t="s">
        <v>623</v>
      </c>
      <c r="L432" s="77">
        <v>43045</v>
      </c>
      <c r="M432" s="68"/>
      <c r="N432" s="76"/>
      <c r="O432" s="75"/>
      <c r="R432" s="74"/>
    </row>
    <row r="433" spans="2:18" ht="36" hidden="1" customHeight="1" x14ac:dyDescent="0.25">
      <c r="B433" s="84">
        <v>1825</v>
      </c>
      <c r="C433" s="83" t="s">
        <v>23</v>
      </c>
      <c r="D433" s="82" t="s">
        <v>2998</v>
      </c>
      <c r="E433" s="81">
        <v>43041</v>
      </c>
      <c r="F433" s="27">
        <f t="shared" ca="1" si="6"/>
        <v>1432</v>
      </c>
      <c r="G433" s="79" t="s">
        <v>2997</v>
      </c>
      <c r="H433" s="80"/>
      <c r="I433" s="80"/>
      <c r="J433" s="79" t="s">
        <v>579</v>
      </c>
      <c r="K433" s="78" t="s">
        <v>623</v>
      </c>
      <c r="L433" s="77">
        <v>43045</v>
      </c>
      <c r="M433" s="68"/>
      <c r="N433" s="76"/>
      <c r="O433" s="75"/>
      <c r="R433" s="74"/>
    </row>
    <row r="434" spans="2:18" ht="36" hidden="1" customHeight="1" x14ac:dyDescent="0.25">
      <c r="B434" s="84">
        <v>1827</v>
      </c>
      <c r="C434" s="83" t="s">
        <v>23</v>
      </c>
      <c r="D434" s="82" t="s">
        <v>2998</v>
      </c>
      <c r="E434" s="81">
        <v>43041</v>
      </c>
      <c r="F434" s="27">
        <f t="shared" ca="1" si="6"/>
        <v>1432</v>
      </c>
      <c r="G434" s="79" t="s">
        <v>578</v>
      </c>
      <c r="H434" s="80"/>
      <c r="I434" s="80"/>
      <c r="J434" s="79" t="s">
        <v>579</v>
      </c>
      <c r="K434" s="78" t="s">
        <v>623</v>
      </c>
      <c r="L434" s="77">
        <v>43045</v>
      </c>
      <c r="M434" s="68"/>
      <c r="N434" s="76"/>
      <c r="O434" s="75"/>
      <c r="R434" s="74"/>
    </row>
    <row r="435" spans="2:18" ht="36" hidden="1" customHeight="1" x14ac:dyDescent="0.25">
      <c r="B435" s="84">
        <v>1817</v>
      </c>
      <c r="C435" s="83" t="s">
        <v>23</v>
      </c>
      <c r="D435" s="82" t="s">
        <v>1486</v>
      </c>
      <c r="E435" s="81">
        <v>43042</v>
      </c>
      <c r="F435" s="27">
        <f t="shared" ca="1" si="6"/>
        <v>1431</v>
      </c>
      <c r="G435" s="79" t="s">
        <v>1470</v>
      </c>
      <c r="H435" s="80"/>
      <c r="I435" s="80"/>
      <c r="J435" s="79" t="s">
        <v>579</v>
      </c>
      <c r="K435" s="78" t="s">
        <v>623</v>
      </c>
      <c r="L435" s="77">
        <v>43045</v>
      </c>
      <c r="M435" s="68"/>
      <c r="N435" s="76"/>
      <c r="O435" s="75"/>
      <c r="R435" s="74"/>
    </row>
    <row r="436" spans="2:18" ht="36" hidden="1" customHeight="1" x14ac:dyDescent="0.25">
      <c r="B436" s="84">
        <v>1816</v>
      </c>
      <c r="C436" s="83" t="s">
        <v>23</v>
      </c>
      <c r="D436" s="82" t="s">
        <v>1296</v>
      </c>
      <c r="E436" s="81">
        <v>43045</v>
      </c>
      <c r="F436" s="27">
        <f t="shared" ca="1" si="6"/>
        <v>1428</v>
      </c>
      <c r="G436" s="79" t="s">
        <v>1074</v>
      </c>
      <c r="H436" s="80"/>
      <c r="I436" s="80"/>
      <c r="J436" s="79" t="s">
        <v>765</v>
      </c>
      <c r="K436" s="78" t="s">
        <v>623</v>
      </c>
      <c r="L436" s="77">
        <v>43050</v>
      </c>
      <c r="M436" s="68"/>
      <c r="N436" s="76"/>
      <c r="O436" s="75"/>
      <c r="R436" s="74"/>
    </row>
    <row r="437" spans="2:18" ht="36" hidden="1" customHeight="1" x14ac:dyDescent="0.25">
      <c r="B437" s="84">
        <v>1816</v>
      </c>
      <c r="C437" s="83" t="s">
        <v>19</v>
      </c>
      <c r="D437" s="82" t="s">
        <v>1297</v>
      </c>
      <c r="E437" s="81">
        <v>43045</v>
      </c>
      <c r="F437" s="27">
        <f t="shared" ca="1" si="6"/>
        <v>1428</v>
      </c>
      <c r="G437" s="79" t="s">
        <v>1074</v>
      </c>
      <c r="H437" s="80"/>
      <c r="I437" s="80"/>
      <c r="J437" s="79" t="s">
        <v>765</v>
      </c>
      <c r="K437" s="78" t="s">
        <v>623</v>
      </c>
      <c r="L437" s="77">
        <v>43050</v>
      </c>
      <c r="M437" s="68"/>
      <c r="N437" s="76"/>
      <c r="O437" s="75"/>
      <c r="R437" s="74"/>
    </row>
    <row r="438" spans="2:18" ht="36" hidden="1" customHeight="1" x14ac:dyDescent="0.25">
      <c r="B438" s="84">
        <v>1816</v>
      </c>
      <c r="C438" s="83" t="s">
        <v>23</v>
      </c>
      <c r="D438" s="82" t="s">
        <v>1298</v>
      </c>
      <c r="E438" s="81">
        <v>43045</v>
      </c>
      <c r="F438" s="27">
        <f t="shared" ca="1" si="6"/>
        <v>1428</v>
      </c>
      <c r="G438" s="79" t="s">
        <v>1074</v>
      </c>
      <c r="H438" s="80"/>
      <c r="I438" s="80"/>
      <c r="J438" s="79" t="s">
        <v>765</v>
      </c>
      <c r="K438" s="78" t="s">
        <v>623</v>
      </c>
      <c r="L438" s="77">
        <v>43050</v>
      </c>
      <c r="M438" s="68"/>
      <c r="N438" s="76"/>
      <c r="O438" s="75"/>
      <c r="R438" s="74"/>
    </row>
    <row r="439" spans="2:18" ht="36" hidden="1" customHeight="1" x14ac:dyDescent="0.25">
      <c r="B439" s="84">
        <v>1816</v>
      </c>
      <c r="C439" s="83" t="s">
        <v>35</v>
      </c>
      <c r="D439" s="82" t="s">
        <v>1303</v>
      </c>
      <c r="E439" s="81">
        <v>43045</v>
      </c>
      <c r="F439" s="27">
        <f t="shared" ca="1" si="6"/>
        <v>1428</v>
      </c>
      <c r="G439" s="79" t="s">
        <v>1304</v>
      </c>
      <c r="H439" s="80"/>
      <c r="I439" s="80"/>
      <c r="J439" s="79" t="s">
        <v>1301</v>
      </c>
      <c r="K439" s="78" t="s">
        <v>1301</v>
      </c>
      <c r="L439" s="77">
        <v>43067</v>
      </c>
      <c r="M439" s="68"/>
      <c r="N439" s="76"/>
      <c r="O439" s="75" t="s">
        <v>1305</v>
      </c>
      <c r="R439" s="74"/>
    </row>
    <row r="440" spans="2:18" ht="36" hidden="1" customHeight="1" x14ac:dyDescent="0.25">
      <c r="B440" s="84">
        <v>1824</v>
      </c>
      <c r="C440" s="83" t="s">
        <v>40</v>
      </c>
      <c r="D440" s="82" t="s">
        <v>2729</v>
      </c>
      <c r="E440" s="81">
        <v>43045</v>
      </c>
      <c r="F440" s="27">
        <f t="shared" ca="1" si="6"/>
        <v>1428</v>
      </c>
      <c r="G440" s="79" t="s">
        <v>2096</v>
      </c>
      <c r="H440" s="80"/>
      <c r="I440" s="80"/>
      <c r="J440" s="79" t="s">
        <v>579</v>
      </c>
      <c r="K440" s="78" t="s">
        <v>623</v>
      </c>
      <c r="L440" s="77">
        <v>43048</v>
      </c>
      <c r="M440" s="68"/>
      <c r="N440" s="76"/>
      <c r="O440" s="75" t="s">
        <v>2730</v>
      </c>
      <c r="R440" s="74"/>
    </row>
    <row r="441" spans="2:18" ht="36" hidden="1" customHeight="1" x14ac:dyDescent="0.25">
      <c r="B441" s="84">
        <v>1826</v>
      </c>
      <c r="C441" s="83" t="s">
        <v>37</v>
      </c>
      <c r="D441" s="82" t="s">
        <v>2287</v>
      </c>
      <c r="E441" s="81">
        <v>43045</v>
      </c>
      <c r="F441" s="27">
        <f t="shared" ca="1" si="6"/>
        <v>1428</v>
      </c>
      <c r="G441" s="79" t="s">
        <v>578</v>
      </c>
      <c r="H441" s="80"/>
      <c r="I441" s="80"/>
      <c r="J441" s="79" t="s">
        <v>579</v>
      </c>
      <c r="K441" s="78" t="s">
        <v>623</v>
      </c>
      <c r="L441" s="77">
        <v>43046</v>
      </c>
      <c r="M441" s="68"/>
      <c r="N441" s="76"/>
      <c r="O441" s="75" t="s">
        <v>1482</v>
      </c>
      <c r="R441" s="74"/>
    </row>
    <row r="442" spans="2:18" ht="36" hidden="1" customHeight="1" x14ac:dyDescent="0.25">
      <c r="B442" s="84">
        <v>1827</v>
      </c>
      <c r="C442" s="83" t="s">
        <v>19</v>
      </c>
      <c r="D442" s="82" t="s">
        <v>1297</v>
      </c>
      <c r="E442" s="81">
        <v>43045</v>
      </c>
      <c r="F442" s="27">
        <f t="shared" ca="1" si="6"/>
        <v>1428</v>
      </c>
      <c r="G442" s="79" t="s">
        <v>1275</v>
      </c>
      <c r="H442" s="80"/>
      <c r="I442" s="80"/>
      <c r="J442" s="79" t="s">
        <v>765</v>
      </c>
      <c r="K442" s="78" t="s">
        <v>623</v>
      </c>
      <c r="L442" s="77">
        <v>43050</v>
      </c>
      <c r="M442" s="68"/>
      <c r="N442" s="76"/>
      <c r="O442" s="75" t="s">
        <v>3323</v>
      </c>
      <c r="R442" s="74"/>
    </row>
    <row r="443" spans="2:18" ht="36" hidden="1" customHeight="1" x14ac:dyDescent="0.25">
      <c r="B443" s="84">
        <v>1828</v>
      </c>
      <c r="C443" s="83" t="s">
        <v>11</v>
      </c>
      <c r="D443" s="82" t="s">
        <v>3500</v>
      </c>
      <c r="E443" s="81">
        <v>43045</v>
      </c>
      <c r="F443" s="27">
        <f t="shared" ca="1" si="6"/>
        <v>1428</v>
      </c>
      <c r="G443" s="79" t="s">
        <v>1275</v>
      </c>
      <c r="H443" s="80"/>
      <c r="I443" s="80"/>
      <c r="J443" s="79" t="s">
        <v>765</v>
      </c>
      <c r="K443" s="78" t="s">
        <v>623</v>
      </c>
      <c r="L443" s="77">
        <v>43050</v>
      </c>
      <c r="M443" s="68"/>
      <c r="N443" s="76"/>
      <c r="O443" s="75" t="s">
        <v>3501</v>
      </c>
      <c r="R443" s="74"/>
    </row>
    <row r="444" spans="2:18" ht="36" hidden="1" customHeight="1" x14ac:dyDescent="0.25">
      <c r="B444" s="84">
        <v>1643</v>
      </c>
      <c r="C444" s="83" t="s">
        <v>10</v>
      </c>
      <c r="D444" s="82" t="s">
        <v>855</v>
      </c>
      <c r="E444" s="81">
        <v>43046</v>
      </c>
      <c r="F444" s="27">
        <f t="shared" ca="1" si="6"/>
        <v>1427</v>
      </c>
      <c r="G444" s="79" t="s">
        <v>856</v>
      </c>
      <c r="H444" s="80"/>
      <c r="I444" s="80"/>
      <c r="J444" s="79" t="s">
        <v>579</v>
      </c>
      <c r="K444" s="78" t="s">
        <v>580</v>
      </c>
      <c r="L444" s="77">
        <v>43046</v>
      </c>
      <c r="M444" s="68"/>
      <c r="N444" s="76"/>
      <c r="O444" s="75" t="s">
        <v>857</v>
      </c>
      <c r="R444" s="74"/>
    </row>
    <row r="445" spans="2:18" ht="36" hidden="1" customHeight="1" x14ac:dyDescent="0.25">
      <c r="B445" s="84">
        <v>1817</v>
      </c>
      <c r="C445" s="83" t="s">
        <v>40</v>
      </c>
      <c r="D445" s="82" t="s">
        <v>1487</v>
      </c>
      <c r="E445" s="81">
        <v>43047</v>
      </c>
      <c r="F445" s="27">
        <f t="shared" ca="1" si="6"/>
        <v>1426</v>
      </c>
      <c r="G445" s="79" t="s">
        <v>1488</v>
      </c>
      <c r="H445" s="80"/>
      <c r="I445" s="80"/>
      <c r="J445" s="79" t="s">
        <v>579</v>
      </c>
      <c r="K445" s="78" t="s">
        <v>623</v>
      </c>
      <c r="L445" s="77">
        <v>43052</v>
      </c>
      <c r="M445" s="68"/>
      <c r="N445" s="76"/>
      <c r="O445" s="75" t="s">
        <v>1489</v>
      </c>
      <c r="R445" s="74"/>
    </row>
    <row r="446" spans="2:18" ht="36" hidden="1" customHeight="1" x14ac:dyDescent="0.25">
      <c r="B446" s="84">
        <v>1818</v>
      </c>
      <c r="C446" s="83" t="s">
        <v>11</v>
      </c>
      <c r="D446" s="82" t="s">
        <v>1680</v>
      </c>
      <c r="E446" s="81">
        <v>43048</v>
      </c>
      <c r="F446" s="27">
        <f t="shared" ca="1" si="6"/>
        <v>1425</v>
      </c>
      <c r="G446" s="79"/>
      <c r="H446" s="80"/>
      <c r="I446" s="80"/>
      <c r="J446" s="79"/>
      <c r="K446" s="78"/>
      <c r="L446" s="77">
        <v>43048</v>
      </c>
      <c r="M446" s="68"/>
      <c r="N446" s="76"/>
      <c r="O446" s="75" t="s">
        <v>1681</v>
      </c>
      <c r="R446" s="74"/>
    </row>
    <row r="447" spans="2:18" ht="36" hidden="1" customHeight="1" x14ac:dyDescent="0.25">
      <c r="B447" s="84">
        <v>1821</v>
      </c>
      <c r="C447" s="83" t="s">
        <v>11</v>
      </c>
      <c r="D447" s="82" t="s">
        <v>1680</v>
      </c>
      <c r="E447" s="81">
        <v>43048</v>
      </c>
      <c r="F447" s="27">
        <f t="shared" ca="1" si="6"/>
        <v>1425</v>
      </c>
      <c r="G447" s="79"/>
      <c r="H447" s="80"/>
      <c r="I447" s="80"/>
      <c r="J447" s="79"/>
      <c r="K447" s="78"/>
      <c r="L447" s="77">
        <v>43048</v>
      </c>
      <c r="M447" s="68"/>
      <c r="N447" s="76"/>
      <c r="O447" s="75" t="s">
        <v>1681</v>
      </c>
      <c r="R447" s="74"/>
    </row>
    <row r="448" spans="2:18" ht="36" hidden="1" customHeight="1" x14ac:dyDescent="0.25">
      <c r="B448" s="84">
        <v>1821</v>
      </c>
      <c r="C448" s="83" t="s">
        <v>11</v>
      </c>
      <c r="D448" s="82" t="s">
        <v>2276</v>
      </c>
      <c r="E448" s="81">
        <v>43048</v>
      </c>
      <c r="F448" s="27">
        <f t="shared" ca="1" si="6"/>
        <v>1425</v>
      </c>
      <c r="G448" s="79"/>
      <c r="H448" s="80"/>
      <c r="I448" s="80"/>
      <c r="J448" s="79"/>
      <c r="K448" s="78"/>
      <c r="L448" s="77">
        <v>43048</v>
      </c>
      <c r="M448" s="68"/>
      <c r="N448" s="76"/>
      <c r="O448" s="75" t="s">
        <v>2277</v>
      </c>
      <c r="R448" s="74"/>
    </row>
    <row r="449" spans="2:18" ht="36" hidden="1" customHeight="1" x14ac:dyDescent="0.25">
      <c r="B449" s="84">
        <v>1824</v>
      </c>
      <c r="C449" s="83" t="s">
        <v>40</v>
      </c>
      <c r="D449" s="82" t="s">
        <v>2731</v>
      </c>
      <c r="E449" s="81">
        <v>43048</v>
      </c>
      <c r="F449" s="27">
        <f t="shared" ca="1" si="6"/>
        <v>1425</v>
      </c>
      <c r="G449" s="79"/>
      <c r="H449" s="80"/>
      <c r="I449" s="80"/>
      <c r="J449" s="79"/>
      <c r="K449" s="78"/>
      <c r="L449" s="77">
        <v>43048</v>
      </c>
      <c r="M449" s="68"/>
      <c r="N449" s="76"/>
      <c r="O449" s="75" t="s">
        <v>2732</v>
      </c>
      <c r="R449" s="74"/>
    </row>
    <row r="450" spans="2:18" ht="36" hidden="1" customHeight="1" x14ac:dyDescent="0.25">
      <c r="B450" s="84">
        <v>1824</v>
      </c>
      <c r="C450" s="83" t="s">
        <v>11</v>
      </c>
      <c r="D450" s="82" t="s">
        <v>1680</v>
      </c>
      <c r="E450" s="81">
        <v>43048</v>
      </c>
      <c r="F450" s="27">
        <f t="shared" ca="1" si="6"/>
        <v>1425</v>
      </c>
      <c r="G450" s="79"/>
      <c r="H450" s="80"/>
      <c r="I450" s="80"/>
      <c r="J450" s="79"/>
      <c r="K450" s="78"/>
      <c r="L450" s="77">
        <v>43048</v>
      </c>
      <c r="M450" s="68"/>
      <c r="N450" s="76"/>
      <c r="O450" s="75" t="s">
        <v>1681</v>
      </c>
      <c r="R450" s="74"/>
    </row>
    <row r="451" spans="2:18" ht="36" hidden="1" customHeight="1" x14ac:dyDescent="0.25">
      <c r="B451" s="84">
        <v>1830</v>
      </c>
      <c r="C451" s="83" t="s">
        <v>11</v>
      </c>
      <c r="D451" s="82" t="s">
        <v>1680</v>
      </c>
      <c r="E451" s="81">
        <v>43048</v>
      </c>
      <c r="F451" s="27">
        <f t="shared" ca="1" si="6"/>
        <v>1425</v>
      </c>
      <c r="G451" s="79"/>
      <c r="H451" s="80"/>
      <c r="I451" s="80"/>
      <c r="J451" s="79"/>
      <c r="K451" s="78"/>
      <c r="L451" s="77">
        <v>43048</v>
      </c>
      <c r="M451" s="68"/>
      <c r="N451" s="76"/>
      <c r="O451" s="75" t="s">
        <v>1681</v>
      </c>
      <c r="R451" s="74"/>
    </row>
    <row r="452" spans="2:18" ht="36" hidden="1" customHeight="1" x14ac:dyDescent="0.25">
      <c r="B452" s="84">
        <v>1830</v>
      </c>
      <c r="C452" s="83" t="s">
        <v>11</v>
      </c>
      <c r="D452" s="82" t="s">
        <v>2276</v>
      </c>
      <c r="E452" s="81">
        <v>43048</v>
      </c>
      <c r="F452" s="27">
        <f t="shared" ca="1" si="6"/>
        <v>1425</v>
      </c>
      <c r="G452" s="79"/>
      <c r="H452" s="80"/>
      <c r="I452" s="80"/>
      <c r="J452" s="79"/>
      <c r="K452" s="78"/>
      <c r="L452" s="77">
        <v>43048</v>
      </c>
      <c r="M452" s="68"/>
      <c r="N452" s="76"/>
      <c r="O452" s="75" t="s">
        <v>2277</v>
      </c>
      <c r="R452" s="74"/>
    </row>
    <row r="453" spans="2:18" ht="36" hidden="1" customHeight="1" x14ac:dyDescent="0.25">
      <c r="B453" s="84">
        <v>1826</v>
      </c>
      <c r="C453" s="83" t="s">
        <v>19</v>
      </c>
      <c r="D453" s="82" t="s">
        <v>3202</v>
      </c>
      <c r="E453" s="81">
        <v>43049</v>
      </c>
      <c r="F453" s="27">
        <f t="shared" ca="1" si="6"/>
        <v>1424</v>
      </c>
      <c r="G453" s="79" t="s">
        <v>1275</v>
      </c>
      <c r="H453" s="80"/>
      <c r="I453" s="80"/>
      <c r="J453" s="79" t="s">
        <v>765</v>
      </c>
      <c r="K453" s="78" t="s">
        <v>623</v>
      </c>
      <c r="L453" s="77">
        <v>43049</v>
      </c>
      <c r="M453" s="68"/>
      <c r="N453" s="76"/>
      <c r="O453" s="75" t="s">
        <v>3203</v>
      </c>
      <c r="R453" s="74"/>
    </row>
    <row r="454" spans="2:18" ht="36" hidden="1" customHeight="1" x14ac:dyDescent="0.25">
      <c r="B454" s="84">
        <v>1828</v>
      </c>
      <c r="C454" s="83" t="s">
        <v>23</v>
      </c>
      <c r="D454" s="82" t="s">
        <v>2549</v>
      </c>
      <c r="E454" s="81">
        <v>43049</v>
      </c>
      <c r="F454" s="27">
        <f t="shared" ca="1" si="6"/>
        <v>1424</v>
      </c>
      <c r="G454" s="79" t="s">
        <v>1275</v>
      </c>
      <c r="H454" s="80"/>
      <c r="I454" s="80"/>
      <c r="J454" s="79" t="s">
        <v>765</v>
      </c>
      <c r="K454" s="78" t="s">
        <v>623</v>
      </c>
      <c r="L454" s="77">
        <v>43050</v>
      </c>
      <c r="M454" s="68"/>
      <c r="N454" s="76"/>
      <c r="O454" s="75"/>
      <c r="R454" s="74"/>
    </row>
    <row r="455" spans="2:18" ht="36" hidden="1" customHeight="1" x14ac:dyDescent="0.25">
      <c r="B455" s="84">
        <v>1825</v>
      </c>
      <c r="C455" s="83" t="s">
        <v>11</v>
      </c>
      <c r="D455" s="82" t="s">
        <v>1878</v>
      </c>
      <c r="E455" s="81">
        <v>43050</v>
      </c>
      <c r="F455" s="27">
        <f t="shared" ca="1" si="6"/>
        <v>1423</v>
      </c>
      <c r="G455" s="79" t="s">
        <v>3001</v>
      </c>
      <c r="H455" s="80"/>
      <c r="I455" s="80"/>
      <c r="J455" s="79" t="s">
        <v>765</v>
      </c>
      <c r="K455" s="78" t="s">
        <v>623</v>
      </c>
      <c r="L455" s="77">
        <v>43070</v>
      </c>
      <c r="M455" s="68"/>
      <c r="N455" s="76"/>
      <c r="O455" s="75" t="s">
        <v>3002</v>
      </c>
      <c r="R455" s="74"/>
    </row>
    <row r="456" spans="2:18" ht="36" hidden="1" customHeight="1" x14ac:dyDescent="0.25">
      <c r="B456" s="84">
        <v>1828</v>
      </c>
      <c r="C456" s="83" t="s">
        <v>37</v>
      </c>
      <c r="D456" s="82" t="s">
        <v>3502</v>
      </c>
      <c r="E456" s="81">
        <v>43050</v>
      </c>
      <c r="F456" s="27">
        <f t="shared" ca="1" si="6"/>
        <v>1423</v>
      </c>
      <c r="G456" s="79"/>
      <c r="H456" s="80"/>
      <c r="I456" s="80"/>
      <c r="J456" s="79"/>
      <c r="K456" s="78"/>
      <c r="L456" s="77">
        <v>43052</v>
      </c>
      <c r="M456" s="68"/>
      <c r="N456" s="76"/>
      <c r="O456" s="75"/>
      <c r="R456" s="74"/>
    </row>
    <row r="457" spans="2:18" ht="36" hidden="1" customHeight="1" x14ac:dyDescent="0.25">
      <c r="B457" s="84">
        <v>1817</v>
      </c>
      <c r="C457" s="83" t="s">
        <v>35</v>
      </c>
      <c r="D457" s="82" t="s">
        <v>1493</v>
      </c>
      <c r="E457" s="81">
        <v>43052</v>
      </c>
      <c r="F457" s="27">
        <f t="shared" ca="1" si="6"/>
        <v>1421</v>
      </c>
      <c r="G457" s="79" t="s">
        <v>1461</v>
      </c>
      <c r="H457" s="80"/>
      <c r="I457" s="80"/>
      <c r="J457" s="79" t="s">
        <v>765</v>
      </c>
      <c r="K457" s="78" t="s">
        <v>623</v>
      </c>
      <c r="L457" s="77">
        <v>43071</v>
      </c>
      <c r="M457" s="68"/>
      <c r="N457" s="76"/>
      <c r="O457" s="75" t="s">
        <v>1494</v>
      </c>
      <c r="R457" s="74"/>
    </row>
    <row r="458" spans="2:18" ht="36" hidden="1" customHeight="1" x14ac:dyDescent="0.25">
      <c r="B458" s="84">
        <v>1823</v>
      </c>
      <c r="C458" s="83" t="s">
        <v>23</v>
      </c>
      <c r="D458" s="82" t="s">
        <v>2549</v>
      </c>
      <c r="E458" s="81">
        <v>43052</v>
      </c>
      <c r="F458" s="27">
        <f t="shared" ca="1" si="6"/>
        <v>1421</v>
      </c>
      <c r="G458" s="79" t="s">
        <v>880</v>
      </c>
      <c r="H458" s="80"/>
      <c r="I458" s="80"/>
      <c r="J458" s="79" t="s">
        <v>1301</v>
      </c>
      <c r="K458" s="78" t="s">
        <v>1301</v>
      </c>
      <c r="L458" s="77">
        <v>43052</v>
      </c>
      <c r="M458" s="68"/>
      <c r="N458" s="76"/>
      <c r="O458" s="75" t="s">
        <v>2550</v>
      </c>
      <c r="R458" s="74"/>
    </row>
    <row r="459" spans="2:18" ht="36" hidden="1" customHeight="1" x14ac:dyDescent="0.25">
      <c r="B459" s="84">
        <v>1642</v>
      </c>
      <c r="C459" s="83" t="s">
        <v>40</v>
      </c>
      <c r="D459" s="82" t="s">
        <v>757</v>
      </c>
      <c r="E459" s="81">
        <v>43054</v>
      </c>
      <c r="F459" s="27">
        <f t="shared" ca="1" si="6"/>
        <v>1419</v>
      </c>
      <c r="G459" s="79" t="s">
        <v>758</v>
      </c>
      <c r="H459" s="80"/>
      <c r="I459" s="80"/>
      <c r="J459" s="79" t="s">
        <v>592</v>
      </c>
      <c r="K459" s="78" t="s">
        <v>580</v>
      </c>
      <c r="L459" s="77">
        <v>43071</v>
      </c>
      <c r="M459" s="68"/>
      <c r="N459" s="76"/>
      <c r="O459" s="75" t="s">
        <v>759</v>
      </c>
      <c r="R459" s="74"/>
    </row>
    <row r="460" spans="2:18" ht="36" hidden="1" customHeight="1" x14ac:dyDescent="0.25">
      <c r="B460" s="84">
        <v>1821</v>
      </c>
      <c r="C460" s="83" t="s">
        <v>40</v>
      </c>
      <c r="D460" s="82" t="s">
        <v>2278</v>
      </c>
      <c r="E460" s="81">
        <v>43054</v>
      </c>
      <c r="F460" s="27">
        <f t="shared" ca="1" si="6"/>
        <v>1419</v>
      </c>
      <c r="G460" s="79" t="s">
        <v>578</v>
      </c>
      <c r="H460" s="80"/>
      <c r="I460" s="80"/>
      <c r="J460" s="79" t="s">
        <v>579</v>
      </c>
      <c r="K460" s="78" t="s">
        <v>623</v>
      </c>
      <c r="L460" s="77">
        <v>43063</v>
      </c>
      <c r="M460" s="68"/>
      <c r="N460" s="76"/>
      <c r="O460" s="75" t="s">
        <v>2279</v>
      </c>
      <c r="R460" s="74"/>
    </row>
    <row r="461" spans="2:18" ht="36" hidden="1" customHeight="1" x14ac:dyDescent="0.25">
      <c r="B461" s="84">
        <v>1820</v>
      </c>
      <c r="C461" s="83" t="s">
        <v>21</v>
      </c>
      <c r="D461" s="82" t="s">
        <v>2087</v>
      </c>
      <c r="E461" s="81">
        <v>43056</v>
      </c>
      <c r="F461" s="27">
        <f t="shared" ca="1" si="6"/>
        <v>1417</v>
      </c>
      <c r="G461" s="79" t="s">
        <v>2085</v>
      </c>
      <c r="H461" s="80"/>
      <c r="I461" s="80"/>
      <c r="J461" s="79" t="s">
        <v>579</v>
      </c>
      <c r="K461" s="78" t="s">
        <v>623</v>
      </c>
      <c r="L461" s="77">
        <v>43067</v>
      </c>
      <c r="M461" s="68"/>
      <c r="N461" s="76"/>
      <c r="O461" s="75" t="s">
        <v>2088</v>
      </c>
      <c r="R461" s="74"/>
    </row>
    <row r="462" spans="2:18" ht="36" hidden="1" customHeight="1" x14ac:dyDescent="0.25">
      <c r="B462" s="84">
        <v>1828</v>
      </c>
      <c r="C462" s="83" t="s">
        <v>24</v>
      </c>
      <c r="D462" s="82" t="s">
        <v>3503</v>
      </c>
      <c r="E462" s="81">
        <v>43056</v>
      </c>
      <c r="F462" s="27">
        <f t="shared" ca="1" si="6"/>
        <v>1417</v>
      </c>
      <c r="G462" s="79" t="s">
        <v>3504</v>
      </c>
      <c r="H462" s="80"/>
      <c r="I462" s="80"/>
      <c r="J462" s="79" t="s">
        <v>765</v>
      </c>
      <c r="K462" s="78" t="s">
        <v>623</v>
      </c>
      <c r="L462" s="77">
        <v>43071</v>
      </c>
      <c r="M462" s="68"/>
      <c r="N462" s="76"/>
      <c r="O462" s="75" t="s">
        <v>3505</v>
      </c>
      <c r="R462" s="74"/>
    </row>
    <row r="463" spans="2:18" ht="36" hidden="1" customHeight="1" x14ac:dyDescent="0.25">
      <c r="B463" s="84">
        <v>1816</v>
      </c>
      <c r="C463" s="83" t="s">
        <v>37</v>
      </c>
      <c r="D463" s="82" t="s">
        <v>1306</v>
      </c>
      <c r="E463" s="81">
        <v>43059</v>
      </c>
      <c r="F463" s="27">
        <f t="shared" ca="1" si="6"/>
        <v>1414</v>
      </c>
      <c r="G463" s="79" t="s">
        <v>1304</v>
      </c>
      <c r="H463" s="80"/>
      <c r="I463" s="80"/>
      <c r="J463" s="79" t="s">
        <v>1301</v>
      </c>
      <c r="K463" s="78" t="s">
        <v>1301</v>
      </c>
      <c r="L463" s="77">
        <v>43067</v>
      </c>
      <c r="M463" s="68"/>
      <c r="N463" s="76"/>
      <c r="O463" s="75" t="s">
        <v>1307</v>
      </c>
      <c r="R463" s="74"/>
    </row>
    <row r="464" spans="2:18" ht="36" hidden="1" customHeight="1" x14ac:dyDescent="0.25">
      <c r="B464" s="84">
        <v>1824</v>
      </c>
      <c r="C464" s="83" t="s">
        <v>39</v>
      </c>
      <c r="D464" s="82" t="s">
        <v>2733</v>
      </c>
      <c r="E464" s="81">
        <v>43059</v>
      </c>
      <c r="F464" s="27">
        <f t="shared" ref="F464:F527" ca="1" si="7">IF(E464&lt;&gt;"",TODAY()-E464,"")</f>
        <v>1414</v>
      </c>
      <c r="G464" s="79" t="s">
        <v>2734</v>
      </c>
      <c r="H464" s="80"/>
      <c r="I464" s="80"/>
      <c r="J464" s="79" t="s">
        <v>579</v>
      </c>
      <c r="K464" s="78" t="s">
        <v>623</v>
      </c>
      <c r="L464" s="77">
        <v>43069</v>
      </c>
      <c r="M464" s="68"/>
      <c r="N464" s="76"/>
      <c r="O464" s="75" t="s">
        <v>2735</v>
      </c>
      <c r="R464" s="74"/>
    </row>
    <row r="465" spans="2:18" ht="36" hidden="1" customHeight="1" x14ac:dyDescent="0.25">
      <c r="B465" s="84">
        <v>1824</v>
      </c>
      <c r="C465" s="83" t="s">
        <v>23</v>
      </c>
      <c r="D465" s="82" t="s">
        <v>2736</v>
      </c>
      <c r="E465" s="81">
        <v>43059</v>
      </c>
      <c r="F465" s="27">
        <f t="shared" ca="1" si="7"/>
        <v>1414</v>
      </c>
      <c r="G465" s="79" t="s">
        <v>2734</v>
      </c>
      <c r="H465" s="80"/>
      <c r="I465" s="80"/>
      <c r="J465" s="79" t="s">
        <v>579</v>
      </c>
      <c r="K465" s="78" t="s">
        <v>623</v>
      </c>
      <c r="L465" s="77">
        <v>43069</v>
      </c>
      <c r="M465" s="68"/>
      <c r="N465" s="76"/>
      <c r="O465" s="75" t="s">
        <v>2737</v>
      </c>
      <c r="R465" s="74"/>
    </row>
    <row r="466" spans="2:18" ht="36" hidden="1" customHeight="1" x14ac:dyDescent="0.25">
      <c r="B466" s="84">
        <v>1819</v>
      </c>
      <c r="C466" s="83" t="s">
        <v>35</v>
      </c>
      <c r="D466" s="82" t="s">
        <v>1892</v>
      </c>
      <c r="E466" s="81">
        <v>43060</v>
      </c>
      <c r="F466" s="27">
        <f t="shared" ca="1" si="7"/>
        <v>1413</v>
      </c>
      <c r="G466" s="79" t="s">
        <v>1893</v>
      </c>
      <c r="H466" s="80"/>
      <c r="I466" s="80"/>
      <c r="J466" s="79" t="s">
        <v>579</v>
      </c>
      <c r="K466" s="78" t="s">
        <v>623</v>
      </c>
      <c r="L466" s="77">
        <v>43073</v>
      </c>
      <c r="M466" s="68"/>
      <c r="N466" s="76"/>
      <c r="O466" s="75" t="s">
        <v>1894</v>
      </c>
      <c r="R466" s="74"/>
    </row>
    <row r="467" spans="2:18" ht="36" hidden="1" customHeight="1" x14ac:dyDescent="0.25">
      <c r="B467" s="84">
        <v>1825</v>
      </c>
      <c r="C467" s="83" t="s">
        <v>23</v>
      </c>
      <c r="D467" s="82" t="s">
        <v>2999</v>
      </c>
      <c r="E467" s="81">
        <v>43060</v>
      </c>
      <c r="F467" s="27">
        <f t="shared" ca="1" si="7"/>
        <v>1413</v>
      </c>
      <c r="G467" s="79" t="s">
        <v>1723</v>
      </c>
      <c r="H467" s="80"/>
      <c r="I467" s="80"/>
      <c r="J467" s="79" t="s">
        <v>579</v>
      </c>
      <c r="K467" s="78" t="s">
        <v>623</v>
      </c>
      <c r="L467" s="77">
        <v>43063</v>
      </c>
      <c r="M467" s="68"/>
      <c r="N467" s="76"/>
      <c r="O467" s="75" t="s">
        <v>3000</v>
      </c>
      <c r="R467" s="74"/>
    </row>
    <row r="468" spans="2:18" ht="36" hidden="1" customHeight="1" x14ac:dyDescent="0.25">
      <c r="B468" s="84">
        <v>1830</v>
      </c>
      <c r="C468" s="83" t="s">
        <v>37</v>
      </c>
      <c r="D468" s="82" t="s">
        <v>1796</v>
      </c>
      <c r="E468" s="81">
        <v>43060</v>
      </c>
      <c r="F468" s="27">
        <f t="shared" ca="1" si="7"/>
        <v>1413</v>
      </c>
      <c r="G468" s="79" t="s">
        <v>3897</v>
      </c>
      <c r="H468" s="80"/>
      <c r="I468" s="80"/>
      <c r="J468" s="79" t="s">
        <v>579</v>
      </c>
      <c r="K468" s="78" t="s">
        <v>623</v>
      </c>
      <c r="L468" s="77">
        <v>43063</v>
      </c>
      <c r="M468" s="68"/>
      <c r="N468" s="76"/>
      <c r="O468" s="75" t="s">
        <v>1307</v>
      </c>
      <c r="R468" s="74"/>
    </row>
    <row r="469" spans="2:18" ht="36" hidden="1" customHeight="1" x14ac:dyDescent="0.25">
      <c r="B469" s="84">
        <v>1819</v>
      </c>
      <c r="C469" s="83" t="s">
        <v>40</v>
      </c>
      <c r="D469" s="82" t="s">
        <v>1884</v>
      </c>
      <c r="E469" s="81">
        <v>43061</v>
      </c>
      <c r="F469" s="27">
        <f t="shared" ca="1" si="7"/>
        <v>1412</v>
      </c>
      <c r="G469" s="79" t="s">
        <v>1881</v>
      </c>
      <c r="H469" s="80"/>
      <c r="I469" s="80"/>
      <c r="J469" s="79" t="s">
        <v>579</v>
      </c>
      <c r="K469" s="78" t="s">
        <v>623</v>
      </c>
      <c r="L469" s="77">
        <v>43068</v>
      </c>
      <c r="M469" s="68"/>
      <c r="N469" s="76"/>
      <c r="O469" s="75" t="s">
        <v>1885</v>
      </c>
      <c r="R469" s="74"/>
    </row>
    <row r="470" spans="2:18" ht="36" hidden="1" customHeight="1" x14ac:dyDescent="0.25">
      <c r="B470" s="84">
        <v>1818</v>
      </c>
      <c r="C470" s="83" t="s">
        <v>40</v>
      </c>
      <c r="D470" s="82" t="s">
        <v>1682</v>
      </c>
      <c r="E470" s="81">
        <v>43062</v>
      </c>
      <c r="F470" s="27">
        <f t="shared" ca="1" si="7"/>
        <v>1411</v>
      </c>
      <c r="G470" s="79" t="s">
        <v>1683</v>
      </c>
      <c r="H470" s="80"/>
      <c r="I470" s="80"/>
      <c r="J470" s="79" t="s">
        <v>765</v>
      </c>
      <c r="K470" s="78" t="s">
        <v>623</v>
      </c>
      <c r="L470" s="77">
        <v>43063</v>
      </c>
      <c r="M470" s="68"/>
      <c r="N470" s="76"/>
      <c r="O470" s="75" t="s">
        <v>1684</v>
      </c>
      <c r="R470" s="74"/>
    </row>
    <row r="471" spans="2:18" ht="36" hidden="1" customHeight="1" x14ac:dyDescent="0.25">
      <c r="B471" s="84">
        <v>1830</v>
      </c>
      <c r="C471" s="83" t="s">
        <v>23</v>
      </c>
      <c r="D471" s="82" t="s">
        <v>3898</v>
      </c>
      <c r="E471" s="81">
        <v>43062</v>
      </c>
      <c r="F471" s="27">
        <f t="shared" ca="1" si="7"/>
        <v>1411</v>
      </c>
      <c r="G471" s="79" t="s">
        <v>3897</v>
      </c>
      <c r="H471" s="80"/>
      <c r="I471" s="80"/>
      <c r="J471" s="79" t="s">
        <v>579</v>
      </c>
      <c r="K471" s="78" t="s">
        <v>623</v>
      </c>
      <c r="L471" s="77">
        <v>43063</v>
      </c>
      <c r="M471" s="68"/>
      <c r="N471" s="76"/>
      <c r="O471" s="75" t="s">
        <v>3511</v>
      </c>
      <c r="R471" s="74"/>
    </row>
    <row r="472" spans="2:18" ht="36" hidden="1" customHeight="1" x14ac:dyDescent="0.25">
      <c r="B472" s="84">
        <v>1816</v>
      </c>
      <c r="C472" s="83" t="s">
        <v>40</v>
      </c>
      <c r="D472" s="82" t="s">
        <v>1308</v>
      </c>
      <c r="E472" s="81">
        <v>43063</v>
      </c>
      <c r="F472" s="27">
        <f t="shared" ca="1" si="7"/>
        <v>1410</v>
      </c>
      <c r="G472" s="79" t="s">
        <v>1304</v>
      </c>
      <c r="H472" s="80"/>
      <c r="I472" s="80"/>
      <c r="J472" s="79" t="s">
        <v>1301</v>
      </c>
      <c r="K472" s="78" t="s">
        <v>1301</v>
      </c>
      <c r="L472" s="77">
        <v>43067</v>
      </c>
      <c r="M472" s="68"/>
      <c r="N472" s="76"/>
      <c r="O472" s="75" t="s">
        <v>1309</v>
      </c>
      <c r="R472" s="74"/>
    </row>
    <row r="473" spans="2:18" ht="36" hidden="1" customHeight="1" x14ac:dyDescent="0.25">
      <c r="B473" s="84">
        <v>1828</v>
      </c>
      <c r="C473" s="83" t="s">
        <v>18</v>
      </c>
      <c r="D473" s="82" t="s">
        <v>3520</v>
      </c>
      <c r="E473" s="81">
        <v>43063</v>
      </c>
      <c r="F473" s="27">
        <f t="shared" ca="1" si="7"/>
        <v>1410</v>
      </c>
      <c r="G473" s="79" t="s">
        <v>1354</v>
      </c>
      <c r="H473" s="80"/>
      <c r="I473" s="80"/>
      <c r="J473" s="79" t="s">
        <v>765</v>
      </c>
      <c r="K473" s="78" t="s">
        <v>623</v>
      </c>
      <c r="L473" s="77">
        <v>43112</v>
      </c>
      <c r="M473" s="68"/>
      <c r="N473" s="76"/>
      <c r="O473" s="75" t="s">
        <v>3521</v>
      </c>
      <c r="R473" s="74"/>
    </row>
    <row r="474" spans="2:18" ht="36" hidden="1" customHeight="1" x14ac:dyDescent="0.25">
      <c r="B474" s="84">
        <v>1817</v>
      </c>
      <c r="C474" s="83" t="s">
        <v>35</v>
      </c>
      <c r="D474" s="82" t="s">
        <v>1490</v>
      </c>
      <c r="E474" s="81">
        <v>43064</v>
      </c>
      <c r="F474" s="27">
        <f t="shared" ca="1" si="7"/>
        <v>1409</v>
      </c>
      <c r="G474" s="79"/>
      <c r="H474" s="80"/>
      <c r="I474" s="80"/>
      <c r="J474" s="79"/>
      <c r="K474" s="78"/>
      <c r="L474" s="77">
        <v>43064</v>
      </c>
      <c r="M474" s="68"/>
      <c r="N474" s="76" t="s">
        <v>1491</v>
      </c>
      <c r="O474" s="75" t="s">
        <v>1492</v>
      </c>
      <c r="R474" s="74"/>
    </row>
    <row r="475" spans="2:18" ht="36" hidden="1" customHeight="1" x14ac:dyDescent="0.25">
      <c r="B475" s="84">
        <v>1826</v>
      </c>
      <c r="C475" s="83" t="s">
        <v>37</v>
      </c>
      <c r="D475" s="82" t="s">
        <v>3204</v>
      </c>
      <c r="E475" s="81">
        <v>43064</v>
      </c>
      <c r="F475" s="27">
        <f t="shared" ca="1" si="7"/>
        <v>1409</v>
      </c>
      <c r="G475" s="79" t="s">
        <v>578</v>
      </c>
      <c r="H475" s="80"/>
      <c r="I475" s="80"/>
      <c r="J475" s="79" t="s">
        <v>579</v>
      </c>
      <c r="K475" s="78" t="s">
        <v>623</v>
      </c>
      <c r="L475" s="77">
        <v>43067</v>
      </c>
      <c r="M475" s="68"/>
      <c r="N475" s="76"/>
      <c r="O475" s="75" t="s">
        <v>3205</v>
      </c>
      <c r="R475" s="74"/>
    </row>
    <row r="476" spans="2:18" ht="36" hidden="1" customHeight="1" x14ac:dyDescent="0.25">
      <c r="B476" s="84">
        <v>1645</v>
      </c>
      <c r="C476" s="83" t="s">
        <v>19</v>
      </c>
      <c r="D476" s="82" t="s">
        <v>744</v>
      </c>
      <c r="E476" s="81">
        <v>43066</v>
      </c>
      <c r="F476" s="27">
        <f t="shared" ca="1" si="7"/>
        <v>1407</v>
      </c>
      <c r="G476" s="79" t="s">
        <v>758</v>
      </c>
      <c r="H476" s="80"/>
      <c r="I476" s="80"/>
      <c r="J476" s="79" t="s">
        <v>592</v>
      </c>
      <c r="K476" s="78" t="s">
        <v>580</v>
      </c>
      <c r="L476" s="77">
        <v>43074</v>
      </c>
      <c r="M476" s="68"/>
      <c r="N476" s="76"/>
      <c r="O476" s="75" t="s">
        <v>1036</v>
      </c>
      <c r="R476" s="74"/>
    </row>
    <row r="477" spans="2:18" ht="36" hidden="1" customHeight="1" x14ac:dyDescent="0.25">
      <c r="B477" s="84">
        <v>1820</v>
      </c>
      <c r="C477" s="83" t="s">
        <v>37</v>
      </c>
      <c r="D477" s="82" t="s">
        <v>2089</v>
      </c>
      <c r="E477" s="81">
        <v>43066</v>
      </c>
      <c r="F477" s="27">
        <f t="shared" ca="1" si="7"/>
        <v>1407</v>
      </c>
      <c r="G477" s="79" t="s">
        <v>2085</v>
      </c>
      <c r="H477" s="80"/>
      <c r="I477" s="80"/>
      <c r="J477" s="79" t="s">
        <v>579</v>
      </c>
      <c r="K477" s="78" t="s">
        <v>623</v>
      </c>
      <c r="L477" s="77">
        <v>43067</v>
      </c>
      <c r="M477" s="68"/>
      <c r="N477" s="76"/>
      <c r="O477" s="75" t="s">
        <v>861</v>
      </c>
      <c r="R477" s="74"/>
    </row>
    <row r="478" spans="2:18" ht="36" hidden="1" customHeight="1" x14ac:dyDescent="0.25">
      <c r="B478" s="84">
        <v>1828</v>
      </c>
      <c r="C478" s="83" t="s">
        <v>23</v>
      </c>
      <c r="D478" s="82" t="s">
        <v>1024</v>
      </c>
      <c r="E478" s="81">
        <v>43066</v>
      </c>
      <c r="F478" s="27">
        <f t="shared" ca="1" si="7"/>
        <v>1407</v>
      </c>
      <c r="G478" s="79" t="s">
        <v>3504</v>
      </c>
      <c r="H478" s="80"/>
      <c r="I478" s="80"/>
      <c r="J478" s="79" t="s">
        <v>765</v>
      </c>
      <c r="K478" s="78" t="s">
        <v>623</v>
      </c>
      <c r="L478" s="77">
        <v>43071</v>
      </c>
      <c r="M478" s="68"/>
      <c r="N478" s="76"/>
      <c r="O478" s="75" t="s">
        <v>3506</v>
      </c>
      <c r="R478" s="74"/>
    </row>
    <row r="479" spans="2:18" ht="36" hidden="1" customHeight="1" x14ac:dyDescent="0.25">
      <c r="B479" s="84">
        <v>1828</v>
      </c>
      <c r="C479" s="83" t="s">
        <v>23</v>
      </c>
      <c r="D479" s="82" t="s">
        <v>3509</v>
      </c>
      <c r="E479" s="81">
        <v>43066</v>
      </c>
      <c r="F479" s="27">
        <f t="shared" ca="1" si="7"/>
        <v>1407</v>
      </c>
      <c r="G479" s="79" t="s">
        <v>1723</v>
      </c>
      <c r="H479" s="80"/>
      <c r="I479" s="80"/>
      <c r="J479" s="79" t="s">
        <v>579</v>
      </c>
      <c r="K479" s="78" t="s">
        <v>623</v>
      </c>
      <c r="L479" s="77">
        <v>43071</v>
      </c>
      <c r="M479" s="68"/>
      <c r="N479" s="76"/>
      <c r="O479" s="75" t="s">
        <v>684</v>
      </c>
      <c r="R479" s="74"/>
    </row>
    <row r="480" spans="2:18" ht="36" hidden="1" customHeight="1" x14ac:dyDescent="0.25">
      <c r="B480" s="84">
        <v>1819</v>
      </c>
      <c r="C480" s="83" t="s">
        <v>19</v>
      </c>
      <c r="D480" s="82" t="s">
        <v>1883</v>
      </c>
      <c r="E480" s="81">
        <v>43067</v>
      </c>
      <c r="F480" s="27">
        <f t="shared" ca="1" si="7"/>
        <v>1406</v>
      </c>
      <c r="G480" s="79"/>
      <c r="H480" s="80"/>
      <c r="I480" s="80"/>
      <c r="J480" s="79"/>
      <c r="K480" s="78"/>
      <c r="L480" s="77">
        <v>43067</v>
      </c>
      <c r="M480" s="68"/>
      <c r="N480" s="76"/>
      <c r="O480" s="75"/>
      <c r="R480" s="74"/>
    </row>
    <row r="481" spans="2:18" ht="36" hidden="1" customHeight="1" x14ac:dyDescent="0.25">
      <c r="B481" s="84">
        <v>1819</v>
      </c>
      <c r="C481" s="83" t="s">
        <v>17</v>
      </c>
      <c r="D481" s="82" t="s">
        <v>1886</v>
      </c>
      <c r="E481" s="81">
        <v>43067</v>
      </c>
      <c r="F481" s="27">
        <f t="shared" ca="1" si="7"/>
        <v>1406</v>
      </c>
      <c r="G481" s="79" t="s">
        <v>1881</v>
      </c>
      <c r="H481" s="80"/>
      <c r="I481" s="80"/>
      <c r="J481" s="79" t="s">
        <v>579</v>
      </c>
      <c r="K481" s="78" t="s">
        <v>623</v>
      </c>
      <c r="L481" s="77">
        <v>43068</v>
      </c>
      <c r="M481" s="68"/>
      <c r="N481" s="76"/>
      <c r="O481" s="75" t="s">
        <v>1887</v>
      </c>
      <c r="R481" s="74"/>
    </row>
    <row r="482" spans="2:18" ht="36" hidden="1" customHeight="1" x14ac:dyDescent="0.25">
      <c r="B482" s="84">
        <v>1824</v>
      </c>
      <c r="C482" s="83" t="s">
        <v>12</v>
      </c>
      <c r="D482" s="82" t="s">
        <v>2738</v>
      </c>
      <c r="E482" s="81">
        <v>43067</v>
      </c>
      <c r="F482" s="27">
        <f t="shared" ca="1" si="7"/>
        <v>1406</v>
      </c>
      <c r="G482" s="79" t="s">
        <v>2734</v>
      </c>
      <c r="H482" s="80"/>
      <c r="I482" s="80"/>
      <c r="J482" s="79" t="s">
        <v>579</v>
      </c>
      <c r="K482" s="78" t="s">
        <v>623</v>
      </c>
      <c r="L482" s="77">
        <v>43069</v>
      </c>
      <c r="M482" s="68"/>
      <c r="N482" s="76"/>
      <c r="O482" s="75" t="s">
        <v>2739</v>
      </c>
      <c r="R482" s="74"/>
    </row>
    <row r="483" spans="2:18" ht="36" hidden="1" customHeight="1" x14ac:dyDescent="0.25">
      <c r="B483" s="84">
        <v>1824</v>
      </c>
      <c r="C483" s="83" t="s">
        <v>27</v>
      </c>
      <c r="D483" s="82" t="s">
        <v>2740</v>
      </c>
      <c r="E483" s="81">
        <v>43067</v>
      </c>
      <c r="F483" s="27">
        <f t="shared" ca="1" si="7"/>
        <v>1406</v>
      </c>
      <c r="G483" s="79" t="s">
        <v>2734</v>
      </c>
      <c r="H483" s="80"/>
      <c r="I483" s="80"/>
      <c r="J483" s="79" t="s">
        <v>579</v>
      </c>
      <c r="K483" s="78" t="s">
        <v>623</v>
      </c>
      <c r="L483" s="77">
        <v>43069</v>
      </c>
      <c r="M483" s="68"/>
      <c r="N483" s="76"/>
      <c r="O483" s="75" t="s">
        <v>2741</v>
      </c>
      <c r="R483" s="74"/>
    </row>
    <row r="484" spans="2:18" ht="36" hidden="1" customHeight="1" x14ac:dyDescent="0.25">
      <c r="B484" s="84">
        <v>1826</v>
      </c>
      <c r="C484" s="83" t="s">
        <v>19</v>
      </c>
      <c r="D484" s="82" t="s">
        <v>744</v>
      </c>
      <c r="E484" s="81">
        <v>43067</v>
      </c>
      <c r="F484" s="27">
        <f t="shared" ca="1" si="7"/>
        <v>1406</v>
      </c>
      <c r="G484" s="79" t="s">
        <v>578</v>
      </c>
      <c r="H484" s="80"/>
      <c r="I484" s="80"/>
      <c r="J484" s="79" t="s">
        <v>765</v>
      </c>
      <c r="K484" s="78" t="s">
        <v>623</v>
      </c>
      <c r="L484" s="77">
        <v>43071</v>
      </c>
      <c r="M484" s="68"/>
      <c r="N484" s="76"/>
      <c r="O484" s="75" t="s">
        <v>3206</v>
      </c>
      <c r="R484" s="74"/>
    </row>
    <row r="485" spans="2:18" ht="36" hidden="1" customHeight="1" x14ac:dyDescent="0.25">
      <c r="B485" s="84">
        <v>1828</v>
      </c>
      <c r="C485" s="83" t="s">
        <v>16</v>
      </c>
      <c r="D485" s="82" t="s">
        <v>3507</v>
      </c>
      <c r="E485" s="81">
        <v>43067</v>
      </c>
      <c r="F485" s="27">
        <f t="shared" ca="1" si="7"/>
        <v>1406</v>
      </c>
      <c r="G485" s="79" t="s">
        <v>3504</v>
      </c>
      <c r="H485" s="80"/>
      <c r="I485" s="80"/>
      <c r="J485" s="79" t="s">
        <v>765</v>
      </c>
      <c r="K485" s="78" t="s">
        <v>623</v>
      </c>
      <c r="L485" s="77">
        <v>43071</v>
      </c>
      <c r="M485" s="68"/>
      <c r="N485" s="76"/>
      <c r="O485" s="75" t="s">
        <v>3508</v>
      </c>
      <c r="R485" s="74"/>
    </row>
    <row r="486" spans="2:18" ht="36" hidden="1" customHeight="1" x14ac:dyDescent="0.25">
      <c r="B486" s="84">
        <v>1819</v>
      </c>
      <c r="C486" s="83" t="s">
        <v>31</v>
      </c>
      <c r="D486" s="82" t="s">
        <v>1888</v>
      </c>
      <c r="E486" s="81">
        <v>43068</v>
      </c>
      <c r="F486" s="27">
        <f t="shared" ca="1" si="7"/>
        <v>1405</v>
      </c>
      <c r="G486" s="79" t="s">
        <v>1881</v>
      </c>
      <c r="H486" s="80"/>
      <c r="I486" s="80"/>
      <c r="J486" s="79" t="s">
        <v>579</v>
      </c>
      <c r="K486" s="78" t="s">
        <v>623</v>
      </c>
      <c r="L486" s="77">
        <v>43068</v>
      </c>
      <c r="M486" s="68"/>
      <c r="N486" s="76"/>
      <c r="O486" s="75" t="s">
        <v>1889</v>
      </c>
      <c r="R486" s="74"/>
    </row>
    <row r="487" spans="2:18" ht="36" hidden="1" customHeight="1" x14ac:dyDescent="0.25">
      <c r="B487" s="84">
        <v>1824</v>
      </c>
      <c r="C487" s="83" t="s">
        <v>37</v>
      </c>
      <c r="D487" s="82" t="s">
        <v>2287</v>
      </c>
      <c r="E487" s="81">
        <v>43068</v>
      </c>
      <c r="F487" s="27">
        <f t="shared" ca="1" si="7"/>
        <v>1405</v>
      </c>
      <c r="G487" s="79" t="s">
        <v>2734</v>
      </c>
      <c r="H487" s="80"/>
      <c r="I487" s="80"/>
      <c r="J487" s="79" t="s">
        <v>765</v>
      </c>
      <c r="K487" s="78" t="s">
        <v>623</v>
      </c>
      <c r="L487" s="77">
        <v>43071</v>
      </c>
      <c r="M487" s="68"/>
      <c r="N487" s="76"/>
      <c r="O487" s="75" t="s">
        <v>1307</v>
      </c>
      <c r="R487" s="74"/>
    </row>
    <row r="488" spans="2:18" ht="36" hidden="1" customHeight="1" x14ac:dyDescent="0.25">
      <c r="B488" s="84">
        <v>1818</v>
      </c>
      <c r="C488" s="83" t="s">
        <v>37</v>
      </c>
      <c r="D488" s="82" t="s">
        <v>1685</v>
      </c>
      <c r="E488" s="81">
        <v>43069</v>
      </c>
      <c r="F488" s="27">
        <f t="shared" ca="1" si="7"/>
        <v>1404</v>
      </c>
      <c r="G488" s="79"/>
      <c r="H488" s="80"/>
      <c r="I488" s="80"/>
      <c r="J488" s="79" t="s">
        <v>579</v>
      </c>
      <c r="K488" s="78" t="s">
        <v>623</v>
      </c>
      <c r="L488" s="77">
        <v>43069</v>
      </c>
      <c r="M488" s="68"/>
      <c r="N488" s="76"/>
      <c r="O488" s="75" t="s">
        <v>1686</v>
      </c>
      <c r="R488" s="74"/>
    </row>
    <row r="489" spans="2:18" ht="36" hidden="1" customHeight="1" x14ac:dyDescent="0.25">
      <c r="B489" s="84">
        <v>1817</v>
      </c>
      <c r="C489" s="83" t="s">
        <v>35</v>
      </c>
      <c r="D489" s="82" t="s">
        <v>1495</v>
      </c>
      <c r="E489" s="81">
        <v>43070</v>
      </c>
      <c r="F489" s="27">
        <f t="shared" ca="1" si="7"/>
        <v>1403</v>
      </c>
      <c r="G489" s="79"/>
      <c r="H489" s="80"/>
      <c r="I489" s="80"/>
      <c r="J489" s="79"/>
      <c r="K489" s="78"/>
      <c r="L489" s="77">
        <v>43071</v>
      </c>
      <c r="M489" s="68"/>
      <c r="N489" s="76"/>
      <c r="O489" s="75" t="s">
        <v>1496</v>
      </c>
      <c r="R489" s="74"/>
    </row>
    <row r="490" spans="2:18" ht="36" hidden="1" customHeight="1" x14ac:dyDescent="0.25">
      <c r="B490" s="84">
        <v>1818</v>
      </c>
      <c r="C490" s="83" t="s">
        <v>21</v>
      </c>
      <c r="D490" s="82" t="s">
        <v>1687</v>
      </c>
      <c r="E490" s="81">
        <v>43070</v>
      </c>
      <c r="F490" s="27">
        <f t="shared" ca="1" si="7"/>
        <v>1403</v>
      </c>
      <c r="G490" s="79"/>
      <c r="H490" s="80"/>
      <c r="I490" s="80"/>
      <c r="J490" s="79" t="s">
        <v>765</v>
      </c>
      <c r="K490" s="78" t="s">
        <v>623</v>
      </c>
      <c r="L490" s="77">
        <v>43071</v>
      </c>
      <c r="M490" s="68"/>
      <c r="N490" s="76"/>
      <c r="O490" s="75" t="s">
        <v>1688</v>
      </c>
      <c r="R490" s="74"/>
    </row>
    <row r="491" spans="2:18" ht="36" hidden="1" customHeight="1" x14ac:dyDescent="0.25">
      <c r="B491" s="84">
        <v>1819</v>
      </c>
      <c r="C491" s="83" t="s">
        <v>11</v>
      </c>
      <c r="D491" s="82" t="s">
        <v>1890</v>
      </c>
      <c r="E491" s="81">
        <v>43070</v>
      </c>
      <c r="F491" s="27">
        <f t="shared" ca="1" si="7"/>
        <v>1403</v>
      </c>
      <c r="G491" s="79"/>
      <c r="H491" s="80"/>
      <c r="I491" s="80"/>
      <c r="J491" s="79"/>
      <c r="K491" s="78"/>
      <c r="L491" s="77">
        <v>43071</v>
      </c>
      <c r="M491" s="68"/>
      <c r="N491" s="76"/>
      <c r="O491" s="75" t="s">
        <v>1891</v>
      </c>
      <c r="R491" s="74"/>
    </row>
    <row r="492" spans="2:18" ht="36" hidden="1" customHeight="1" x14ac:dyDescent="0.25">
      <c r="B492" s="84">
        <v>1821</v>
      </c>
      <c r="C492" s="83" t="s">
        <v>31</v>
      </c>
      <c r="D492" s="82" t="s">
        <v>2280</v>
      </c>
      <c r="E492" s="81">
        <v>43070</v>
      </c>
      <c r="F492" s="27">
        <f t="shared" ca="1" si="7"/>
        <v>1403</v>
      </c>
      <c r="G492" s="79"/>
      <c r="H492" s="80"/>
      <c r="I492" s="80"/>
      <c r="J492" s="79" t="s">
        <v>765</v>
      </c>
      <c r="K492" s="78" t="s">
        <v>623</v>
      </c>
      <c r="L492" s="77">
        <v>43070</v>
      </c>
      <c r="M492" s="68"/>
      <c r="N492" s="76"/>
      <c r="O492" s="75" t="s">
        <v>2281</v>
      </c>
      <c r="R492" s="74"/>
    </row>
    <row r="493" spans="2:18" ht="36" hidden="1" customHeight="1" x14ac:dyDescent="0.25">
      <c r="B493" s="84">
        <v>1821</v>
      </c>
      <c r="C493" s="83" t="s">
        <v>23</v>
      </c>
      <c r="D493" s="82" t="s">
        <v>2282</v>
      </c>
      <c r="E493" s="81">
        <v>43070</v>
      </c>
      <c r="F493" s="27">
        <f t="shared" ca="1" si="7"/>
        <v>1403</v>
      </c>
      <c r="G493" s="79"/>
      <c r="H493" s="80"/>
      <c r="I493" s="80"/>
      <c r="J493" s="79"/>
      <c r="K493" s="78"/>
      <c r="L493" s="77">
        <v>43071</v>
      </c>
      <c r="M493" s="68"/>
      <c r="N493" s="76"/>
      <c r="O493" s="75" t="s">
        <v>2283</v>
      </c>
      <c r="R493" s="74"/>
    </row>
    <row r="494" spans="2:18" ht="36" hidden="1" customHeight="1" x14ac:dyDescent="0.25">
      <c r="B494" s="84">
        <v>1822</v>
      </c>
      <c r="C494" s="83" t="s">
        <v>15</v>
      </c>
      <c r="D494" s="82" t="s">
        <v>2413</v>
      </c>
      <c r="E494" s="81">
        <v>43070</v>
      </c>
      <c r="F494" s="27">
        <f t="shared" ca="1" si="7"/>
        <v>1403</v>
      </c>
      <c r="G494" s="79"/>
      <c r="H494" s="80"/>
      <c r="I494" s="80"/>
      <c r="J494" s="79" t="s">
        <v>765</v>
      </c>
      <c r="K494" s="78" t="s">
        <v>623</v>
      </c>
      <c r="L494" s="77">
        <v>43070</v>
      </c>
      <c r="M494" s="68"/>
      <c r="N494" s="76"/>
      <c r="O494" s="75" t="s">
        <v>2414</v>
      </c>
      <c r="R494" s="74"/>
    </row>
    <row r="495" spans="2:18" ht="36" hidden="1" customHeight="1" x14ac:dyDescent="0.25">
      <c r="B495" s="84">
        <v>1822</v>
      </c>
      <c r="C495" s="83" t="s">
        <v>36</v>
      </c>
      <c r="D495" s="82" t="s">
        <v>2415</v>
      </c>
      <c r="E495" s="81">
        <v>43070</v>
      </c>
      <c r="F495" s="27">
        <f t="shared" ca="1" si="7"/>
        <v>1403</v>
      </c>
      <c r="G495" s="79"/>
      <c r="H495" s="80"/>
      <c r="I495" s="80"/>
      <c r="J495" s="79" t="s">
        <v>765</v>
      </c>
      <c r="K495" s="78" t="s">
        <v>623</v>
      </c>
      <c r="L495" s="77">
        <v>43071</v>
      </c>
      <c r="M495" s="68"/>
      <c r="N495" s="76"/>
      <c r="O495" s="75" t="s">
        <v>2416</v>
      </c>
      <c r="R495" s="74"/>
    </row>
    <row r="496" spans="2:18" ht="36" hidden="1" customHeight="1" x14ac:dyDescent="0.25">
      <c r="B496" s="84">
        <v>1823</v>
      </c>
      <c r="C496" s="83" t="s">
        <v>40</v>
      </c>
      <c r="D496" s="82" t="s">
        <v>2556</v>
      </c>
      <c r="E496" s="81">
        <v>43070</v>
      </c>
      <c r="F496" s="27">
        <f t="shared" ca="1" si="7"/>
        <v>1403</v>
      </c>
      <c r="G496" s="79"/>
      <c r="H496" s="80"/>
      <c r="I496" s="80"/>
      <c r="J496" s="79" t="s">
        <v>765</v>
      </c>
      <c r="K496" s="78" t="s">
        <v>623</v>
      </c>
      <c r="L496" s="77">
        <v>43070</v>
      </c>
      <c r="M496" s="68"/>
      <c r="N496" s="76"/>
      <c r="O496" s="75" t="s">
        <v>2557</v>
      </c>
      <c r="R496" s="74"/>
    </row>
    <row r="497" spans="2:18" ht="36" hidden="1" customHeight="1" x14ac:dyDescent="0.25">
      <c r="B497" s="84">
        <v>1822</v>
      </c>
      <c r="C497" s="83" t="s">
        <v>40</v>
      </c>
      <c r="D497" s="82" t="s">
        <v>2417</v>
      </c>
      <c r="E497" s="81">
        <v>43071</v>
      </c>
      <c r="F497" s="27">
        <f t="shared" ca="1" si="7"/>
        <v>1402</v>
      </c>
      <c r="G497" s="79" t="s">
        <v>1504</v>
      </c>
      <c r="H497" s="80"/>
      <c r="I497" s="80"/>
      <c r="J497" s="79" t="s">
        <v>1505</v>
      </c>
      <c r="K497" s="78" t="s">
        <v>623</v>
      </c>
      <c r="L497" s="77">
        <v>43096</v>
      </c>
      <c r="M497" s="68"/>
      <c r="N497" s="76"/>
      <c r="O497" s="75" t="s">
        <v>2418</v>
      </c>
      <c r="R497" s="74"/>
    </row>
    <row r="498" spans="2:18" ht="36" hidden="1" customHeight="1" x14ac:dyDescent="0.25">
      <c r="B498" s="84">
        <v>1816</v>
      </c>
      <c r="C498" s="83" t="s">
        <v>23</v>
      </c>
      <c r="D498" s="82" t="s">
        <v>1310</v>
      </c>
      <c r="E498" s="81">
        <v>43073</v>
      </c>
      <c r="F498" s="27">
        <f t="shared" ca="1" si="7"/>
        <v>1400</v>
      </c>
      <c r="G498" s="79"/>
      <c r="H498" s="80"/>
      <c r="I498" s="80"/>
      <c r="J498" s="79"/>
      <c r="K498" s="78"/>
      <c r="L498" s="77">
        <v>43073</v>
      </c>
      <c r="M498" s="68"/>
      <c r="N498" s="76"/>
      <c r="O498" s="75" t="s">
        <v>1311</v>
      </c>
      <c r="R498" s="74"/>
    </row>
    <row r="499" spans="2:18" ht="36" hidden="1" customHeight="1" x14ac:dyDescent="0.25">
      <c r="B499" s="84">
        <v>1817</v>
      </c>
      <c r="C499" s="83" t="s">
        <v>37</v>
      </c>
      <c r="D499" s="82" t="s">
        <v>1497</v>
      </c>
      <c r="E499" s="81">
        <v>43073</v>
      </c>
      <c r="F499" s="27">
        <f t="shared" ca="1" si="7"/>
        <v>1400</v>
      </c>
      <c r="G499" s="79"/>
      <c r="H499" s="80"/>
      <c r="I499" s="80"/>
      <c r="J499" s="79"/>
      <c r="K499" s="78"/>
      <c r="L499" s="77">
        <v>43073</v>
      </c>
      <c r="M499" s="68"/>
      <c r="N499" s="76"/>
      <c r="O499" s="75" t="s">
        <v>1498</v>
      </c>
      <c r="R499" s="74"/>
    </row>
    <row r="500" spans="2:18" ht="36" hidden="1" customHeight="1" x14ac:dyDescent="0.25">
      <c r="B500" s="84">
        <v>1817</v>
      </c>
      <c r="C500" s="83" t="s">
        <v>18</v>
      </c>
      <c r="D500" s="82" t="s">
        <v>1499</v>
      </c>
      <c r="E500" s="81">
        <v>43073</v>
      </c>
      <c r="F500" s="27">
        <f t="shared" ca="1" si="7"/>
        <v>1400</v>
      </c>
      <c r="G500" s="79" t="s">
        <v>578</v>
      </c>
      <c r="H500" s="80"/>
      <c r="I500" s="80"/>
      <c r="J500" s="79" t="s">
        <v>579</v>
      </c>
      <c r="K500" s="78" t="s">
        <v>623</v>
      </c>
      <c r="L500" s="77">
        <v>43077</v>
      </c>
      <c r="M500" s="68"/>
      <c r="N500" s="76"/>
      <c r="O500" s="75" t="s">
        <v>1500</v>
      </c>
      <c r="R500" s="74"/>
    </row>
    <row r="501" spans="2:18" ht="36" hidden="1" customHeight="1" x14ac:dyDescent="0.25">
      <c r="B501" s="84">
        <v>1819</v>
      </c>
      <c r="C501" s="83" t="s">
        <v>37</v>
      </c>
      <c r="D501" s="82" t="s">
        <v>1895</v>
      </c>
      <c r="E501" s="81">
        <v>43073</v>
      </c>
      <c r="F501" s="27">
        <f t="shared" ca="1" si="7"/>
        <v>1400</v>
      </c>
      <c r="G501" s="79" t="s">
        <v>1896</v>
      </c>
      <c r="H501" s="80"/>
      <c r="I501" s="80"/>
      <c r="J501" s="79" t="s">
        <v>579</v>
      </c>
      <c r="K501" s="78" t="s">
        <v>623</v>
      </c>
      <c r="L501" s="77">
        <v>43077</v>
      </c>
      <c r="M501" s="68"/>
      <c r="N501" s="76"/>
      <c r="O501" s="75" t="s">
        <v>1897</v>
      </c>
      <c r="R501" s="74"/>
    </row>
    <row r="502" spans="2:18" ht="36" hidden="1" customHeight="1" x14ac:dyDescent="0.25">
      <c r="B502" s="84">
        <v>1823</v>
      </c>
      <c r="C502" s="83" t="s">
        <v>37</v>
      </c>
      <c r="D502" s="82" t="s">
        <v>2558</v>
      </c>
      <c r="E502" s="81">
        <v>43073</v>
      </c>
      <c r="F502" s="27">
        <f t="shared" ca="1" si="7"/>
        <v>1400</v>
      </c>
      <c r="G502" s="79" t="s">
        <v>2118</v>
      </c>
      <c r="H502" s="80"/>
      <c r="I502" s="80"/>
      <c r="J502" s="79" t="s">
        <v>579</v>
      </c>
      <c r="K502" s="78" t="s">
        <v>623</v>
      </c>
      <c r="L502" s="77">
        <v>43073</v>
      </c>
      <c r="M502" s="68"/>
      <c r="N502" s="76"/>
      <c r="O502" s="75"/>
      <c r="R502" s="74"/>
    </row>
    <row r="503" spans="2:18" ht="36" hidden="1" customHeight="1" x14ac:dyDescent="0.25">
      <c r="B503" s="84">
        <v>1828</v>
      </c>
      <c r="C503" s="83" t="s">
        <v>23</v>
      </c>
      <c r="D503" s="82" t="s">
        <v>3514</v>
      </c>
      <c r="E503" s="81">
        <v>43073</v>
      </c>
      <c r="F503" s="27">
        <f t="shared" ca="1" si="7"/>
        <v>1400</v>
      </c>
      <c r="G503" s="79" t="s">
        <v>764</v>
      </c>
      <c r="H503" s="80"/>
      <c r="I503" s="80"/>
      <c r="J503" s="79" t="s">
        <v>765</v>
      </c>
      <c r="K503" s="78" t="s">
        <v>623</v>
      </c>
      <c r="L503" s="77">
        <v>43085</v>
      </c>
      <c r="M503" s="68"/>
      <c r="N503" s="76"/>
      <c r="O503" s="75" t="s">
        <v>3515</v>
      </c>
      <c r="R503" s="74"/>
    </row>
    <row r="504" spans="2:18" ht="36" hidden="1" customHeight="1" x14ac:dyDescent="0.25">
      <c r="B504" s="84">
        <v>1828</v>
      </c>
      <c r="C504" s="83" t="s">
        <v>18</v>
      </c>
      <c r="D504" s="82" t="s">
        <v>1499</v>
      </c>
      <c r="E504" s="81">
        <v>43073</v>
      </c>
      <c r="F504" s="27">
        <f t="shared" ca="1" si="7"/>
        <v>1400</v>
      </c>
      <c r="G504" s="79" t="s">
        <v>1354</v>
      </c>
      <c r="H504" s="80"/>
      <c r="I504" s="80"/>
      <c r="J504" s="79" t="s">
        <v>765</v>
      </c>
      <c r="K504" s="78" t="s">
        <v>623</v>
      </c>
      <c r="L504" s="77">
        <v>43112</v>
      </c>
      <c r="M504" s="68"/>
      <c r="N504" s="76"/>
      <c r="O504" s="75" t="s">
        <v>3522</v>
      </c>
      <c r="R504" s="74"/>
    </row>
    <row r="505" spans="2:18" ht="36" hidden="1" customHeight="1" x14ac:dyDescent="0.25">
      <c r="B505" s="84">
        <v>1830</v>
      </c>
      <c r="C505" s="83" t="s">
        <v>19</v>
      </c>
      <c r="D505" s="82" t="s">
        <v>3899</v>
      </c>
      <c r="E505" s="81">
        <v>43073</v>
      </c>
      <c r="F505" s="27">
        <f t="shared" ca="1" si="7"/>
        <v>1400</v>
      </c>
      <c r="G505" s="79" t="s">
        <v>3900</v>
      </c>
      <c r="H505" s="80"/>
      <c r="I505" s="80"/>
      <c r="J505" s="79" t="s">
        <v>579</v>
      </c>
      <c r="K505" s="78" t="s">
        <v>623</v>
      </c>
      <c r="L505" s="77">
        <v>43074</v>
      </c>
      <c r="M505" s="68"/>
      <c r="N505" s="76"/>
      <c r="O505" s="75" t="s">
        <v>3901</v>
      </c>
      <c r="R505" s="74"/>
    </row>
    <row r="506" spans="2:18" ht="36" hidden="1" customHeight="1" x14ac:dyDescent="0.25">
      <c r="B506" s="84">
        <v>1823</v>
      </c>
      <c r="C506" s="83" t="s">
        <v>23</v>
      </c>
      <c r="D506" s="82" t="s">
        <v>2559</v>
      </c>
      <c r="E506" s="81">
        <v>43074</v>
      </c>
      <c r="F506" s="27">
        <f t="shared" ca="1" si="7"/>
        <v>1399</v>
      </c>
      <c r="G506" s="79"/>
      <c r="H506" s="80"/>
      <c r="I506" s="80"/>
      <c r="J506" s="79"/>
      <c r="K506" s="78"/>
      <c r="L506" s="77">
        <v>43075</v>
      </c>
      <c r="M506" s="68"/>
      <c r="N506" s="76" t="s">
        <v>2560</v>
      </c>
      <c r="O506" s="75"/>
      <c r="R506" s="74"/>
    </row>
    <row r="507" spans="2:18" ht="36" hidden="1" customHeight="1" x14ac:dyDescent="0.25">
      <c r="B507" s="84">
        <v>1825</v>
      </c>
      <c r="C507" s="83" t="s">
        <v>37</v>
      </c>
      <c r="D507" s="82" t="s">
        <v>1870</v>
      </c>
      <c r="E507" s="81">
        <v>43074</v>
      </c>
      <c r="F507" s="27">
        <f t="shared" ca="1" si="7"/>
        <v>1399</v>
      </c>
      <c r="G507" s="79" t="s">
        <v>1304</v>
      </c>
      <c r="H507" s="80"/>
      <c r="I507" s="80"/>
      <c r="J507" s="79" t="s">
        <v>1301</v>
      </c>
      <c r="K507" s="78" t="s">
        <v>1301</v>
      </c>
      <c r="L507" s="77">
        <v>43077</v>
      </c>
      <c r="M507" s="68"/>
      <c r="N507" s="76"/>
      <c r="O507" s="75" t="s">
        <v>1307</v>
      </c>
      <c r="R507" s="74"/>
    </row>
    <row r="508" spans="2:18" ht="36" hidden="1" customHeight="1" x14ac:dyDescent="0.25">
      <c r="B508" s="84">
        <v>1825</v>
      </c>
      <c r="C508" s="83" t="s">
        <v>40</v>
      </c>
      <c r="D508" s="82" t="s">
        <v>3003</v>
      </c>
      <c r="E508" s="81">
        <v>43074</v>
      </c>
      <c r="F508" s="27">
        <f t="shared" ca="1" si="7"/>
        <v>1399</v>
      </c>
      <c r="G508" s="79" t="s">
        <v>1304</v>
      </c>
      <c r="H508" s="80"/>
      <c r="I508" s="80"/>
      <c r="J508" s="79" t="s">
        <v>1301</v>
      </c>
      <c r="K508" s="78" t="s">
        <v>1301</v>
      </c>
      <c r="L508" s="77">
        <v>43077</v>
      </c>
      <c r="M508" s="68"/>
      <c r="N508" s="76"/>
      <c r="O508" s="75" t="s">
        <v>3004</v>
      </c>
      <c r="R508" s="74"/>
    </row>
    <row r="509" spans="2:18" ht="36" hidden="1" customHeight="1" x14ac:dyDescent="0.25">
      <c r="B509" s="84">
        <v>1821</v>
      </c>
      <c r="C509" s="83"/>
      <c r="D509" s="82" t="s">
        <v>2284</v>
      </c>
      <c r="E509" s="81">
        <v>43075</v>
      </c>
      <c r="F509" s="27">
        <f t="shared" ca="1" si="7"/>
        <v>1398</v>
      </c>
      <c r="G509" s="79"/>
      <c r="H509" s="80"/>
      <c r="I509" s="80"/>
      <c r="J509" s="79"/>
      <c r="K509" s="78"/>
      <c r="L509" s="77">
        <v>43075</v>
      </c>
      <c r="M509" s="68"/>
      <c r="N509" s="76"/>
      <c r="O509" s="75" t="s">
        <v>2285</v>
      </c>
      <c r="R509" s="74"/>
    </row>
    <row r="510" spans="2:18" ht="36" hidden="1" customHeight="1" x14ac:dyDescent="0.25">
      <c r="B510" s="84">
        <v>1824</v>
      </c>
      <c r="C510" s="83" t="s">
        <v>18</v>
      </c>
      <c r="D510" s="82" t="s">
        <v>2742</v>
      </c>
      <c r="E510" s="81">
        <v>43075</v>
      </c>
      <c r="F510" s="27">
        <f t="shared" ca="1" si="7"/>
        <v>1398</v>
      </c>
      <c r="G510" s="79" t="s">
        <v>2743</v>
      </c>
      <c r="H510" s="80"/>
      <c r="I510" s="80"/>
      <c r="J510" s="79" t="s">
        <v>579</v>
      </c>
      <c r="K510" s="78" t="s">
        <v>623</v>
      </c>
      <c r="L510" s="77">
        <v>43077</v>
      </c>
      <c r="M510" s="68"/>
      <c r="N510" s="76"/>
      <c r="O510" s="75" t="s">
        <v>2744</v>
      </c>
      <c r="R510" s="74"/>
    </row>
    <row r="511" spans="2:18" ht="36" hidden="1" customHeight="1" x14ac:dyDescent="0.25">
      <c r="B511" s="84">
        <v>1828</v>
      </c>
      <c r="C511" s="83" t="s">
        <v>23</v>
      </c>
      <c r="D511" s="82" t="s">
        <v>3510</v>
      </c>
      <c r="E511" s="81">
        <v>43075</v>
      </c>
      <c r="F511" s="27">
        <f t="shared" ca="1" si="7"/>
        <v>1398</v>
      </c>
      <c r="G511" s="79"/>
      <c r="H511" s="80"/>
      <c r="I511" s="80"/>
      <c r="J511" s="79"/>
      <c r="K511" s="78"/>
      <c r="L511" s="77">
        <v>43075</v>
      </c>
      <c r="M511" s="68"/>
      <c r="N511" s="76"/>
      <c r="O511" s="75" t="s">
        <v>3511</v>
      </c>
      <c r="R511" s="74"/>
    </row>
    <row r="512" spans="2:18" ht="36" hidden="1" customHeight="1" x14ac:dyDescent="0.25">
      <c r="B512" s="84">
        <v>1642</v>
      </c>
      <c r="C512" s="83" t="s">
        <v>9</v>
      </c>
      <c r="D512" s="82" t="s">
        <v>760</v>
      </c>
      <c r="E512" s="81">
        <v>43077</v>
      </c>
      <c r="F512" s="27">
        <f t="shared" ca="1" si="7"/>
        <v>1396</v>
      </c>
      <c r="G512" s="79" t="s">
        <v>761</v>
      </c>
      <c r="H512" s="80"/>
      <c r="I512" s="80"/>
      <c r="J512" s="79" t="s">
        <v>592</v>
      </c>
      <c r="K512" s="78" t="s">
        <v>580</v>
      </c>
      <c r="L512" s="77">
        <v>43087</v>
      </c>
      <c r="M512" s="68"/>
      <c r="N512" s="76"/>
      <c r="O512" s="75" t="s">
        <v>762</v>
      </c>
      <c r="R512" s="74"/>
    </row>
    <row r="513" spans="2:18" ht="36" hidden="1" customHeight="1" x14ac:dyDescent="0.25">
      <c r="B513" s="84">
        <v>1821</v>
      </c>
      <c r="C513" s="83" t="s">
        <v>37</v>
      </c>
      <c r="D513" s="82" t="s">
        <v>2287</v>
      </c>
      <c r="E513" s="81">
        <v>43077</v>
      </c>
      <c r="F513" s="27">
        <f t="shared" ca="1" si="7"/>
        <v>1396</v>
      </c>
      <c r="G513" s="79" t="s">
        <v>764</v>
      </c>
      <c r="H513" s="80"/>
      <c r="I513" s="80"/>
      <c r="J513" s="79" t="s">
        <v>765</v>
      </c>
      <c r="K513" s="78" t="s">
        <v>623</v>
      </c>
      <c r="L513" s="77">
        <v>43084</v>
      </c>
      <c r="M513" s="68"/>
      <c r="N513" s="76"/>
      <c r="O513" s="75" t="s">
        <v>1307</v>
      </c>
      <c r="R513" s="74"/>
    </row>
    <row r="514" spans="2:18" ht="36" hidden="1" customHeight="1" x14ac:dyDescent="0.25">
      <c r="B514" s="84">
        <v>1823</v>
      </c>
      <c r="C514" s="83" t="s">
        <v>40</v>
      </c>
      <c r="D514" s="82" t="s">
        <v>2561</v>
      </c>
      <c r="E514" s="81">
        <v>43077</v>
      </c>
      <c r="F514" s="27">
        <f t="shared" ca="1" si="7"/>
        <v>1396</v>
      </c>
      <c r="G514" s="79" t="s">
        <v>764</v>
      </c>
      <c r="H514" s="80"/>
      <c r="I514" s="80"/>
      <c r="J514" s="79" t="s">
        <v>765</v>
      </c>
      <c r="K514" s="78" t="s">
        <v>623</v>
      </c>
      <c r="L514" s="77">
        <v>43085</v>
      </c>
      <c r="M514" s="68"/>
      <c r="N514" s="76"/>
      <c r="O514" s="75" t="s">
        <v>2562</v>
      </c>
      <c r="R514" s="74"/>
    </row>
    <row r="515" spans="2:18" ht="36" hidden="1" customHeight="1" x14ac:dyDescent="0.25">
      <c r="B515" s="84">
        <v>1828</v>
      </c>
      <c r="C515" s="83" t="s">
        <v>9</v>
      </c>
      <c r="D515" s="82" t="s">
        <v>3516</v>
      </c>
      <c r="E515" s="81">
        <v>43077</v>
      </c>
      <c r="F515" s="27">
        <f t="shared" ca="1" si="7"/>
        <v>1396</v>
      </c>
      <c r="G515" s="79" t="s">
        <v>764</v>
      </c>
      <c r="H515" s="80"/>
      <c r="I515" s="80"/>
      <c r="J515" s="79" t="s">
        <v>765</v>
      </c>
      <c r="K515" s="78" t="s">
        <v>623</v>
      </c>
      <c r="L515" s="77">
        <v>43085</v>
      </c>
      <c r="M515" s="68"/>
      <c r="N515" s="76"/>
      <c r="O515" s="75" t="s">
        <v>3517</v>
      </c>
      <c r="R515" s="74"/>
    </row>
    <row r="516" spans="2:18" ht="36" hidden="1" customHeight="1" x14ac:dyDescent="0.25">
      <c r="B516" s="84">
        <v>1828</v>
      </c>
      <c r="C516" s="83" t="s">
        <v>11</v>
      </c>
      <c r="D516" s="82" t="s">
        <v>3518</v>
      </c>
      <c r="E516" s="81">
        <v>43077</v>
      </c>
      <c r="F516" s="27">
        <f t="shared" ca="1" si="7"/>
        <v>1396</v>
      </c>
      <c r="G516" s="79" t="s">
        <v>764</v>
      </c>
      <c r="H516" s="80"/>
      <c r="I516" s="80"/>
      <c r="J516" s="79" t="s">
        <v>765</v>
      </c>
      <c r="K516" s="78" t="s">
        <v>623</v>
      </c>
      <c r="L516" s="77">
        <v>43085</v>
      </c>
      <c r="M516" s="68"/>
      <c r="N516" s="76"/>
      <c r="O516" s="75" t="s">
        <v>3519</v>
      </c>
      <c r="R516" s="74"/>
    </row>
    <row r="517" spans="2:18" ht="36" hidden="1" customHeight="1" x14ac:dyDescent="0.25">
      <c r="B517" s="84">
        <v>1828</v>
      </c>
      <c r="C517" s="83" t="s">
        <v>18</v>
      </c>
      <c r="D517" s="82" t="s">
        <v>3523</v>
      </c>
      <c r="E517" s="81">
        <v>43077</v>
      </c>
      <c r="F517" s="27">
        <f t="shared" ca="1" si="7"/>
        <v>1396</v>
      </c>
      <c r="G517" s="79" t="s">
        <v>1354</v>
      </c>
      <c r="H517" s="80"/>
      <c r="I517" s="80"/>
      <c r="J517" s="79" t="s">
        <v>765</v>
      </c>
      <c r="K517" s="78" t="s">
        <v>623</v>
      </c>
      <c r="L517" s="77">
        <v>43112</v>
      </c>
      <c r="M517" s="68"/>
      <c r="N517" s="76"/>
      <c r="O517" s="75" t="s">
        <v>3522</v>
      </c>
      <c r="R517" s="74"/>
    </row>
    <row r="518" spans="2:18" ht="36" hidden="1" customHeight="1" x14ac:dyDescent="0.25">
      <c r="B518" s="84">
        <v>1829</v>
      </c>
      <c r="C518" s="83" t="s">
        <v>19</v>
      </c>
      <c r="D518" s="82" t="s">
        <v>1569</v>
      </c>
      <c r="E518" s="81">
        <v>43077</v>
      </c>
      <c r="F518" s="27">
        <f t="shared" ca="1" si="7"/>
        <v>1396</v>
      </c>
      <c r="G518" s="79" t="s">
        <v>764</v>
      </c>
      <c r="H518" s="80"/>
      <c r="I518" s="80"/>
      <c r="J518" s="79" t="s">
        <v>765</v>
      </c>
      <c r="K518" s="78" t="s">
        <v>623</v>
      </c>
      <c r="L518" s="77">
        <v>43085</v>
      </c>
      <c r="M518" s="68"/>
      <c r="N518" s="76"/>
      <c r="O518" s="75" t="s">
        <v>3743</v>
      </c>
      <c r="R518" s="74"/>
    </row>
    <row r="519" spans="2:18" ht="36" hidden="1" customHeight="1" x14ac:dyDescent="0.25">
      <c r="B519" s="84">
        <v>1830</v>
      </c>
      <c r="C519" s="83" t="s">
        <v>18</v>
      </c>
      <c r="D519" s="82" t="s">
        <v>3904</v>
      </c>
      <c r="E519" s="81">
        <v>43077</v>
      </c>
      <c r="F519" s="27">
        <f t="shared" ca="1" si="7"/>
        <v>1396</v>
      </c>
      <c r="G519" s="79"/>
      <c r="H519" s="80"/>
      <c r="I519" s="80"/>
      <c r="J519" s="79" t="s">
        <v>765</v>
      </c>
      <c r="K519" s="78" t="s">
        <v>623</v>
      </c>
      <c r="L519" s="77">
        <v>43077</v>
      </c>
      <c r="M519" s="68"/>
      <c r="N519" s="76"/>
      <c r="O519" s="75" t="s">
        <v>2744</v>
      </c>
      <c r="R519" s="74"/>
    </row>
    <row r="520" spans="2:18" ht="36" hidden="1" customHeight="1" x14ac:dyDescent="0.25">
      <c r="B520" s="84">
        <v>1830</v>
      </c>
      <c r="C520" s="83" t="s">
        <v>20</v>
      </c>
      <c r="D520" s="82" t="s">
        <v>3905</v>
      </c>
      <c r="E520" s="81">
        <v>43077</v>
      </c>
      <c r="F520" s="27">
        <f t="shared" ca="1" si="7"/>
        <v>1396</v>
      </c>
      <c r="G520" s="79" t="s">
        <v>764</v>
      </c>
      <c r="H520" s="80"/>
      <c r="I520" s="80"/>
      <c r="J520" s="79" t="s">
        <v>765</v>
      </c>
      <c r="K520" s="78" t="s">
        <v>623</v>
      </c>
      <c r="L520" s="77">
        <v>43085</v>
      </c>
      <c r="M520" s="68"/>
      <c r="N520" s="76"/>
      <c r="O520" s="75" t="s">
        <v>3906</v>
      </c>
      <c r="R520" s="74"/>
    </row>
    <row r="521" spans="2:18" ht="36" hidden="1" customHeight="1" x14ac:dyDescent="0.25">
      <c r="B521" s="84">
        <v>1818</v>
      </c>
      <c r="C521" s="83" t="s">
        <v>39</v>
      </c>
      <c r="D521" s="82" t="s">
        <v>1689</v>
      </c>
      <c r="E521" s="81">
        <v>43080</v>
      </c>
      <c r="F521" s="27">
        <f t="shared" ca="1" si="7"/>
        <v>1393</v>
      </c>
      <c r="G521" s="79" t="s">
        <v>764</v>
      </c>
      <c r="H521" s="80"/>
      <c r="I521" s="80"/>
      <c r="J521" s="79" t="s">
        <v>765</v>
      </c>
      <c r="K521" s="78" t="s">
        <v>623</v>
      </c>
      <c r="L521" s="77">
        <v>43085</v>
      </c>
      <c r="M521" s="68"/>
      <c r="N521" s="76"/>
      <c r="O521" s="75" t="s">
        <v>1690</v>
      </c>
      <c r="R521" s="74"/>
    </row>
    <row r="522" spans="2:18" ht="36" hidden="1" customHeight="1" x14ac:dyDescent="0.25">
      <c r="B522" s="84">
        <v>1818</v>
      </c>
      <c r="C522" s="83" t="s">
        <v>39</v>
      </c>
      <c r="D522" s="82" t="s">
        <v>1691</v>
      </c>
      <c r="E522" s="81">
        <v>43080</v>
      </c>
      <c r="F522" s="27">
        <f t="shared" ca="1" si="7"/>
        <v>1393</v>
      </c>
      <c r="G522" s="79" t="s">
        <v>764</v>
      </c>
      <c r="H522" s="80"/>
      <c r="I522" s="80"/>
      <c r="J522" s="79" t="s">
        <v>765</v>
      </c>
      <c r="K522" s="78" t="s">
        <v>623</v>
      </c>
      <c r="L522" s="77">
        <v>43085</v>
      </c>
      <c r="M522" s="68"/>
      <c r="N522" s="76"/>
      <c r="O522" s="75" t="s">
        <v>1692</v>
      </c>
      <c r="R522" s="74"/>
    </row>
    <row r="523" spans="2:18" ht="36" hidden="1" customHeight="1" x14ac:dyDescent="0.25">
      <c r="B523" s="84">
        <v>1820</v>
      </c>
      <c r="C523" s="83" t="s">
        <v>23</v>
      </c>
      <c r="D523" s="82" t="s">
        <v>2090</v>
      </c>
      <c r="E523" s="81">
        <v>43080</v>
      </c>
      <c r="F523" s="27">
        <f t="shared" ca="1" si="7"/>
        <v>1393</v>
      </c>
      <c r="G523" s="79" t="s">
        <v>764</v>
      </c>
      <c r="H523" s="80"/>
      <c r="I523" s="80"/>
      <c r="J523" s="79" t="s">
        <v>765</v>
      </c>
      <c r="K523" s="78" t="s">
        <v>623</v>
      </c>
      <c r="L523" s="77">
        <v>43085</v>
      </c>
      <c r="M523" s="68"/>
      <c r="N523" s="76"/>
      <c r="O523" s="75" t="s">
        <v>2091</v>
      </c>
      <c r="R523" s="74"/>
    </row>
    <row r="524" spans="2:18" ht="36" hidden="1" customHeight="1" x14ac:dyDescent="0.25">
      <c r="B524" s="84">
        <v>1823</v>
      </c>
      <c r="C524" s="83" t="s">
        <v>16</v>
      </c>
      <c r="D524" s="82" t="s">
        <v>2595</v>
      </c>
      <c r="E524" s="81">
        <v>43080</v>
      </c>
      <c r="F524" s="27">
        <f t="shared" ca="1" si="7"/>
        <v>1393</v>
      </c>
      <c r="G524" s="79" t="s">
        <v>2584</v>
      </c>
      <c r="H524" s="80"/>
      <c r="I524" s="80"/>
      <c r="J524" s="79" t="s">
        <v>579</v>
      </c>
      <c r="K524" s="78" t="s">
        <v>623</v>
      </c>
      <c r="L524" s="77">
        <v>43195</v>
      </c>
      <c r="M524" s="68"/>
      <c r="N524" s="76"/>
      <c r="O524" s="75" t="s">
        <v>2596</v>
      </c>
      <c r="R524" s="74"/>
    </row>
    <row r="525" spans="2:18" ht="36" hidden="1" customHeight="1" x14ac:dyDescent="0.25">
      <c r="B525" s="84">
        <v>1824</v>
      </c>
      <c r="C525" s="83" t="s">
        <v>39</v>
      </c>
      <c r="D525" s="82" t="s">
        <v>1689</v>
      </c>
      <c r="E525" s="81">
        <v>43080</v>
      </c>
      <c r="F525" s="27">
        <f t="shared" ca="1" si="7"/>
        <v>1393</v>
      </c>
      <c r="G525" s="79" t="s">
        <v>764</v>
      </c>
      <c r="H525" s="80"/>
      <c r="I525" s="80"/>
      <c r="J525" s="79" t="s">
        <v>765</v>
      </c>
      <c r="K525" s="78" t="s">
        <v>623</v>
      </c>
      <c r="L525" s="77">
        <v>43084</v>
      </c>
      <c r="M525" s="68"/>
      <c r="N525" s="76"/>
      <c r="O525" s="75" t="s">
        <v>2745</v>
      </c>
      <c r="R525" s="74"/>
    </row>
    <row r="526" spans="2:18" ht="36" hidden="1" customHeight="1" x14ac:dyDescent="0.25">
      <c r="B526" s="84">
        <v>1824</v>
      </c>
      <c r="C526" s="83" t="s">
        <v>40</v>
      </c>
      <c r="D526" s="82" t="s">
        <v>2746</v>
      </c>
      <c r="E526" s="81">
        <v>43080</v>
      </c>
      <c r="F526" s="27">
        <f t="shared" ca="1" si="7"/>
        <v>1393</v>
      </c>
      <c r="G526" s="79" t="s">
        <v>2747</v>
      </c>
      <c r="H526" s="80"/>
      <c r="I526" s="80"/>
      <c r="J526" s="79" t="s">
        <v>579</v>
      </c>
      <c r="K526" s="78" t="s">
        <v>623</v>
      </c>
      <c r="L526" s="77">
        <v>43089</v>
      </c>
      <c r="M526" s="68"/>
      <c r="N526" s="76"/>
      <c r="O526" s="75" t="s">
        <v>2748</v>
      </c>
      <c r="R526" s="74"/>
    </row>
    <row r="527" spans="2:18" ht="36" hidden="1" customHeight="1" x14ac:dyDescent="0.25">
      <c r="B527" s="84">
        <v>1825</v>
      </c>
      <c r="C527" s="83" t="s">
        <v>17</v>
      </c>
      <c r="D527" s="82" t="s">
        <v>3005</v>
      </c>
      <c r="E527" s="81">
        <v>43080</v>
      </c>
      <c r="F527" s="27">
        <f t="shared" ca="1" si="7"/>
        <v>1393</v>
      </c>
      <c r="G527" s="79" t="s">
        <v>764</v>
      </c>
      <c r="H527" s="80"/>
      <c r="I527" s="80"/>
      <c r="J527" s="79" t="s">
        <v>765</v>
      </c>
      <c r="K527" s="78" t="s">
        <v>623</v>
      </c>
      <c r="L527" s="77">
        <v>43084</v>
      </c>
      <c r="M527" s="68"/>
      <c r="N527" s="76"/>
      <c r="O527" s="75" t="s">
        <v>3006</v>
      </c>
      <c r="R527" s="74"/>
    </row>
    <row r="528" spans="2:18" ht="36" hidden="1" customHeight="1" x14ac:dyDescent="0.25">
      <c r="B528" s="84">
        <v>1825</v>
      </c>
      <c r="C528" s="83" t="s">
        <v>39</v>
      </c>
      <c r="D528" s="82" t="s">
        <v>3007</v>
      </c>
      <c r="E528" s="81">
        <v>43080</v>
      </c>
      <c r="F528" s="27">
        <f t="shared" ref="F528:F591" ca="1" si="8">IF(E528&lt;&gt;"",TODAY()-E528,"")</f>
        <v>1393</v>
      </c>
      <c r="G528" s="79" t="s">
        <v>764</v>
      </c>
      <c r="H528" s="80"/>
      <c r="I528" s="80"/>
      <c r="J528" s="79" t="s">
        <v>765</v>
      </c>
      <c r="K528" s="78" t="s">
        <v>623</v>
      </c>
      <c r="L528" s="77">
        <v>43084</v>
      </c>
      <c r="M528" s="68"/>
      <c r="N528" s="76"/>
      <c r="O528" s="75" t="s">
        <v>3008</v>
      </c>
      <c r="R528" s="74"/>
    </row>
    <row r="529" spans="2:18" ht="36" hidden="1" customHeight="1" x14ac:dyDescent="0.25">
      <c r="B529" s="84">
        <v>1642</v>
      </c>
      <c r="C529" s="83" t="s">
        <v>39</v>
      </c>
      <c r="D529" s="82" t="s">
        <v>763</v>
      </c>
      <c r="E529" s="81">
        <v>43082</v>
      </c>
      <c r="F529" s="27">
        <f t="shared" ca="1" si="8"/>
        <v>1391</v>
      </c>
      <c r="G529" s="79" t="s">
        <v>764</v>
      </c>
      <c r="H529" s="80"/>
      <c r="I529" s="80"/>
      <c r="J529" s="79" t="s">
        <v>765</v>
      </c>
      <c r="K529" s="78" t="s">
        <v>623</v>
      </c>
      <c r="L529" s="77">
        <v>43087</v>
      </c>
      <c r="M529" s="68"/>
      <c r="N529" s="76"/>
      <c r="O529" s="75" t="s">
        <v>766</v>
      </c>
      <c r="R529" s="74"/>
    </row>
    <row r="530" spans="2:18" ht="36" hidden="1" customHeight="1" x14ac:dyDescent="0.25">
      <c r="B530" s="84">
        <v>1645</v>
      </c>
      <c r="C530" s="83" t="s">
        <v>39</v>
      </c>
      <c r="D530" s="82" t="s">
        <v>763</v>
      </c>
      <c r="E530" s="81">
        <v>43082</v>
      </c>
      <c r="F530" s="27">
        <f t="shared" ca="1" si="8"/>
        <v>1391</v>
      </c>
      <c r="G530" s="79" t="s">
        <v>764</v>
      </c>
      <c r="H530" s="80"/>
      <c r="I530" s="80"/>
      <c r="J530" s="79" t="s">
        <v>765</v>
      </c>
      <c r="K530" s="78" t="s">
        <v>623</v>
      </c>
      <c r="L530" s="77">
        <v>43087</v>
      </c>
      <c r="M530" s="68"/>
      <c r="N530" s="76"/>
      <c r="O530" s="75" t="s">
        <v>766</v>
      </c>
      <c r="R530" s="74"/>
    </row>
    <row r="531" spans="2:18" ht="36" hidden="1" customHeight="1" x14ac:dyDescent="0.25">
      <c r="B531" s="84">
        <v>1646</v>
      </c>
      <c r="C531" s="83" t="s">
        <v>39</v>
      </c>
      <c r="D531" s="82" t="s">
        <v>763</v>
      </c>
      <c r="E531" s="81">
        <v>43082</v>
      </c>
      <c r="F531" s="27">
        <f t="shared" ca="1" si="8"/>
        <v>1391</v>
      </c>
      <c r="G531" s="79" t="s">
        <v>764</v>
      </c>
      <c r="H531" s="80"/>
      <c r="I531" s="80"/>
      <c r="J531" s="79" t="s">
        <v>765</v>
      </c>
      <c r="K531" s="78" t="s">
        <v>623</v>
      </c>
      <c r="L531" s="77">
        <v>43087</v>
      </c>
      <c r="M531" s="68"/>
      <c r="N531" s="76"/>
      <c r="O531" s="75" t="s">
        <v>766</v>
      </c>
      <c r="R531" s="74"/>
    </row>
    <row r="532" spans="2:18" ht="36" hidden="1" customHeight="1" x14ac:dyDescent="0.25">
      <c r="B532" s="84">
        <v>1647</v>
      </c>
      <c r="C532" s="83" t="s">
        <v>39</v>
      </c>
      <c r="D532" s="82" t="s">
        <v>763</v>
      </c>
      <c r="E532" s="81">
        <v>43082</v>
      </c>
      <c r="F532" s="27">
        <f t="shared" ca="1" si="8"/>
        <v>1391</v>
      </c>
      <c r="G532" s="79" t="s">
        <v>764</v>
      </c>
      <c r="H532" s="80"/>
      <c r="I532" s="80"/>
      <c r="J532" s="79" t="s">
        <v>765</v>
      </c>
      <c r="K532" s="78" t="s">
        <v>623</v>
      </c>
      <c r="L532" s="77">
        <v>43087</v>
      </c>
      <c r="M532" s="68"/>
      <c r="N532" s="76"/>
      <c r="O532" s="75" t="s">
        <v>766</v>
      </c>
      <c r="R532" s="74"/>
    </row>
    <row r="533" spans="2:18" ht="36" hidden="1" customHeight="1" x14ac:dyDescent="0.25">
      <c r="B533" s="84">
        <v>1816</v>
      </c>
      <c r="C533" s="83" t="s">
        <v>39</v>
      </c>
      <c r="D533" s="82" t="s">
        <v>763</v>
      </c>
      <c r="E533" s="81">
        <v>43082</v>
      </c>
      <c r="F533" s="27">
        <f t="shared" ca="1" si="8"/>
        <v>1391</v>
      </c>
      <c r="G533" s="79" t="s">
        <v>764</v>
      </c>
      <c r="H533" s="80"/>
      <c r="I533" s="80"/>
      <c r="J533" s="79" t="s">
        <v>765</v>
      </c>
      <c r="K533" s="78" t="s">
        <v>623</v>
      </c>
      <c r="L533" s="77">
        <v>43084</v>
      </c>
      <c r="M533" s="68"/>
      <c r="N533" s="76"/>
      <c r="O533" s="75" t="s">
        <v>766</v>
      </c>
      <c r="R533" s="74"/>
    </row>
    <row r="534" spans="2:18" ht="36" hidden="1" customHeight="1" x14ac:dyDescent="0.25">
      <c r="B534" s="84">
        <v>1817</v>
      </c>
      <c r="C534" s="83" t="s">
        <v>39</v>
      </c>
      <c r="D534" s="82" t="s">
        <v>763</v>
      </c>
      <c r="E534" s="81">
        <v>43082</v>
      </c>
      <c r="F534" s="27">
        <f t="shared" ca="1" si="8"/>
        <v>1391</v>
      </c>
      <c r="G534" s="79" t="s">
        <v>764</v>
      </c>
      <c r="H534" s="80"/>
      <c r="I534" s="80"/>
      <c r="J534" s="79" t="s">
        <v>765</v>
      </c>
      <c r="K534" s="78" t="s">
        <v>623</v>
      </c>
      <c r="L534" s="77">
        <v>43085</v>
      </c>
      <c r="M534" s="68"/>
      <c r="N534" s="76"/>
      <c r="O534" s="75" t="s">
        <v>766</v>
      </c>
      <c r="R534" s="74"/>
    </row>
    <row r="535" spans="2:18" ht="36" hidden="1" customHeight="1" x14ac:dyDescent="0.25">
      <c r="B535" s="84">
        <v>1817</v>
      </c>
      <c r="C535" s="83" t="s">
        <v>39</v>
      </c>
      <c r="D535" s="82" t="s">
        <v>1501</v>
      </c>
      <c r="E535" s="81">
        <v>43082</v>
      </c>
      <c r="F535" s="27">
        <f t="shared" ca="1" si="8"/>
        <v>1391</v>
      </c>
      <c r="G535" s="79" t="s">
        <v>764</v>
      </c>
      <c r="H535" s="80"/>
      <c r="I535" s="80"/>
      <c r="J535" s="79" t="s">
        <v>765</v>
      </c>
      <c r="K535" s="78" t="s">
        <v>623</v>
      </c>
      <c r="L535" s="77">
        <v>43087</v>
      </c>
      <c r="M535" s="68"/>
      <c r="N535" s="76"/>
      <c r="O535" s="75" t="s">
        <v>1502</v>
      </c>
      <c r="R535" s="74"/>
    </row>
    <row r="536" spans="2:18" ht="36" hidden="1" customHeight="1" x14ac:dyDescent="0.25">
      <c r="B536" s="84">
        <v>1819</v>
      </c>
      <c r="C536" s="83" t="s">
        <v>39</v>
      </c>
      <c r="D536" s="82" t="s">
        <v>763</v>
      </c>
      <c r="E536" s="81">
        <v>43082</v>
      </c>
      <c r="F536" s="27">
        <f t="shared" ca="1" si="8"/>
        <v>1391</v>
      </c>
      <c r="G536" s="79" t="s">
        <v>764</v>
      </c>
      <c r="H536" s="80"/>
      <c r="I536" s="80"/>
      <c r="J536" s="79" t="s">
        <v>765</v>
      </c>
      <c r="K536" s="78" t="s">
        <v>623</v>
      </c>
      <c r="L536" s="77">
        <v>43084</v>
      </c>
      <c r="M536" s="68"/>
      <c r="N536" s="76"/>
      <c r="O536" s="75" t="s">
        <v>766</v>
      </c>
      <c r="R536" s="74"/>
    </row>
    <row r="537" spans="2:18" ht="36" hidden="1" customHeight="1" x14ac:dyDescent="0.25">
      <c r="B537" s="84">
        <v>1820</v>
      </c>
      <c r="C537" s="83" t="s">
        <v>23</v>
      </c>
      <c r="D537" s="82" t="s">
        <v>2092</v>
      </c>
      <c r="E537" s="81">
        <v>43082</v>
      </c>
      <c r="F537" s="27">
        <f t="shared" ca="1" si="8"/>
        <v>1391</v>
      </c>
      <c r="G537" s="79" t="s">
        <v>764</v>
      </c>
      <c r="H537" s="80"/>
      <c r="I537" s="80"/>
      <c r="J537" s="79" t="s">
        <v>765</v>
      </c>
      <c r="K537" s="78" t="s">
        <v>623</v>
      </c>
      <c r="L537" s="77">
        <v>43085</v>
      </c>
      <c r="M537" s="68"/>
      <c r="N537" s="76"/>
      <c r="O537" s="75" t="s">
        <v>2093</v>
      </c>
      <c r="R537" s="74"/>
    </row>
    <row r="538" spans="2:18" ht="36" hidden="1" customHeight="1" x14ac:dyDescent="0.25">
      <c r="B538" s="84">
        <v>1820</v>
      </c>
      <c r="C538" s="83" t="s">
        <v>39</v>
      </c>
      <c r="D538" s="82" t="s">
        <v>763</v>
      </c>
      <c r="E538" s="81">
        <v>43082</v>
      </c>
      <c r="F538" s="27">
        <f t="shared" ca="1" si="8"/>
        <v>1391</v>
      </c>
      <c r="G538" s="79" t="s">
        <v>764</v>
      </c>
      <c r="H538" s="80"/>
      <c r="I538" s="80"/>
      <c r="J538" s="79" t="s">
        <v>765</v>
      </c>
      <c r="K538" s="78" t="s">
        <v>623</v>
      </c>
      <c r="L538" s="77">
        <v>43085</v>
      </c>
      <c r="M538" s="68"/>
      <c r="N538" s="76"/>
      <c r="O538" s="75" t="s">
        <v>766</v>
      </c>
      <c r="R538" s="74"/>
    </row>
    <row r="539" spans="2:18" ht="36" hidden="1" customHeight="1" x14ac:dyDescent="0.25">
      <c r="B539" s="84">
        <v>1822</v>
      </c>
      <c r="C539" s="83" t="s">
        <v>39</v>
      </c>
      <c r="D539" s="82" t="s">
        <v>763</v>
      </c>
      <c r="E539" s="81">
        <v>43082</v>
      </c>
      <c r="F539" s="27">
        <f t="shared" ca="1" si="8"/>
        <v>1391</v>
      </c>
      <c r="G539" s="79" t="s">
        <v>764</v>
      </c>
      <c r="H539" s="80"/>
      <c r="I539" s="80"/>
      <c r="J539" s="79" t="s">
        <v>765</v>
      </c>
      <c r="K539" s="78" t="s">
        <v>623</v>
      </c>
      <c r="L539" s="77">
        <v>43085</v>
      </c>
      <c r="M539" s="68"/>
      <c r="N539" s="76"/>
      <c r="O539" s="75" t="s">
        <v>766</v>
      </c>
      <c r="R539" s="74"/>
    </row>
    <row r="540" spans="2:18" ht="36" hidden="1" customHeight="1" x14ac:dyDescent="0.25">
      <c r="B540" s="84">
        <v>1823</v>
      </c>
      <c r="C540" s="83" t="s">
        <v>39</v>
      </c>
      <c r="D540" s="82" t="s">
        <v>763</v>
      </c>
      <c r="E540" s="81">
        <v>43082</v>
      </c>
      <c r="F540" s="27">
        <f t="shared" ca="1" si="8"/>
        <v>1391</v>
      </c>
      <c r="G540" s="79" t="s">
        <v>764</v>
      </c>
      <c r="H540" s="80"/>
      <c r="I540" s="80"/>
      <c r="J540" s="79" t="s">
        <v>765</v>
      </c>
      <c r="K540" s="78" t="s">
        <v>623</v>
      </c>
      <c r="L540" s="77">
        <v>43085</v>
      </c>
      <c r="M540" s="68"/>
      <c r="N540" s="76"/>
      <c r="O540" s="75" t="s">
        <v>766</v>
      </c>
      <c r="R540" s="74"/>
    </row>
    <row r="541" spans="2:18" ht="36" hidden="1" customHeight="1" x14ac:dyDescent="0.25">
      <c r="B541" s="84">
        <v>1825</v>
      </c>
      <c r="C541" s="83" t="s">
        <v>27</v>
      </c>
      <c r="D541" s="82" t="s">
        <v>3009</v>
      </c>
      <c r="E541" s="81">
        <v>43082</v>
      </c>
      <c r="F541" s="27">
        <f t="shared" ca="1" si="8"/>
        <v>1391</v>
      </c>
      <c r="G541" s="79" t="s">
        <v>764</v>
      </c>
      <c r="H541" s="80"/>
      <c r="I541" s="80"/>
      <c r="J541" s="79" t="s">
        <v>765</v>
      </c>
      <c r="K541" s="78" t="s">
        <v>623</v>
      </c>
      <c r="L541" s="77">
        <v>43084</v>
      </c>
      <c r="M541" s="68"/>
      <c r="N541" s="76"/>
      <c r="O541" s="75" t="s">
        <v>1921</v>
      </c>
      <c r="R541" s="74"/>
    </row>
    <row r="542" spans="2:18" ht="36" hidden="1" customHeight="1" x14ac:dyDescent="0.25">
      <c r="B542" s="84">
        <v>1825</v>
      </c>
      <c r="C542" s="83" t="s">
        <v>39</v>
      </c>
      <c r="D542" s="82" t="s">
        <v>763</v>
      </c>
      <c r="E542" s="81">
        <v>43082</v>
      </c>
      <c r="F542" s="27">
        <f t="shared" ca="1" si="8"/>
        <v>1391</v>
      </c>
      <c r="G542" s="79" t="s">
        <v>764</v>
      </c>
      <c r="H542" s="80"/>
      <c r="I542" s="80"/>
      <c r="J542" s="79" t="s">
        <v>765</v>
      </c>
      <c r="K542" s="78" t="s">
        <v>623</v>
      </c>
      <c r="L542" s="77">
        <v>43085</v>
      </c>
      <c r="M542" s="68"/>
      <c r="N542" s="76"/>
      <c r="O542" s="75" t="s">
        <v>3010</v>
      </c>
      <c r="R542" s="74"/>
    </row>
    <row r="543" spans="2:18" ht="36" hidden="1" customHeight="1" x14ac:dyDescent="0.25">
      <c r="B543" s="84">
        <v>1826</v>
      </c>
      <c r="C543" s="83" t="s">
        <v>39</v>
      </c>
      <c r="D543" s="82" t="s">
        <v>763</v>
      </c>
      <c r="E543" s="81">
        <v>43082</v>
      </c>
      <c r="F543" s="27">
        <f t="shared" ca="1" si="8"/>
        <v>1391</v>
      </c>
      <c r="G543" s="79" t="s">
        <v>764</v>
      </c>
      <c r="H543" s="80"/>
      <c r="I543" s="80"/>
      <c r="J543" s="79" t="s">
        <v>765</v>
      </c>
      <c r="K543" s="78" t="s">
        <v>623</v>
      </c>
      <c r="L543" s="77">
        <v>43085</v>
      </c>
      <c r="M543" s="68"/>
      <c r="N543" s="76"/>
      <c r="O543" s="75" t="s">
        <v>766</v>
      </c>
      <c r="R543" s="74"/>
    </row>
    <row r="544" spans="2:18" ht="36" hidden="1" customHeight="1" x14ac:dyDescent="0.25">
      <c r="B544" s="84">
        <v>1827</v>
      </c>
      <c r="C544" s="83" t="s">
        <v>16</v>
      </c>
      <c r="D544" s="82" t="s">
        <v>3326</v>
      </c>
      <c r="E544" s="81">
        <v>43082</v>
      </c>
      <c r="F544" s="27">
        <f t="shared" ca="1" si="8"/>
        <v>1391</v>
      </c>
      <c r="G544" s="79" t="s">
        <v>764</v>
      </c>
      <c r="H544" s="80"/>
      <c r="I544" s="80"/>
      <c r="J544" s="79" t="s">
        <v>765</v>
      </c>
      <c r="K544" s="78" t="s">
        <v>623</v>
      </c>
      <c r="L544" s="77">
        <v>43084</v>
      </c>
      <c r="M544" s="68"/>
      <c r="N544" s="76"/>
      <c r="O544" s="75" t="s">
        <v>3327</v>
      </c>
      <c r="R544" s="74"/>
    </row>
    <row r="545" spans="2:18" ht="36" hidden="1" customHeight="1" x14ac:dyDescent="0.25">
      <c r="B545" s="84">
        <v>1827</v>
      </c>
      <c r="C545" s="83" t="s">
        <v>40</v>
      </c>
      <c r="D545" s="82" t="s">
        <v>2145</v>
      </c>
      <c r="E545" s="81">
        <v>43082</v>
      </c>
      <c r="F545" s="27">
        <f t="shared" ca="1" si="8"/>
        <v>1391</v>
      </c>
      <c r="G545" s="79" t="s">
        <v>764</v>
      </c>
      <c r="H545" s="80"/>
      <c r="I545" s="80"/>
      <c r="J545" s="79" t="s">
        <v>765</v>
      </c>
      <c r="K545" s="78" t="s">
        <v>623</v>
      </c>
      <c r="L545" s="77">
        <v>43084</v>
      </c>
      <c r="M545" s="68"/>
      <c r="N545" s="76"/>
      <c r="O545" s="75" t="s">
        <v>3328</v>
      </c>
      <c r="R545" s="74"/>
    </row>
    <row r="546" spans="2:18" ht="36" hidden="1" customHeight="1" x14ac:dyDescent="0.25">
      <c r="B546" s="84">
        <v>1827</v>
      </c>
      <c r="C546" s="83" t="s">
        <v>39</v>
      </c>
      <c r="D546" s="82" t="s">
        <v>763</v>
      </c>
      <c r="E546" s="81">
        <v>43082</v>
      </c>
      <c r="F546" s="27">
        <f t="shared" ca="1" si="8"/>
        <v>1391</v>
      </c>
      <c r="G546" s="79" t="s">
        <v>764</v>
      </c>
      <c r="H546" s="80"/>
      <c r="I546" s="80"/>
      <c r="J546" s="79" t="s">
        <v>765</v>
      </c>
      <c r="K546" s="78" t="s">
        <v>623</v>
      </c>
      <c r="L546" s="77">
        <v>43084</v>
      </c>
      <c r="M546" s="68"/>
      <c r="N546" s="76"/>
      <c r="O546" s="75" t="s">
        <v>766</v>
      </c>
      <c r="R546" s="74"/>
    </row>
    <row r="547" spans="2:18" ht="36" hidden="1" customHeight="1" x14ac:dyDescent="0.25">
      <c r="B547" s="84">
        <v>1828</v>
      </c>
      <c r="C547" s="83" t="s">
        <v>39</v>
      </c>
      <c r="D547" s="82" t="s">
        <v>763</v>
      </c>
      <c r="E547" s="81">
        <v>43082</v>
      </c>
      <c r="F547" s="27">
        <f t="shared" ca="1" si="8"/>
        <v>1391</v>
      </c>
      <c r="G547" s="79" t="s">
        <v>764</v>
      </c>
      <c r="H547" s="80"/>
      <c r="I547" s="80"/>
      <c r="J547" s="79" t="s">
        <v>765</v>
      </c>
      <c r="K547" s="78" t="s">
        <v>623</v>
      </c>
      <c r="L547" s="77">
        <v>43085</v>
      </c>
      <c r="M547" s="68"/>
      <c r="N547" s="76"/>
      <c r="O547" s="75" t="s">
        <v>766</v>
      </c>
      <c r="R547" s="74"/>
    </row>
    <row r="548" spans="2:18" ht="36" hidden="1" customHeight="1" x14ac:dyDescent="0.25">
      <c r="B548" s="84">
        <v>1830</v>
      </c>
      <c r="C548" s="83" t="s">
        <v>19</v>
      </c>
      <c r="D548" s="82" t="s">
        <v>3907</v>
      </c>
      <c r="E548" s="81">
        <v>43082</v>
      </c>
      <c r="F548" s="27">
        <f t="shared" ca="1" si="8"/>
        <v>1391</v>
      </c>
      <c r="G548" s="79" t="s">
        <v>764</v>
      </c>
      <c r="H548" s="80"/>
      <c r="I548" s="80"/>
      <c r="J548" s="79" t="s">
        <v>765</v>
      </c>
      <c r="K548" s="78" t="s">
        <v>623</v>
      </c>
      <c r="L548" s="77">
        <v>43085</v>
      </c>
      <c r="M548" s="68"/>
      <c r="N548" s="76"/>
      <c r="O548" s="75" t="s">
        <v>3908</v>
      </c>
      <c r="R548" s="74"/>
    </row>
    <row r="549" spans="2:18" ht="36" hidden="1" customHeight="1" x14ac:dyDescent="0.25">
      <c r="B549" s="84">
        <v>1816</v>
      </c>
      <c r="C549" s="83" t="s">
        <v>23</v>
      </c>
      <c r="D549" s="82" t="s">
        <v>1312</v>
      </c>
      <c r="E549" s="81">
        <v>43084</v>
      </c>
      <c r="F549" s="27">
        <f t="shared" ca="1" si="8"/>
        <v>1389</v>
      </c>
      <c r="G549" s="79" t="s">
        <v>764</v>
      </c>
      <c r="H549" s="80"/>
      <c r="I549" s="80"/>
      <c r="J549" s="79" t="s">
        <v>765</v>
      </c>
      <c r="K549" s="78" t="s">
        <v>623</v>
      </c>
      <c r="L549" s="77">
        <v>43085</v>
      </c>
      <c r="M549" s="68"/>
      <c r="N549" s="76"/>
      <c r="O549" s="75" t="s">
        <v>1313</v>
      </c>
      <c r="R549" s="74"/>
    </row>
    <row r="550" spans="2:18" ht="36" hidden="1" customHeight="1" x14ac:dyDescent="0.25">
      <c r="B550" s="84">
        <v>1821</v>
      </c>
      <c r="C550" s="83" t="s">
        <v>39</v>
      </c>
      <c r="D550" s="82" t="s">
        <v>1689</v>
      </c>
      <c r="E550" s="81">
        <v>43084</v>
      </c>
      <c r="F550" s="27">
        <f t="shared" ca="1" si="8"/>
        <v>1389</v>
      </c>
      <c r="G550" s="79" t="s">
        <v>764</v>
      </c>
      <c r="H550" s="80"/>
      <c r="I550" s="80"/>
      <c r="J550" s="79" t="s">
        <v>765</v>
      </c>
      <c r="K550" s="78" t="s">
        <v>623</v>
      </c>
      <c r="L550" s="77">
        <v>43084</v>
      </c>
      <c r="M550" s="68"/>
      <c r="N550" s="76"/>
      <c r="O550" s="75" t="s">
        <v>2288</v>
      </c>
      <c r="R550" s="74"/>
    </row>
    <row r="551" spans="2:18" ht="36" hidden="1" customHeight="1" x14ac:dyDescent="0.25">
      <c r="B551" s="84">
        <v>1826</v>
      </c>
      <c r="C551" s="83" t="s">
        <v>27</v>
      </c>
      <c r="D551" s="82" t="s">
        <v>3208</v>
      </c>
      <c r="E551" s="81">
        <v>43084</v>
      </c>
      <c r="F551" s="27">
        <f t="shared" ca="1" si="8"/>
        <v>1389</v>
      </c>
      <c r="G551" s="79" t="s">
        <v>3207</v>
      </c>
      <c r="H551" s="80"/>
      <c r="I551" s="80"/>
      <c r="J551" s="79" t="s">
        <v>1301</v>
      </c>
      <c r="K551" s="78" t="s">
        <v>1301</v>
      </c>
      <c r="L551" s="77">
        <v>43089</v>
      </c>
      <c r="M551" s="68"/>
      <c r="N551" s="76"/>
      <c r="O551" s="75" t="s">
        <v>3209</v>
      </c>
      <c r="R551" s="74"/>
    </row>
    <row r="552" spans="2:18" ht="36" hidden="1" customHeight="1" x14ac:dyDescent="0.25">
      <c r="B552" s="84">
        <v>1816</v>
      </c>
      <c r="C552" s="83" t="s">
        <v>23</v>
      </c>
      <c r="D552" s="82" t="s">
        <v>1314</v>
      </c>
      <c r="E552" s="81">
        <v>43087</v>
      </c>
      <c r="F552" s="27">
        <f t="shared" ca="1" si="8"/>
        <v>1386</v>
      </c>
      <c r="G552" s="79" t="s">
        <v>578</v>
      </c>
      <c r="H552" s="80"/>
      <c r="I552" s="80"/>
      <c r="J552" s="79" t="s">
        <v>579</v>
      </c>
      <c r="K552" s="78" t="s">
        <v>623</v>
      </c>
      <c r="L552" s="77">
        <v>43089</v>
      </c>
      <c r="M552" s="68"/>
      <c r="N552" s="76"/>
      <c r="O552" s="75" t="s">
        <v>1315</v>
      </c>
      <c r="R552" s="74"/>
    </row>
    <row r="553" spans="2:18" ht="36" hidden="1" customHeight="1" x14ac:dyDescent="0.25">
      <c r="B553" s="84">
        <v>1818</v>
      </c>
      <c r="C553" s="83" t="s">
        <v>19</v>
      </c>
      <c r="D553" s="82" t="s">
        <v>1693</v>
      </c>
      <c r="E553" s="81">
        <v>43087</v>
      </c>
      <c r="F553" s="27">
        <f t="shared" ca="1" si="8"/>
        <v>1386</v>
      </c>
      <c r="G553" s="79" t="s">
        <v>1694</v>
      </c>
      <c r="H553" s="80"/>
      <c r="I553" s="80"/>
      <c r="J553" s="79" t="s">
        <v>1301</v>
      </c>
      <c r="K553" s="78" t="s">
        <v>1301</v>
      </c>
      <c r="L553" s="77">
        <v>43089</v>
      </c>
      <c r="M553" s="68"/>
      <c r="N553" s="76"/>
      <c r="O553" s="75" t="s">
        <v>1695</v>
      </c>
      <c r="R553" s="74"/>
    </row>
    <row r="554" spans="2:18" ht="36" hidden="1" customHeight="1" x14ac:dyDescent="0.25">
      <c r="B554" s="84">
        <v>1825</v>
      </c>
      <c r="C554" s="83" t="s">
        <v>19</v>
      </c>
      <c r="D554" s="82" t="s">
        <v>3011</v>
      </c>
      <c r="E554" s="81">
        <v>43087</v>
      </c>
      <c r="F554" s="27">
        <f t="shared" ca="1" si="8"/>
        <v>1386</v>
      </c>
      <c r="G554" s="79" t="s">
        <v>1261</v>
      </c>
      <c r="H554" s="80"/>
      <c r="I554" s="80"/>
      <c r="J554" s="79" t="s">
        <v>765</v>
      </c>
      <c r="K554" s="78" t="s">
        <v>623</v>
      </c>
      <c r="L554" s="77">
        <v>43106</v>
      </c>
      <c r="M554" s="68"/>
      <c r="N554" s="76"/>
      <c r="O554" s="75" t="s">
        <v>3012</v>
      </c>
      <c r="R554" s="74"/>
    </row>
    <row r="555" spans="2:18" ht="36" hidden="1" customHeight="1" x14ac:dyDescent="0.25">
      <c r="B555" s="84">
        <v>1647</v>
      </c>
      <c r="C555" s="83" t="s">
        <v>23</v>
      </c>
      <c r="D555" s="82" t="s">
        <v>1198</v>
      </c>
      <c r="E555" s="81">
        <v>43088</v>
      </c>
      <c r="F555" s="27">
        <f t="shared" ca="1" si="8"/>
        <v>1385</v>
      </c>
      <c r="G555" s="79" t="s">
        <v>954</v>
      </c>
      <c r="H555" s="80"/>
      <c r="I555" s="80"/>
      <c r="J555" s="79" t="s">
        <v>592</v>
      </c>
      <c r="K555" s="78" t="s">
        <v>580</v>
      </c>
      <c r="L555" s="77">
        <v>43106</v>
      </c>
      <c r="M555" s="68"/>
      <c r="N555" s="76"/>
      <c r="O555" s="75" t="s">
        <v>1199</v>
      </c>
      <c r="R555" s="74"/>
    </row>
    <row r="556" spans="2:18" ht="36" hidden="1" customHeight="1" x14ac:dyDescent="0.25">
      <c r="B556" s="84">
        <v>1817</v>
      </c>
      <c r="C556" s="83" t="s">
        <v>23</v>
      </c>
      <c r="D556" s="82" t="s">
        <v>1507</v>
      </c>
      <c r="E556" s="81">
        <v>43088</v>
      </c>
      <c r="F556" s="27">
        <f t="shared" ca="1" si="8"/>
        <v>1385</v>
      </c>
      <c r="G556" s="79" t="s">
        <v>1504</v>
      </c>
      <c r="H556" s="80"/>
      <c r="I556" s="80"/>
      <c r="J556" s="79" t="s">
        <v>1505</v>
      </c>
      <c r="K556" s="78" t="s">
        <v>623</v>
      </c>
      <c r="L556" s="77">
        <v>43091</v>
      </c>
      <c r="M556" s="68"/>
      <c r="N556" s="76"/>
      <c r="O556" s="75" t="s">
        <v>1508</v>
      </c>
      <c r="R556" s="74"/>
    </row>
    <row r="557" spans="2:18" ht="36" hidden="1" customHeight="1" x14ac:dyDescent="0.25">
      <c r="B557" s="84">
        <v>1826</v>
      </c>
      <c r="C557" s="83" t="s">
        <v>15</v>
      </c>
      <c r="D557" s="82" t="s">
        <v>1714</v>
      </c>
      <c r="E557" s="81">
        <v>43088</v>
      </c>
      <c r="F557" s="27">
        <f t="shared" ca="1" si="8"/>
        <v>1385</v>
      </c>
      <c r="G557" s="79" t="s">
        <v>3207</v>
      </c>
      <c r="H557" s="80"/>
      <c r="I557" s="80"/>
      <c r="J557" s="79" t="s">
        <v>1301</v>
      </c>
      <c r="K557" s="78" t="s">
        <v>1301</v>
      </c>
      <c r="L557" s="77">
        <v>43088</v>
      </c>
      <c r="M557" s="68"/>
      <c r="N557" s="76"/>
      <c r="O557" s="75" t="s">
        <v>686</v>
      </c>
      <c r="R557" s="74"/>
    </row>
    <row r="558" spans="2:18" ht="36" hidden="1" customHeight="1" x14ac:dyDescent="0.25">
      <c r="B558" s="84">
        <v>1642</v>
      </c>
      <c r="C558" s="83" t="s">
        <v>10</v>
      </c>
      <c r="D558" s="82" t="s">
        <v>767</v>
      </c>
      <c r="E558" s="81">
        <v>43089</v>
      </c>
      <c r="F558" s="27">
        <f t="shared" ca="1" si="8"/>
        <v>1384</v>
      </c>
      <c r="G558" s="79"/>
      <c r="H558" s="80"/>
      <c r="I558" s="80"/>
      <c r="J558" s="79"/>
      <c r="K558" s="78"/>
      <c r="L558" s="77">
        <v>43089</v>
      </c>
      <c r="M558" s="68"/>
      <c r="N558" s="76"/>
      <c r="O558" s="75" t="s">
        <v>768</v>
      </c>
      <c r="R558" s="74"/>
    </row>
    <row r="559" spans="2:18" ht="36" hidden="1" customHeight="1" x14ac:dyDescent="0.25">
      <c r="B559" s="84">
        <v>1643</v>
      </c>
      <c r="C559" s="83" t="s">
        <v>23</v>
      </c>
      <c r="D559" s="82" t="s">
        <v>858</v>
      </c>
      <c r="E559" s="81">
        <v>43089</v>
      </c>
      <c r="F559" s="27">
        <f t="shared" ca="1" si="8"/>
        <v>1384</v>
      </c>
      <c r="G559" s="79"/>
      <c r="H559" s="80"/>
      <c r="I559" s="80"/>
      <c r="J559" s="79" t="s">
        <v>597</v>
      </c>
      <c r="K559" s="78" t="s">
        <v>623</v>
      </c>
      <c r="L559" s="77">
        <v>43096</v>
      </c>
      <c r="M559" s="68"/>
      <c r="N559" s="76"/>
      <c r="O559" s="75" t="s">
        <v>859</v>
      </c>
      <c r="R559" s="74"/>
    </row>
    <row r="560" spans="2:18" ht="36" hidden="1" customHeight="1" x14ac:dyDescent="0.25">
      <c r="B560" s="84">
        <v>1817</v>
      </c>
      <c r="C560" s="83" t="s">
        <v>23</v>
      </c>
      <c r="D560" s="82" t="s">
        <v>53</v>
      </c>
      <c r="E560" s="81">
        <v>43089</v>
      </c>
      <c r="F560" s="27">
        <f t="shared" ca="1" si="8"/>
        <v>1384</v>
      </c>
      <c r="G560" s="79" t="s">
        <v>1504</v>
      </c>
      <c r="H560" s="80"/>
      <c r="I560" s="80"/>
      <c r="J560" s="79" t="s">
        <v>1505</v>
      </c>
      <c r="K560" s="78" t="s">
        <v>623</v>
      </c>
      <c r="L560" s="77">
        <v>43091</v>
      </c>
      <c r="M560" s="68"/>
      <c r="N560" s="76"/>
      <c r="O560" s="75" t="s">
        <v>1509</v>
      </c>
      <c r="R560" s="74"/>
    </row>
    <row r="561" spans="2:18" ht="36" hidden="1" customHeight="1" x14ac:dyDescent="0.25">
      <c r="B561" s="84">
        <v>1823</v>
      </c>
      <c r="C561" s="83" t="s">
        <v>11</v>
      </c>
      <c r="D561" s="82" t="s">
        <v>2569</v>
      </c>
      <c r="E561" s="81">
        <v>43089</v>
      </c>
      <c r="F561" s="27">
        <f t="shared" ca="1" si="8"/>
        <v>1384</v>
      </c>
      <c r="G561" s="79" t="s">
        <v>1317</v>
      </c>
      <c r="H561" s="80"/>
      <c r="I561" s="80"/>
      <c r="J561" s="79" t="s">
        <v>765</v>
      </c>
      <c r="K561" s="78" t="s">
        <v>623</v>
      </c>
      <c r="L561" s="77">
        <v>43120</v>
      </c>
      <c r="M561" s="68"/>
      <c r="N561" s="76"/>
      <c r="O561" s="75" t="s">
        <v>2570</v>
      </c>
      <c r="R561" s="74"/>
    </row>
    <row r="562" spans="2:18" ht="36" hidden="1" customHeight="1" x14ac:dyDescent="0.25">
      <c r="B562" s="84">
        <v>1823</v>
      </c>
      <c r="C562" s="83" t="s">
        <v>40</v>
      </c>
      <c r="D562" s="82" t="s">
        <v>2573</v>
      </c>
      <c r="E562" s="81">
        <v>43089</v>
      </c>
      <c r="F562" s="27">
        <f t="shared" ca="1" si="8"/>
        <v>1384</v>
      </c>
      <c r="G562" s="79" t="s">
        <v>578</v>
      </c>
      <c r="H562" s="80"/>
      <c r="I562" s="80"/>
      <c r="J562" s="79" t="s">
        <v>579</v>
      </c>
      <c r="K562" s="78" t="s">
        <v>623</v>
      </c>
      <c r="L562" s="77">
        <v>43124</v>
      </c>
      <c r="M562" s="68"/>
      <c r="N562" s="76" t="s">
        <v>2574</v>
      </c>
      <c r="O562" s="75"/>
      <c r="R562" s="74"/>
    </row>
    <row r="563" spans="2:18" ht="36" hidden="1" customHeight="1" x14ac:dyDescent="0.25">
      <c r="B563" s="84">
        <v>1827</v>
      </c>
      <c r="C563" s="83" t="s">
        <v>23</v>
      </c>
      <c r="D563" s="82" t="s">
        <v>346</v>
      </c>
      <c r="E563" s="81">
        <v>43089</v>
      </c>
      <c r="F563" s="27">
        <f t="shared" ca="1" si="8"/>
        <v>1384</v>
      </c>
      <c r="G563" s="79" t="s">
        <v>1504</v>
      </c>
      <c r="H563" s="80"/>
      <c r="I563" s="80"/>
      <c r="J563" s="79" t="s">
        <v>1505</v>
      </c>
      <c r="K563" s="78" t="s">
        <v>623</v>
      </c>
      <c r="L563" s="77">
        <v>43091</v>
      </c>
      <c r="M563" s="68"/>
      <c r="N563" s="76"/>
      <c r="O563" s="75" t="s">
        <v>3329</v>
      </c>
      <c r="R563" s="74"/>
    </row>
    <row r="564" spans="2:18" ht="36" hidden="1" customHeight="1" x14ac:dyDescent="0.25">
      <c r="B564" s="84">
        <v>1827</v>
      </c>
      <c r="C564" s="83" t="s">
        <v>23</v>
      </c>
      <c r="D564" s="82" t="s">
        <v>3330</v>
      </c>
      <c r="E564" s="81">
        <v>43089</v>
      </c>
      <c r="F564" s="27">
        <f t="shared" ca="1" si="8"/>
        <v>1384</v>
      </c>
      <c r="G564" s="79" t="s">
        <v>1261</v>
      </c>
      <c r="H564" s="80"/>
      <c r="I564" s="80"/>
      <c r="J564" s="79" t="s">
        <v>765</v>
      </c>
      <c r="K564" s="78" t="s">
        <v>623</v>
      </c>
      <c r="L564" s="77">
        <v>43106</v>
      </c>
      <c r="M564" s="68"/>
      <c r="N564" s="76"/>
      <c r="O564" s="75" t="s">
        <v>3331</v>
      </c>
      <c r="R564" s="74"/>
    </row>
    <row r="565" spans="2:18" ht="36" hidden="1" customHeight="1" x14ac:dyDescent="0.25">
      <c r="B565" s="84">
        <v>1818</v>
      </c>
      <c r="C565" s="83" t="s">
        <v>40</v>
      </c>
      <c r="D565" s="82" t="s">
        <v>1696</v>
      </c>
      <c r="E565" s="81">
        <v>43090</v>
      </c>
      <c r="F565" s="27">
        <f t="shared" ca="1" si="8"/>
        <v>1383</v>
      </c>
      <c r="G565" s="79" t="s">
        <v>1504</v>
      </c>
      <c r="H565" s="80"/>
      <c r="I565" s="80"/>
      <c r="J565" s="79" t="s">
        <v>1505</v>
      </c>
      <c r="K565" s="78" t="s">
        <v>623</v>
      </c>
      <c r="L565" s="77">
        <v>43091</v>
      </c>
      <c r="M565" s="68"/>
      <c r="N565" s="76"/>
      <c r="O565" s="75" t="s">
        <v>1697</v>
      </c>
      <c r="R565" s="74"/>
    </row>
    <row r="566" spans="2:18" ht="36" hidden="1" customHeight="1" x14ac:dyDescent="0.25">
      <c r="B566" s="84">
        <v>1820</v>
      </c>
      <c r="C566" s="83" t="s">
        <v>40</v>
      </c>
      <c r="D566" s="82" t="s">
        <v>2094</v>
      </c>
      <c r="E566" s="81">
        <v>43090</v>
      </c>
      <c r="F566" s="27">
        <f t="shared" ca="1" si="8"/>
        <v>1383</v>
      </c>
      <c r="G566" s="79" t="s">
        <v>1504</v>
      </c>
      <c r="H566" s="80"/>
      <c r="I566" s="80"/>
      <c r="J566" s="79" t="s">
        <v>1505</v>
      </c>
      <c r="K566" s="78" t="s">
        <v>623</v>
      </c>
      <c r="L566" s="77">
        <v>43091</v>
      </c>
      <c r="M566" s="68"/>
      <c r="N566" s="76"/>
      <c r="O566" s="75" t="s">
        <v>1697</v>
      </c>
      <c r="R566" s="74"/>
    </row>
    <row r="567" spans="2:18" ht="36" hidden="1" customHeight="1" x14ac:dyDescent="0.25">
      <c r="B567" s="84">
        <v>1821</v>
      </c>
      <c r="C567" s="83" t="s">
        <v>17</v>
      </c>
      <c r="D567" s="82" t="s">
        <v>2294</v>
      </c>
      <c r="E567" s="81">
        <v>43090</v>
      </c>
      <c r="F567" s="27">
        <f t="shared" ca="1" si="8"/>
        <v>1383</v>
      </c>
      <c r="G567" s="79" t="s">
        <v>2096</v>
      </c>
      <c r="H567" s="80"/>
      <c r="I567" s="80"/>
      <c r="J567" s="79" t="s">
        <v>579</v>
      </c>
      <c r="K567" s="78" t="s">
        <v>623</v>
      </c>
      <c r="L567" s="77">
        <v>43143</v>
      </c>
      <c r="M567" s="68"/>
      <c r="N567" s="76"/>
      <c r="O567" s="75" t="s">
        <v>2295</v>
      </c>
      <c r="R567" s="74"/>
    </row>
    <row r="568" spans="2:18" ht="36" hidden="1" customHeight="1" x14ac:dyDescent="0.25">
      <c r="B568" s="84">
        <v>1822</v>
      </c>
      <c r="C568" s="83" t="s">
        <v>40</v>
      </c>
      <c r="D568" s="82" t="s">
        <v>2419</v>
      </c>
      <c r="E568" s="81">
        <v>43090</v>
      </c>
      <c r="F568" s="27">
        <f t="shared" ca="1" si="8"/>
        <v>1383</v>
      </c>
      <c r="G568" s="79" t="s">
        <v>1504</v>
      </c>
      <c r="H568" s="80"/>
      <c r="I568" s="80"/>
      <c r="J568" s="79" t="s">
        <v>1505</v>
      </c>
      <c r="K568" s="78" t="s">
        <v>623</v>
      </c>
      <c r="L568" s="77">
        <v>43096</v>
      </c>
      <c r="M568" s="68"/>
      <c r="N568" s="76"/>
      <c r="O568" s="75" t="s">
        <v>684</v>
      </c>
      <c r="R568" s="74"/>
    </row>
    <row r="569" spans="2:18" ht="36" hidden="1" customHeight="1" x14ac:dyDescent="0.25">
      <c r="B569" s="84">
        <v>1822</v>
      </c>
      <c r="C569" s="83" t="s">
        <v>40</v>
      </c>
      <c r="D569" s="82" t="s">
        <v>2420</v>
      </c>
      <c r="E569" s="81">
        <v>43090</v>
      </c>
      <c r="F569" s="27">
        <f t="shared" ca="1" si="8"/>
        <v>1383</v>
      </c>
      <c r="G569" s="79" t="s">
        <v>1504</v>
      </c>
      <c r="H569" s="80"/>
      <c r="I569" s="80"/>
      <c r="J569" s="79" t="s">
        <v>1505</v>
      </c>
      <c r="K569" s="78" t="s">
        <v>623</v>
      </c>
      <c r="L569" s="77">
        <v>43096</v>
      </c>
      <c r="M569" s="68"/>
      <c r="N569" s="76"/>
      <c r="O569" s="75" t="s">
        <v>684</v>
      </c>
      <c r="R569" s="74"/>
    </row>
    <row r="570" spans="2:18" ht="36" hidden="1" customHeight="1" x14ac:dyDescent="0.25">
      <c r="B570" s="84">
        <v>1827</v>
      </c>
      <c r="C570" s="83" t="s">
        <v>12</v>
      </c>
      <c r="D570" s="82" t="s">
        <v>1857</v>
      </c>
      <c r="E570" s="81">
        <v>43090</v>
      </c>
      <c r="F570" s="27">
        <f t="shared" ca="1" si="8"/>
        <v>1383</v>
      </c>
      <c r="G570" s="79" t="s">
        <v>1504</v>
      </c>
      <c r="H570" s="80"/>
      <c r="I570" s="80"/>
      <c r="J570" s="79" t="s">
        <v>1505</v>
      </c>
      <c r="K570" s="78" t="s">
        <v>623</v>
      </c>
      <c r="L570" s="77">
        <v>43091</v>
      </c>
      <c r="M570" s="68"/>
      <c r="N570" s="76"/>
      <c r="O570" s="75" t="s">
        <v>1858</v>
      </c>
      <c r="R570" s="74"/>
    </row>
    <row r="571" spans="2:18" ht="36" hidden="1" customHeight="1" x14ac:dyDescent="0.25">
      <c r="B571" s="84">
        <v>1828</v>
      </c>
      <c r="C571" s="83" t="s">
        <v>17</v>
      </c>
      <c r="D571" s="82" t="s">
        <v>3525</v>
      </c>
      <c r="E571" s="81">
        <v>43090</v>
      </c>
      <c r="F571" s="27">
        <f t="shared" ca="1" si="8"/>
        <v>1383</v>
      </c>
      <c r="G571" s="79" t="s">
        <v>1723</v>
      </c>
      <c r="H571" s="80"/>
      <c r="I571" s="80"/>
      <c r="J571" s="79" t="s">
        <v>579</v>
      </c>
      <c r="K571" s="78" t="s">
        <v>623</v>
      </c>
      <c r="L571" s="77">
        <v>43124</v>
      </c>
      <c r="M571" s="68"/>
      <c r="N571" s="76" t="s">
        <v>3526</v>
      </c>
      <c r="O571" s="75" t="s">
        <v>3527</v>
      </c>
      <c r="R571" s="74"/>
    </row>
    <row r="572" spans="2:18" ht="36" hidden="1" customHeight="1" x14ac:dyDescent="0.25">
      <c r="B572" s="84">
        <v>1641</v>
      </c>
      <c r="C572" s="83" t="s">
        <v>40</v>
      </c>
      <c r="D572" s="82" t="s">
        <v>621</v>
      </c>
      <c r="E572" s="81">
        <v>43096</v>
      </c>
      <c r="F572" s="27">
        <f t="shared" ca="1" si="8"/>
        <v>1377</v>
      </c>
      <c r="G572" s="79" t="s">
        <v>622</v>
      </c>
      <c r="H572" s="80"/>
      <c r="I572" s="80"/>
      <c r="J572" s="79" t="s">
        <v>597</v>
      </c>
      <c r="K572" s="78" t="s">
        <v>623</v>
      </c>
      <c r="L572" s="77">
        <v>43096</v>
      </c>
      <c r="M572" s="68"/>
      <c r="N572" s="76"/>
      <c r="O572" s="75" t="s">
        <v>624</v>
      </c>
      <c r="R572" s="74"/>
    </row>
    <row r="573" spans="2:18" ht="36" hidden="1" customHeight="1" x14ac:dyDescent="0.25">
      <c r="B573" s="84">
        <v>1641</v>
      </c>
      <c r="C573" s="83" t="s">
        <v>40</v>
      </c>
      <c r="D573" s="82" t="s">
        <v>625</v>
      </c>
      <c r="E573" s="81">
        <v>43096</v>
      </c>
      <c r="F573" s="27">
        <f t="shared" ca="1" si="8"/>
        <v>1377</v>
      </c>
      <c r="G573" s="79" t="s">
        <v>622</v>
      </c>
      <c r="H573" s="80"/>
      <c r="I573" s="80"/>
      <c r="J573" s="79" t="s">
        <v>597</v>
      </c>
      <c r="K573" s="78" t="s">
        <v>623</v>
      </c>
      <c r="L573" s="77">
        <v>43096</v>
      </c>
      <c r="M573" s="68"/>
      <c r="N573" s="76"/>
      <c r="O573" s="75" t="s">
        <v>626</v>
      </c>
      <c r="R573" s="74"/>
    </row>
    <row r="574" spans="2:18" ht="36" hidden="1" customHeight="1" x14ac:dyDescent="0.25">
      <c r="B574" s="84">
        <v>1641</v>
      </c>
      <c r="C574" s="83" t="s">
        <v>40</v>
      </c>
      <c r="D574" s="82" t="s">
        <v>630</v>
      </c>
      <c r="E574" s="81">
        <v>43096</v>
      </c>
      <c r="F574" s="27">
        <f t="shared" ca="1" si="8"/>
        <v>1377</v>
      </c>
      <c r="G574" s="79" t="s">
        <v>631</v>
      </c>
      <c r="H574" s="80"/>
      <c r="I574" s="80"/>
      <c r="J574" s="79" t="s">
        <v>592</v>
      </c>
      <c r="K574" s="78" t="s">
        <v>580</v>
      </c>
      <c r="L574" s="77">
        <v>43115</v>
      </c>
      <c r="M574" s="68"/>
      <c r="N574" s="76"/>
      <c r="O574" s="75" t="s">
        <v>632</v>
      </c>
      <c r="R574" s="74"/>
    </row>
    <row r="575" spans="2:18" ht="36" hidden="1" customHeight="1" x14ac:dyDescent="0.25">
      <c r="B575" s="84">
        <v>1819</v>
      </c>
      <c r="C575" s="83" t="s">
        <v>17</v>
      </c>
      <c r="D575" s="82" t="s">
        <v>1943</v>
      </c>
      <c r="E575" s="81">
        <v>43096</v>
      </c>
      <c r="F575" s="27">
        <f t="shared" ca="1" si="8"/>
        <v>1377</v>
      </c>
      <c r="G575" s="79" t="s">
        <v>1261</v>
      </c>
      <c r="H575" s="80"/>
      <c r="I575" s="80"/>
      <c r="J575" s="79" t="s">
        <v>597</v>
      </c>
      <c r="K575" s="78" t="s">
        <v>623</v>
      </c>
      <c r="L575" s="77">
        <v>43336</v>
      </c>
      <c r="M575" s="68"/>
      <c r="N575" s="76"/>
      <c r="O575" s="75"/>
      <c r="R575" s="74"/>
    </row>
    <row r="576" spans="2:18" ht="36" hidden="1" customHeight="1" x14ac:dyDescent="0.25">
      <c r="B576" s="84">
        <v>1821</v>
      </c>
      <c r="C576" s="83" t="s">
        <v>11</v>
      </c>
      <c r="D576" s="82" t="s">
        <v>2289</v>
      </c>
      <c r="E576" s="81">
        <v>43096</v>
      </c>
      <c r="F576" s="27">
        <f t="shared" ca="1" si="8"/>
        <v>1377</v>
      </c>
      <c r="G576" s="79"/>
      <c r="H576" s="80"/>
      <c r="I576" s="80"/>
      <c r="J576" s="79"/>
      <c r="K576" s="78"/>
      <c r="L576" s="77">
        <v>43096</v>
      </c>
      <c r="M576" s="68"/>
      <c r="N576" s="76"/>
      <c r="O576" s="75"/>
      <c r="R576" s="74"/>
    </row>
    <row r="577" spans="2:18" ht="36" hidden="1" customHeight="1" x14ac:dyDescent="0.25">
      <c r="B577" s="84">
        <v>1825</v>
      </c>
      <c r="C577" s="83" t="s">
        <v>17</v>
      </c>
      <c r="D577" s="82" t="s">
        <v>3017</v>
      </c>
      <c r="E577" s="81">
        <v>43096</v>
      </c>
      <c r="F577" s="27">
        <f t="shared" ca="1" si="8"/>
        <v>1377</v>
      </c>
      <c r="G577" s="79" t="s">
        <v>3018</v>
      </c>
      <c r="H577" s="80"/>
      <c r="I577" s="80"/>
      <c r="J577" s="79" t="s">
        <v>765</v>
      </c>
      <c r="K577" s="78" t="s">
        <v>623</v>
      </c>
      <c r="L577" s="77">
        <v>43129</v>
      </c>
      <c r="M577" s="68"/>
      <c r="N577" s="76"/>
      <c r="O577" s="75"/>
      <c r="R577" s="74"/>
    </row>
    <row r="578" spans="2:18" ht="36" hidden="1" customHeight="1" x14ac:dyDescent="0.25">
      <c r="B578" s="84">
        <v>1818</v>
      </c>
      <c r="C578" s="83" t="s">
        <v>17</v>
      </c>
      <c r="D578" s="82" t="s">
        <v>1703</v>
      </c>
      <c r="E578" s="81">
        <v>43097</v>
      </c>
      <c r="F578" s="27">
        <f t="shared" ca="1" si="8"/>
        <v>1376</v>
      </c>
      <c r="G578" s="79" t="s">
        <v>1704</v>
      </c>
      <c r="H578" s="80"/>
      <c r="I578" s="80"/>
      <c r="J578" s="79" t="s">
        <v>579</v>
      </c>
      <c r="K578" s="78" t="s">
        <v>623</v>
      </c>
      <c r="L578" s="77">
        <v>43158</v>
      </c>
      <c r="M578" s="68"/>
      <c r="N578" s="76" t="s">
        <v>1705</v>
      </c>
      <c r="O578" s="75"/>
      <c r="R578" s="74"/>
    </row>
    <row r="579" spans="2:18" ht="36" hidden="1" customHeight="1" x14ac:dyDescent="0.25">
      <c r="B579" s="84">
        <v>1820</v>
      </c>
      <c r="C579" s="83" t="s">
        <v>17</v>
      </c>
      <c r="D579" s="82" t="s">
        <v>2100</v>
      </c>
      <c r="E579" s="81">
        <v>43097</v>
      </c>
      <c r="F579" s="27">
        <f t="shared" ca="1" si="8"/>
        <v>1376</v>
      </c>
      <c r="G579" s="79" t="s">
        <v>2096</v>
      </c>
      <c r="H579" s="80"/>
      <c r="I579" s="80"/>
      <c r="J579" s="79" t="s">
        <v>597</v>
      </c>
      <c r="K579" s="78" t="s">
        <v>623</v>
      </c>
      <c r="L579" s="77">
        <v>43132</v>
      </c>
      <c r="M579" s="68"/>
      <c r="N579" s="76"/>
      <c r="O579" s="75" t="s">
        <v>2101</v>
      </c>
      <c r="R579" s="74"/>
    </row>
    <row r="580" spans="2:18" ht="36" hidden="1" customHeight="1" x14ac:dyDescent="0.25">
      <c r="B580" s="84">
        <v>1820</v>
      </c>
      <c r="C580" s="83" t="s">
        <v>17</v>
      </c>
      <c r="D580" s="82" t="s">
        <v>2102</v>
      </c>
      <c r="E580" s="81">
        <v>43097</v>
      </c>
      <c r="F580" s="27">
        <f t="shared" ca="1" si="8"/>
        <v>1376</v>
      </c>
      <c r="G580" s="79" t="s">
        <v>2096</v>
      </c>
      <c r="H580" s="80"/>
      <c r="I580" s="80"/>
      <c r="J580" s="79" t="s">
        <v>597</v>
      </c>
      <c r="K580" s="78" t="s">
        <v>623</v>
      </c>
      <c r="L580" s="77">
        <v>43132</v>
      </c>
      <c r="M580" s="68"/>
      <c r="N580" s="76"/>
      <c r="O580" s="75" t="s">
        <v>2103</v>
      </c>
      <c r="R580" s="74"/>
    </row>
    <row r="581" spans="2:18" ht="36" hidden="1" customHeight="1" x14ac:dyDescent="0.25">
      <c r="B581" s="84">
        <v>1825</v>
      </c>
      <c r="C581" s="83" t="s">
        <v>17</v>
      </c>
      <c r="D581" s="82" t="s">
        <v>3013</v>
      </c>
      <c r="E581" s="81">
        <v>43097</v>
      </c>
      <c r="F581" s="27">
        <f t="shared" ca="1" si="8"/>
        <v>1376</v>
      </c>
      <c r="G581" s="79" t="s">
        <v>1261</v>
      </c>
      <c r="H581" s="80"/>
      <c r="I581" s="80"/>
      <c r="J581" s="79" t="s">
        <v>765</v>
      </c>
      <c r="K581" s="78" t="s">
        <v>623</v>
      </c>
      <c r="L581" s="77">
        <v>43106</v>
      </c>
      <c r="M581" s="68"/>
      <c r="N581" s="76"/>
      <c r="O581" s="75" t="s">
        <v>3014</v>
      </c>
      <c r="R581" s="74"/>
    </row>
    <row r="582" spans="2:18" ht="36" hidden="1" customHeight="1" x14ac:dyDescent="0.25">
      <c r="B582" s="84">
        <v>1829</v>
      </c>
      <c r="C582" s="83" t="s">
        <v>23</v>
      </c>
      <c r="D582" s="82" t="s">
        <v>1912</v>
      </c>
      <c r="E582" s="81">
        <v>43097</v>
      </c>
      <c r="F582" s="27">
        <f t="shared" ca="1" si="8"/>
        <v>1376</v>
      </c>
      <c r="G582" s="79" t="s">
        <v>1261</v>
      </c>
      <c r="H582" s="80"/>
      <c r="I582" s="80"/>
      <c r="J582" s="79" t="s">
        <v>765</v>
      </c>
      <c r="K582" s="78" t="s">
        <v>623</v>
      </c>
      <c r="L582" s="77">
        <v>43106</v>
      </c>
      <c r="M582" s="68"/>
      <c r="N582" s="76"/>
      <c r="O582" s="75" t="s">
        <v>1508</v>
      </c>
      <c r="R582" s="74"/>
    </row>
    <row r="583" spans="2:18" ht="36" hidden="1" customHeight="1" x14ac:dyDescent="0.25">
      <c r="B583" s="84">
        <v>1830</v>
      </c>
      <c r="C583" s="83" t="s">
        <v>19</v>
      </c>
      <c r="D583" s="82" t="s">
        <v>3911</v>
      </c>
      <c r="E583" s="81">
        <v>43097</v>
      </c>
      <c r="F583" s="27">
        <f t="shared" ca="1" si="8"/>
        <v>1376</v>
      </c>
      <c r="G583" s="79" t="s">
        <v>1261</v>
      </c>
      <c r="H583" s="80"/>
      <c r="I583" s="80"/>
      <c r="J583" s="79" t="s">
        <v>765</v>
      </c>
      <c r="K583" s="78" t="s">
        <v>623</v>
      </c>
      <c r="L583" s="77">
        <v>43106</v>
      </c>
      <c r="M583" s="68"/>
      <c r="N583" s="76"/>
      <c r="O583" s="75" t="s">
        <v>3912</v>
      </c>
      <c r="R583" s="74"/>
    </row>
    <row r="584" spans="2:18" ht="36" hidden="1" customHeight="1" x14ac:dyDescent="0.25">
      <c r="B584" s="84">
        <v>1817</v>
      </c>
      <c r="C584" s="83" t="s">
        <v>17</v>
      </c>
      <c r="D584" s="82" t="s">
        <v>1514</v>
      </c>
      <c r="E584" s="81">
        <v>43098</v>
      </c>
      <c r="F584" s="27">
        <f t="shared" ca="1" si="8"/>
        <v>1375</v>
      </c>
      <c r="G584" s="79" t="s">
        <v>1515</v>
      </c>
      <c r="H584" s="80"/>
      <c r="I584" s="80"/>
      <c r="J584" s="79" t="s">
        <v>597</v>
      </c>
      <c r="K584" s="78" t="s">
        <v>623</v>
      </c>
      <c r="L584" s="77">
        <v>43132</v>
      </c>
      <c r="M584" s="68"/>
      <c r="N584" s="76"/>
      <c r="O584" s="75" t="s">
        <v>1516</v>
      </c>
      <c r="R584" s="74"/>
    </row>
    <row r="585" spans="2:18" ht="36" hidden="1" customHeight="1" x14ac:dyDescent="0.25">
      <c r="B585" s="84">
        <v>1817</v>
      </c>
      <c r="C585" s="83" t="s">
        <v>19</v>
      </c>
      <c r="D585" s="82" t="s">
        <v>967</v>
      </c>
      <c r="E585" s="81">
        <v>43098</v>
      </c>
      <c r="F585" s="27">
        <f t="shared" ca="1" si="8"/>
        <v>1375</v>
      </c>
      <c r="G585" s="79" t="s">
        <v>1532</v>
      </c>
      <c r="H585" s="80"/>
      <c r="I585" s="80"/>
      <c r="J585" s="79" t="s">
        <v>579</v>
      </c>
      <c r="K585" s="78" t="s">
        <v>623</v>
      </c>
      <c r="L585" s="77">
        <v>43158</v>
      </c>
      <c r="M585" s="68"/>
      <c r="N585" s="76"/>
      <c r="O585" s="75" t="s">
        <v>1533</v>
      </c>
      <c r="R585" s="74"/>
    </row>
    <row r="586" spans="2:18" ht="36" hidden="1" customHeight="1" x14ac:dyDescent="0.25">
      <c r="B586" s="84">
        <v>1817</v>
      </c>
      <c r="C586" s="83" t="s">
        <v>12</v>
      </c>
      <c r="D586" s="82" t="s">
        <v>54</v>
      </c>
      <c r="E586" s="81">
        <v>43098</v>
      </c>
      <c r="F586" s="27">
        <f t="shared" ca="1" si="8"/>
        <v>1375</v>
      </c>
      <c r="G586" s="79" t="s">
        <v>1532</v>
      </c>
      <c r="H586" s="80"/>
      <c r="I586" s="80"/>
      <c r="J586" s="79" t="s">
        <v>579</v>
      </c>
      <c r="K586" s="78" t="s">
        <v>623</v>
      </c>
      <c r="L586" s="77">
        <v>43158</v>
      </c>
      <c r="M586" s="68"/>
      <c r="N586" s="76"/>
      <c r="O586" s="75" t="s">
        <v>1533</v>
      </c>
      <c r="R586" s="74"/>
    </row>
    <row r="587" spans="2:18" ht="36" hidden="1" customHeight="1" x14ac:dyDescent="0.25">
      <c r="B587" s="84">
        <v>1817</v>
      </c>
      <c r="C587" s="83" t="s">
        <v>33</v>
      </c>
      <c r="D587" s="82" t="s">
        <v>1390</v>
      </c>
      <c r="E587" s="81">
        <v>43098</v>
      </c>
      <c r="F587" s="27">
        <f t="shared" ca="1" si="8"/>
        <v>1375</v>
      </c>
      <c r="G587" s="79" t="s">
        <v>1532</v>
      </c>
      <c r="H587" s="80"/>
      <c r="I587" s="80"/>
      <c r="J587" s="79" t="s">
        <v>579</v>
      </c>
      <c r="K587" s="78" t="s">
        <v>623</v>
      </c>
      <c r="L587" s="77">
        <v>43158</v>
      </c>
      <c r="M587" s="68"/>
      <c r="N587" s="76"/>
      <c r="O587" s="75" t="s">
        <v>1533</v>
      </c>
      <c r="R587" s="74"/>
    </row>
    <row r="588" spans="2:18" ht="36" hidden="1" customHeight="1" x14ac:dyDescent="0.25">
      <c r="B588" s="84">
        <v>1823</v>
      </c>
      <c r="C588" s="83" t="s">
        <v>16</v>
      </c>
      <c r="D588" s="82" t="s">
        <v>2563</v>
      </c>
      <c r="E588" s="81">
        <v>43098</v>
      </c>
      <c r="F588" s="27">
        <f t="shared" ca="1" si="8"/>
        <v>1375</v>
      </c>
      <c r="G588" s="79" t="s">
        <v>1261</v>
      </c>
      <c r="H588" s="80"/>
      <c r="I588" s="80"/>
      <c r="J588" s="79" t="s">
        <v>765</v>
      </c>
      <c r="K588" s="78" t="s">
        <v>623</v>
      </c>
      <c r="L588" s="77">
        <v>43106</v>
      </c>
      <c r="M588" s="68"/>
      <c r="N588" s="76"/>
      <c r="O588" s="75" t="s">
        <v>2564</v>
      </c>
      <c r="R588" s="74"/>
    </row>
    <row r="589" spans="2:18" ht="36" hidden="1" customHeight="1" x14ac:dyDescent="0.25">
      <c r="B589" s="84">
        <v>1819</v>
      </c>
      <c r="C589" s="83" t="s">
        <v>11</v>
      </c>
      <c r="D589" s="82" t="s">
        <v>1898</v>
      </c>
      <c r="E589" s="81">
        <v>43102</v>
      </c>
      <c r="F589" s="27">
        <f t="shared" ca="1" si="8"/>
        <v>1371</v>
      </c>
      <c r="G589" s="79" t="s">
        <v>1261</v>
      </c>
      <c r="H589" s="80"/>
      <c r="I589" s="80"/>
      <c r="J589" s="79" t="s">
        <v>765</v>
      </c>
      <c r="K589" s="78" t="s">
        <v>623</v>
      </c>
      <c r="L589" s="77">
        <v>43106</v>
      </c>
      <c r="M589" s="68"/>
      <c r="N589" s="76"/>
      <c r="O589" s="75" t="s">
        <v>1899</v>
      </c>
      <c r="R589" s="74"/>
    </row>
    <row r="590" spans="2:18" ht="36" hidden="1" customHeight="1" x14ac:dyDescent="0.25">
      <c r="B590" s="84">
        <v>1830</v>
      </c>
      <c r="C590" s="83" t="s">
        <v>16</v>
      </c>
      <c r="D590" s="82" t="s">
        <v>3909</v>
      </c>
      <c r="E590" s="81">
        <v>43102</v>
      </c>
      <c r="F590" s="27">
        <f t="shared" ca="1" si="8"/>
        <v>1371</v>
      </c>
      <c r="G590" s="79" t="s">
        <v>1261</v>
      </c>
      <c r="H590" s="80"/>
      <c r="I590" s="80"/>
      <c r="J590" s="79" t="s">
        <v>765</v>
      </c>
      <c r="K590" s="78" t="s">
        <v>623</v>
      </c>
      <c r="L590" s="77">
        <v>43103</v>
      </c>
      <c r="M590" s="68"/>
      <c r="N590" s="76"/>
      <c r="O590" s="75" t="s">
        <v>3910</v>
      </c>
      <c r="R590" s="74"/>
    </row>
    <row r="591" spans="2:18" ht="36" hidden="1" customHeight="1" x14ac:dyDescent="0.25">
      <c r="B591" s="84">
        <v>1644</v>
      </c>
      <c r="C591" s="83" t="s">
        <v>12</v>
      </c>
      <c r="D591" s="82" t="s">
        <v>953</v>
      </c>
      <c r="E591" s="81">
        <v>43104</v>
      </c>
      <c r="F591" s="27">
        <f t="shared" ca="1" si="8"/>
        <v>1369</v>
      </c>
      <c r="G591" s="79" t="s">
        <v>954</v>
      </c>
      <c r="H591" s="80"/>
      <c r="I591" s="80"/>
      <c r="J591" s="79" t="s">
        <v>592</v>
      </c>
      <c r="K591" s="78" t="s">
        <v>580</v>
      </c>
      <c r="L591" s="77">
        <v>43106</v>
      </c>
      <c r="M591" s="68"/>
      <c r="N591" s="76"/>
      <c r="O591" s="75" t="s">
        <v>955</v>
      </c>
      <c r="R591" s="74"/>
    </row>
    <row r="592" spans="2:18" ht="36" hidden="1" customHeight="1" x14ac:dyDescent="0.25">
      <c r="B592" s="84">
        <v>1816</v>
      </c>
      <c r="C592" s="83" t="s">
        <v>23</v>
      </c>
      <c r="D592" s="82" t="s">
        <v>1316</v>
      </c>
      <c r="E592" s="81">
        <v>43104</v>
      </c>
      <c r="F592" s="27">
        <f t="shared" ref="F592:F655" ca="1" si="9">IF(E592&lt;&gt;"",TODAY()-E592,"")</f>
        <v>1369</v>
      </c>
      <c r="G592" s="79" t="s">
        <v>1317</v>
      </c>
      <c r="H592" s="80"/>
      <c r="I592" s="80"/>
      <c r="J592" s="79" t="s">
        <v>765</v>
      </c>
      <c r="K592" s="78" t="s">
        <v>623</v>
      </c>
      <c r="L592" s="77">
        <v>43120</v>
      </c>
      <c r="M592" s="68"/>
      <c r="N592" s="76"/>
      <c r="O592" s="75" t="s">
        <v>1318</v>
      </c>
      <c r="R592" s="74"/>
    </row>
    <row r="593" spans="2:18" ht="36" hidden="1" customHeight="1" x14ac:dyDescent="0.25">
      <c r="B593" s="84">
        <v>1817</v>
      </c>
      <c r="C593" s="83" t="s">
        <v>36</v>
      </c>
      <c r="D593" s="82" t="s">
        <v>1510</v>
      </c>
      <c r="E593" s="81">
        <v>43104</v>
      </c>
      <c r="F593" s="27">
        <f t="shared" ca="1" si="9"/>
        <v>1369</v>
      </c>
      <c r="G593" s="79" t="s">
        <v>1261</v>
      </c>
      <c r="H593" s="80"/>
      <c r="I593" s="80"/>
      <c r="J593" s="79" t="s">
        <v>765</v>
      </c>
      <c r="K593" s="78" t="s">
        <v>623</v>
      </c>
      <c r="L593" s="77">
        <v>43106</v>
      </c>
      <c r="M593" s="68"/>
      <c r="N593" s="76"/>
      <c r="O593" s="75" t="s">
        <v>1511</v>
      </c>
      <c r="R593" s="74"/>
    </row>
    <row r="594" spans="2:18" ht="36" hidden="1" customHeight="1" x14ac:dyDescent="0.25">
      <c r="B594" s="84">
        <v>1817</v>
      </c>
      <c r="C594" s="83" t="s">
        <v>19</v>
      </c>
      <c r="D594" s="82" t="s">
        <v>1512</v>
      </c>
      <c r="E594" s="81">
        <v>43104</v>
      </c>
      <c r="F594" s="27">
        <f t="shared" ca="1" si="9"/>
        <v>1369</v>
      </c>
      <c r="G594" s="79" t="s">
        <v>1261</v>
      </c>
      <c r="H594" s="80"/>
      <c r="I594" s="80"/>
      <c r="J594" s="79" t="s">
        <v>765</v>
      </c>
      <c r="K594" s="78" t="s">
        <v>623</v>
      </c>
      <c r="L594" s="77">
        <v>43106</v>
      </c>
      <c r="M594" s="68"/>
      <c r="N594" s="76"/>
      <c r="O594" s="75" t="s">
        <v>1513</v>
      </c>
      <c r="R594" s="74"/>
    </row>
    <row r="595" spans="2:18" ht="36" hidden="1" customHeight="1" x14ac:dyDescent="0.25">
      <c r="B595" s="84">
        <v>1641</v>
      </c>
      <c r="C595" s="83" t="s">
        <v>40</v>
      </c>
      <c r="D595" s="82" t="s">
        <v>627</v>
      </c>
      <c r="E595" s="81">
        <v>43105</v>
      </c>
      <c r="F595" s="27">
        <f t="shared" ca="1" si="9"/>
        <v>1368</v>
      </c>
      <c r="G595" s="79" t="s">
        <v>628</v>
      </c>
      <c r="H595" s="80"/>
      <c r="I595" s="80"/>
      <c r="J595" s="79" t="s">
        <v>579</v>
      </c>
      <c r="K595" s="78" t="s">
        <v>580</v>
      </c>
      <c r="L595" s="77">
        <v>43111</v>
      </c>
      <c r="M595" s="68"/>
      <c r="N595" s="76" t="s">
        <v>629</v>
      </c>
      <c r="O595" s="75"/>
      <c r="R595" s="74"/>
    </row>
    <row r="596" spans="2:18" ht="36" hidden="1" customHeight="1" x14ac:dyDescent="0.25">
      <c r="B596" s="84">
        <v>1830</v>
      </c>
      <c r="C596" s="83" t="s">
        <v>15</v>
      </c>
      <c r="D596" s="82" t="s">
        <v>3913</v>
      </c>
      <c r="E596" s="81">
        <v>43105</v>
      </c>
      <c r="F596" s="27">
        <f t="shared" ca="1" si="9"/>
        <v>1368</v>
      </c>
      <c r="G596" s="79" t="s">
        <v>1261</v>
      </c>
      <c r="H596" s="80"/>
      <c r="I596" s="80"/>
      <c r="J596" s="79" t="s">
        <v>765</v>
      </c>
      <c r="K596" s="78" t="s">
        <v>623</v>
      </c>
      <c r="L596" s="77">
        <v>43106</v>
      </c>
      <c r="M596" s="68"/>
      <c r="N596" s="76"/>
      <c r="O596" s="75" t="s">
        <v>3914</v>
      </c>
      <c r="R596" s="74"/>
    </row>
    <row r="597" spans="2:18" ht="36" hidden="1" customHeight="1" x14ac:dyDescent="0.25">
      <c r="B597" s="84">
        <v>1643</v>
      </c>
      <c r="C597" s="83" t="s">
        <v>40</v>
      </c>
      <c r="D597" s="82" t="s">
        <v>860</v>
      </c>
      <c r="E597" s="81">
        <v>43108</v>
      </c>
      <c r="F597" s="27">
        <f t="shared" ca="1" si="9"/>
        <v>1365</v>
      </c>
      <c r="G597" s="79" t="s">
        <v>631</v>
      </c>
      <c r="H597" s="80"/>
      <c r="I597" s="80"/>
      <c r="J597" s="79" t="s">
        <v>592</v>
      </c>
      <c r="K597" s="78" t="s">
        <v>580</v>
      </c>
      <c r="L597" s="77">
        <v>43115</v>
      </c>
      <c r="M597" s="68"/>
      <c r="N597" s="76"/>
      <c r="O597" s="75" t="s">
        <v>861</v>
      </c>
      <c r="R597" s="74"/>
    </row>
    <row r="598" spans="2:18" ht="36" hidden="1" customHeight="1" x14ac:dyDescent="0.25">
      <c r="B598" s="84">
        <v>1644</v>
      </c>
      <c r="C598" s="83" t="s">
        <v>40</v>
      </c>
      <c r="D598" s="82" t="s">
        <v>956</v>
      </c>
      <c r="E598" s="81">
        <v>43108</v>
      </c>
      <c r="F598" s="27">
        <f t="shared" ca="1" si="9"/>
        <v>1365</v>
      </c>
      <c r="G598" s="79" t="s">
        <v>631</v>
      </c>
      <c r="H598" s="80"/>
      <c r="I598" s="80"/>
      <c r="J598" s="79" t="s">
        <v>592</v>
      </c>
      <c r="K598" s="78" t="s">
        <v>580</v>
      </c>
      <c r="L598" s="77">
        <v>43115</v>
      </c>
      <c r="M598" s="68"/>
      <c r="N598" s="76"/>
      <c r="O598" s="75" t="s">
        <v>861</v>
      </c>
      <c r="R598" s="74"/>
    </row>
    <row r="599" spans="2:18" ht="36" hidden="1" customHeight="1" x14ac:dyDescent="0.25">
      <c r="B599" s="84">
        <v>1817</v>
      </c>
      <c r="C599" s="83" t="s">
        <v>23</v>
      </c>
      <c r="D599" s="82" t="s">
        <v>1517</v>
      </c>
      <c r="E599" s="81">
        <v>43108</v>
      </c>
      <c r="F599" s="27">
        <f t="shared" ca="1" si="9"/>
        <v>1365</v>
      </c>
      <c r="G599" s="79" t="s">
        <v>1515</v>
      </c>
      <c r="H599" s="80"/>
      <c r="I599" s="80"/>
      <c r="J599" s="79" t="s">
        <v>597</v>
      </c>
      <c r="K599" s="78" t="s">
        <v>623</v>
      </c>
      <c r="L599" s="77">
        <v>43132</v>
      </c>
      <c r="M599" s="68"/>
      <c r="N599" s="76"/>
      <c r="O599" s="75"/>
      <c r="R599" s="74"/>
    </row>
    <row r="600" spans="2:18" ht="36" hidden="1" customHeight="1" x14ac:dyDescent="0.25">
      <c r="B600" s="84">
        <v>1823</v>
      </c>
      <c r="C600" s="83" t="s">
        <v>40</v>
      </c>
      <c r="D600" s="82" t="s">
        <v>2571</v>
      </c>
      <c r="E600" s="81">
        <v>43108</v>
      </c>
      <c r="F600" s="27">
        <f t="shared" ca="1" si="9"/>
        <v>1365</v>
      </c>
      <c r="G600" s="79" t="s">
        <v>1317</v>
      </c>
      <c r="H600" s="80"/>
      <c r="I600" s="80"/>
      <c r="J600" s="79" t="s">
        <v>765</v>
      </c>
      <c r="K600" s="78" t="s">
        <v>623</v>
      </c>
      <c r="L600" s="77">
        <v>43120</v>
      </c>
      <c r="M600" s="68"/>
      <c r="N600" s="76"/>
      <c r="O600" s="75" t="s">
        <v>2572</v>
      </c>
      <c r="R600" s="74"/>
    </row>
    <row r="601" spans="2:18" ht="36" hidden="1" customHeight="1" x14ac:dyDescent="0.25">
      <c r="B601" s="84">
        <v>1825</v>
      </c>
      <c r="C601" s="83" t="s">
        <v>40</v>
      </c>
      <c r="D601" s="82" t="s">
        <v>3015</v>
      </c>
      <c r="E601" s="81">
        <v>43108</v>
      </c>
      <c r="F601" s="27">
        <f t="shared" ca="1" si="9"/>
        <v>1365</v>
      </c>
      <c r="G601" s="79" t="s">
        <v>1317</v>
      </c>
      <c r="H601" s="80"/>
      <c r="I601" s="80"/>
      <c r="J601" s="79" t="s">
        <v>765</v>
      </c>
      <c r="K601" s="78" t="s">
        <v>623</v>
      </c>
      <c r="L601" s="77">
        <v>43120</v>
      </c>
      <c r="M601" s="68"/>
      <c r="N601" s="76"/>
      <c r="O601" s="75" t="s">
        <v>3016</v>
      </c>
      <c r="R601" s="74"/>
    </row>
    <row r="602" spans="2:18" ht="36" hidden="1" customHeight="1" x14ac:dyDescent="0.25">
      <c r="B602" s="84">
        <v>1827</v>
      </c>
      <c r="C602" s="83" t="s">
        <v>19</v>
      </c>
      <c r="D602" s="82" t="s">
        <v>3332</v>
      </c>
      <c r="E602" s="81">
        <v>43108</v>
      </c>
      <c r="F602" s="27">
        <f t="shared" ca="1" si="9"/>
        <v>1365</v>
      </c>
      <c r="G602" s="79" t="s">
        <v>1317</v>
      </c>
      <c r="H602" s="80"/>
      <c r="I602" s="80"/>
      <c r="J602" s="79" t="s">
        <v>765</v>
      </c>
      <c r="K602" s="78" t="s">
        <v>623</v>
      </c>
      <c r="L602" s="77">
        <v>43120</v>
      </c>
      <c r="M602" s="68"/>
      <c r="N602" s="76"/>
      <c r="O602" s="75" t="s">
        <v>3333</v>
      </c>
      <c r="R602" s="74"/>
    </row>
    <row r="603" spans="2:18" ht="36" hidden="1" customHeight="1" x14ac:dyDescent="0.25">
      <c r="B603" s="84">
        <v>1824</v>
      </c>
      <c r="C603" s="83" t="s">
        <v>10</v>
      </c>
      <c r="D603" s="82" t="s">
        <v>2751</v>
      </c>
      <c r="E603" s="81">
        <v>43109</v>
      </c>
      <c r="F603" s="27">
        <f t="shared" ca="1" si="9"/>
        <v>1364</v>
      </c>
      <c r="G603" s="79" t="s">
        <v>1317</v>
      </c>
      <c r="H603" s="80"/>
      <c r="I603" s="80"/>
      <c r="J603" s="79" t="s">
        <v>765</v>
      </c>
      <c r="K603" s="78" t="s">
        <v>623</v>
      </c>
      <c r="L603" s="77">
        <v>43120</v>
      </c>
      <c r="M603" s="68"/>
      <c r="N603" s="76"/>
      <c r="O603" s="75" t="s">
        <v>2752</v>
      </c>
      <c r="R603" s="74"/>
    </row>
    <row r="604" spans="2:18" ht="36" hidden="1" customHeight="1" x14ac:dyDescent="0.25">
      <c r="B604" s="84">
        <v>1642</v>
      </c>
      <c r="C604" s="83" t="s">
        <v>40</v>
      </c>
      <c r="D604" s="82" t="s">
        <v>769</v>
      </c>
      <c r="E604" s="81">
        <v>43110</v>
      </c>
      <c r="F604" s="27">
        <f t="shared" ca="1" si="9"/>
        <v>1363</v>
      </c>
      <c r="G604" s="79" t="s">
        <v>631</v>
      </c>
      <c r="H604" s="80"/>
      <c r="I604" s="80"/>
      <c r="J604" s="79" t="s">
        <v>592</v>
      </c>
      <c r="K604" s="78" t="s">
        <v>580</v>
      </c>
      <c r="L604" s="77">
        <v>43115</v>
      </c>
      <c r="M604" s="68"/>
      <c r="N604" s="76"/>
      <c r="O604" s="75" t="s">
        <v>770</v>
      </c>
      <c r="R604" s="74"/>
    </row>
    <row r="605" spans="2:18" ht="36" hidden="1" customHeight="1" x14ac:dyDescent="0.25">
      <c r="B605" s="84">
        <v>1642</v>
      </c>
      <c r="C605" s="83" t="s">
        <v>40</v>
      </c>
      <c r="D605" s="82" t="s">
        <v>771</v>
      </c>
      <c r="E605" s="81">
        <v>43110</v>
      </c>
      <c r="F605" s="27">
        <f t="shared" ca="1" si="9"/>
        <v>1363</v>
      </c>
      <c r="G605" s="79" t="s">
        <v>631</v>
      </c>
      <c r="H605" s="80"/>
      <c r="I605" s="80"/>
      <c r="J605" s="79" t="s">
        <v>592</v>
      </c>
      <c r="K605" s="78" t="s">
        <v>580</v>
      </c>
      <c r="L605" s="77">
        <v>43115</v>
      </c>
      <c r="M605" s="68"/>
      <c r="N605" s="76"/>
      <c r="O605" s="75" t="s">
        <v>772</v>
      </c>
      <c r="R605" s="74"/>
    </row>
    <row r="606" spans="2:18" ht="36" hidden="1" customHeight="1" x14ac:dyDescent="0.25">
      <c r="B606" s="84">
        <v>1823</v>
      </c>
      <c r="C606" s="83" t="s">
        <v>23</v>
      </c>
      <c r="D606" s="82" t="s">
        <v>2565</v>
      </c>
      <c r="E606" s="81">
        <v>43110</v>
      </c>
      <c r="F606" s="27">
        <f t="shared" ca="1" si="9"/>
        <v>1363</v>
      </c>
      <c r="G606" s="79" t="s">
        <v>2566</v>
      </c>
      <c r="H606" s="80"/>
      <c r="I606" s="80"/>
      <c r="J606" s="79" t="s">
        <v>579</v>
      </c>
      <c r="K606" s="78" t="s">
        <v>623</v>
      </c>
      <c r="L606" s="77">
        <v>43115</v>
      </c>
      <c r="M606" s="68"/>
      <c r="N606" s="76"/>
      <c r="O606" s="75" t="s">
        <v>55</v>
      </c>
      <c r="R606" s="74"/>
    </row>
    <row r="607" spans="2:18" ht="36" hidden="1" customHeight="1" x14ac:dyDescent="0.25">
      <c r="B607" s="84">
        <v>1828</v>
      </c>
      <c r="C607" s="83" t="s">
        <v>11</v>
      </c>
      <c r="D607" s="82" t="s">
        <v>3524</v>
      </c>
      <c r="E607" s="81">
        <v>43110</v>
      </c>
      <c r="F607" s="27">
        <f t="shared" ca="1" si="9"/>
        <v>1363</v>
      </c>
      <c r="G607" s="79" t="s">
        <v>1354</v>
      </c>
      <c r="H607" s="80"/>
      <c r="I607" s="80"/>
      <c r="J607" s="79" t="s">
        <v>765</v>
      </c>
      <c r="K607" s="78" t="s">
        <v>623</v>
      </c>
      <c r="L607" s="77">
        <v>43112</v>
      </c>
      <c r="M607" s="68"/>
      <c r="N607" s="76"/>
      <c r="O607" s="75"/>
      <c r="R607" s="74"/>
    </row>
    <row r="608" spans="2:18" ht="36" hidden="1" customHeight="1" x14ac:dyDescent="0.25">
      <c r="B608" s="84">
        <v>1645</v>
      </c>
      <c r="C608" s="83" t="s">
        <v>23</v>
      </c>
      <c r="D608" s="82" t="s">
        <v>1037</v>
      </c>
      <c r="E608" s="81">
        <v>43111</v>
      </c>
      <c r="F608" s="27">
        <f t="shared" ca="1" si="9"/>
        <v>1362</v>
      </c>
      <c r="G608" s="79" t="s">
        <v>631</v>
      </c>
      <c r="H608" s="80"/>
      <c r="I608" s="80"/>
      <c r="J608" s="79" t="s">
        <v>592</v>
      </c>
      <c r="K608" s="78" t="s">
        <v>580</v>
      </c>
      <c r="L608" s="77">
        <v>43115</v>
      </c>
      <c r="M608" s="68"/>
      <c r="N608" s="76"/>
      <c r="O608" s="75" t="s">
        <v>1038</v>
      </c>
      <c r="R608" s="74"/>
    </row>
    <row r="609" spans="2:18" ht="36" hidden="1" customHeight="1" x14ac:dyDescent="0.25">
      <c r="B609" s="84">
        <v>1646</v>
      </c>
      <c r="C609" s="83" t="s">
        <v>40</v>
      </c>
      <c r="D609" s="82" t="s">
        <v>1114</v>
      </c>
      <c r="E609" s="81">
        <v>43111</v>
      </c>
      <c r="F609" s="27">
        <f t="shared" ca="1" si="9"/>
        <v>1362</v>
      </c>
      <c r="G609" s="79" t="s">
        <v>631</v>
      </c>
      <c r="H609" s="80"/>
      <c r="I609" s="80"/>
      <c r="J609" s="79" t="s">
        <v>592</v>
      </c>
      <c r="K609" s="78" t="s">
        <v>580</v>
      </c>
      <c r="L609" s="77">
        <v>43115</v>
      </c>
      <c r="M609" s="68"/>
      <c r="N609" s="76"/>
      <c r="O609" s="75" t="s">
        <v>1115</v>
      </c>
      <c r="R609" s="74"/>
    </row>
    <row r="610" spans="2:18" ht="36" hidden="1" customHeight="1" x14ac:dyDescent="0.25">
      <c r="B610" s="84">
        <v>1826</v>
      </c>
      <c r="C610" s="83" t="s">
        <v>12</v>
      </c>
      <c r="D610" s="82" t="s">
        <v>3210</v>
      </c>
      <c r="E610" s="81">
        <v>43111</v>
      </c>
      <c r="F610" s="27">
        <f t="shared" ca="1" si="9"/>
        <v>1362</v>
      </c>
      <c r="G610" s="79" t="s">
        <v>1273</v>
      </c>
      <c r="H610" s="80"/>
      <c r="I610" s="80"/>
      <c r="J610" s="79" t="s">
        <v>765</v>
      </c>
      <c r="K610" s="78" t="s">
        <v>623</v>
      </c>
      <c r="L610" s="77">
        <v>43134</v>
      </c>
      <c r="M610" s="68"/>
      <c r="N610" s="76"/>
      <c r="O610" s="75" t="s">
        <v>3211</v>
      </c>
      <c r="R610" s="74"/>
    </row>
    <row r="611" spans="2:18" ht="36" hidden="1" customHeight="1" x14ac:dyDescent="0.25">
      <c r="B611" s="84">
        <v>1826</v>
      </c>
      <c r="C611" s="83" t="s">
        <v>12</v>
      </c>
      <c r="D611" s="82" t="s">
        <v>3210</v>
      </c>
      <c r="E611" s="81">
        <v>43111</v>
      </c>
      <c r="F611" s="27">
        <f t="shared" ca="1" si="9"/>
        <v>1362</v>
      </c>
      <c r="G611" s="79" t="s">
        <v>1273</v>
      </c>
      <c r="H611" s="80"/>
      <c r="I611" s="80"/>
      <c r="J611" s="79" t="s">
        <v>765</v>
      </c>
      <c r="K611" s="78" t="s">
        <v>623</v>
      </c>
      <c r="L611" s="77">
        <v>43134</v>
      </c>
      <c r="M611" s="68"/>
      <c r="N611" s="76"/>
      <c r="O611" s="75" t="s">
        <v>3211</v>
      </c>
      <c r="R611" s="74"/>
    </row>
    <row r="612" spans="2:18" ht="36" hidden="1" customHeight="1" x14ac:dyDescent="0.25">
      <c r="B612" s="84">
        <v>1816</v>
      </c>
      <c r="C612" s="83" t="s">
        <v>27</v>
      </c>
      <c r="D612" s="82" t="s">
        <v>1321</v>
      </c>
      <c r="E612" s="81">
        <v>43112</v>
      </c>
      <c r="F612" s="27">
        <f t="shared" ca="1" si="9"/>
        <v>1361</v>
      </c>
      <c r="G612" s="79" t="s">
        <v>1317</v>
      </c>
      <c r="H612" s="80"/>
      <c r="I612" s="80"/>
      <c r="J612" s="79" t="s">
        <v>765</v>
      </c>
      <c r="K612" s="78" t="s">
        <v>623</v>
      </c>
      <c r="L612" s="77">
        <v>43122</v>
      </c>
      <c r="M612" s="68"/>
      <c r="N612" s="76" t="s">
        <v>1322</v>
      </c>
      <c r="O612" s="75" t="s">
        <v>1323</v>
      </c>
      <c r="R612" s="74"/>
    </row>
    <row r="613" spans="2:18" ht="36" hidden="1" customHeight="1" x14ac:dyDescent="0.25">
      <c r="B613" s="84">
        <v>1817</v>
      </c>
      <c r="C613" s="83" t="s">
        <v>36</v>
      </c>
      <c r="D613" s="82" t="s">
        <v>1518</v>
      </c>
      <c r="E613" s="81">
        <v>43112</v>
      </c>
      <c r="F613" s="27">
        <f t="shared" ca="1" si="9"/>
        <v>1361</v>
      </c>
      <c r="G613" s="79" t="s">
        <v>1515</v>
      </c>
      <c r="H613" s="80"/>
      <c r="I613" s="80"/>
      <c r="J613" s="79" t="s">
        <v>597</v>
      </c>
      <c r="K613" s="78" t="s">
        <v>623</v>
      </c>
      <c r="L613" s="77">
        <v>43132</v>
      </c>
      <c r="M613" s="68"/>
      <c r="N613" s="76"/>
      <c r="O613" s="75" t="s">
        <v>1519</v>
      </c>
      <c r="R613" s="74"/>
    </row>
    <row r="614" spans="2:18" ht="36" hidden="1" customHeight="1" x14ac:dyDescent="0.25">
      <c r="B614" s="84">
        <v>1824</v>
      </c>
      <c r="C614" s="83" t="s">
        <v>23</v>
      </c>
      <c r="D614" s="82" t="s">
        <v>2753</v>
      </c>
      <c r="E614" s="81">
        <v>43112</v>
      </c>
      <c r="F614" s="27">
        <f t="shared" ca="1" si="9"/>
        <v>1361</v>
      </c>
      <c r="G614" s="79" t="s">
        <v>1317</v>
      </c>
      <c r="H614" s="80"/>
      <c r="I614" s="80"/>
      <c r="J614" s="79" t="s">
        <v>765</v>
      </c>
      <c r="K614" s="78" t="s">
        <v>623</v>
      </c>
      <c r="L614" s="77">
        <v>43120</v>
      </c>
      <c r="M614" s="68"/>
      <c r="N614" s="76"/>
      <c r="O614" s="75" t="s">
        <v>2754</v>
      </c>
      <c r="R614" s="74"/>
    </row>
    <row r="615" spans="2:18" ht="36" hidden="1" customHeight="1" x14ac:dyDescent="0.25">
      <c r="B615" s="84">
        <v>1817</v>
      </c>
      <c r="C615" s="83" t="s">
        <v>12</v>
      </c>
      <c r="D615" s="82" t="s">
        <v>1520</v>
      </c>
      <c r="E615" s="81">
        <v>43115</v>
      </c>
      <c r="F615" s="27">
        <f t="shared" ca="1" si="9"/>
        <v>1358</v>
      </c>
      <c r="G615" s="79" t="s">
        <v>1515</v>
      </c>
      <c r="H615" s="80"/>
      <c r="I615" s="80"/>
      <c r="J615" s="79" t="s">
        <v>597</v>
      </c>
      <c r="K615" s="78" t="s">
        <v>623</v>
      </c>
      <c r="L615" s="77">
        <v>43132</v>
      </c>
      <c r="M615" s="68"/>
      <c r="N615" s="76"/>
      <c r="O615" s="75"/>
      <c r="R615" s="74"/>
    </row>
    <row r="616" spans="2:18" ht="36" hidden="1" customHeight="1" x14ac:dyDescent="0.25">
      <c r="B616" s="84">
        <v>1819</v>
      </c>
      <c r="C616" s="83" t="s">
        <v>12</v>
      </c>
      <c r="D616" s="82" t="s">
        <v>1900</v>
      </c>
      <c r="E616" s="81">
        <v>43115</v>
      </c>
      <c r="F616" s="27">
        <f t="shared" ca="1" si="9"/>
        <v>1358</v>
      </c>
      <c r="G616" s="79"/>
      <c r="H616" s="80"/>
      <c r="I616" s="80"/>
      <c r="J616" s="79" t="s">
        <v>579</v>
      </c>
      <c r="K616" s="78" t="s">
        <v>623</v>
      </c>
      <c r="L616" s="77">
        <v>43115</v>
      </c>
      <c r="M616" s="68"/>
      <c r="N616" s="76" t="s">
        <v>1901</v>
      </c>
      <c r="O616" s="75"/>
      <c r="R616" s="74"/>
    </row>
    <row r="617" spans="2:18" ht="36" hidden="1" customHeight="1" x14ac:dyDescent="0.25">
      <c r="B617" s="84">
        <v>1819</v>
      </c>
      <c r="C617" s="83" t="s">
        <v>33</v>
      </c>
      <c r="D617" s="82" t="s">
        <v>1902</v>
      </c>
      <c r="E617" s="81">
        <v>43115</v>
      </c>
      <c r="F617" s="27">
        <f t="shared" ca="1" si="9"/>
        <v>1358</v>
      </c>
      <c r="G617" s="79" t="s">
        <v>1317</v>
      </c>
      <c r="H617" s="80"/>
      <c r="I617" s="80"/>
      <c r="J617" s="79" t="s">
        <v>765</v>
      </c>
      <c r="K617" s="78" t="s">
        <v>623</v>
      </c>
      <c r="L617" s="77">
        <v>43120</v>
      </c>
      <c r="M617" s="68"/>
      <c r="N617" s="76"/>
      <c r="O617" s="75" t="s">
        <v>1903</v>
      </c>
      <c r="R617" s="74"/>
    </row>
    <row r="618" spans="2:18" ht="36" hidden="1" customHeight="1" x14ac:dyDescent="0.25">
      <c r="B618" s="84">
        <v>1822</v>
      </c>
      <c r="C618" s="83" t="s">
        <v>23</v>
      </c>
      <c r="D618" s="82" t="s">
        <v>1271</v>
      </c>
      <c r="E618" s="81">
        <v>43115</v>
      </c>
      <c r="F618" s="27">
        <f t="shared" ca="1" si="9"/>
        <v>1358</v>
      </c>
      <c r="G618" s="79" t="s">
        <v>1317</v>
      </c>
      <c r="H618" s="80"/>
      <c r="I618" s="80"/>
      <c r="J618" s="79" t="s">
        <v>765</v>
      </c>
      <c r="K618" s="78" t="s">
        <v>623</v>
      </c>
      <c r="L618" s="77">
        <v>43120</v>
      </c>
      <c r="M618" s="68"/>
      <c r="N618" s="76"/>
      <c r="O618" s="75" t="s">
        <v>2421</v>
      </c>
      <c r="R618" s="74"/>
    </row>
    <row r="619" spans="2:18" ht="36" hidden="1" customHeight="1" x14ac:dyDescent="0.25">
      <c r="B619" s="84">
        <v>1823</v>
      </c>
      <c r="C619" s="83" t="s">
        <v>31</v>
      </c>
      <c r="D619" s="82" t="s">
        <v>2567</v>
      </c>
      <c r="E619" s="81">
        <v>43115</v>
      </c>
      <c r="F619" s="27">
        <f t="shared" ca="1" si="9"/>
        <v>1358</v>
      </c>
      <c r="G619" s="79" t="s">
        <v>2566</v>
      </c>
      <c r="H619" s="80"/>
      <c r="I619" s="80"/>
      <c r="J619" s="79" t="s">
        <v>579</v>
      </c>
      <c r="K619" s="78" t="s">
        <v>623</v>
      </c>
      <c r="L619" s="77">
        <v>43115</v>
      </c>
      <c r="M619" s="68"/>
      <c r="N619" s="76"/>
      <c r="O619" s="75" t="s">
        <v>2568</v>
      </c>
      <c r="R619" s="74"/>
    </row>
    <row r="620" spans="2:18" ht="36" hidden="1" customHeight="1" x14ac:dyDescent="0.25">
      <c r="B620" s="84">
        <v>1824</v>
      </c>
      <c r="C620" s="83" t="s">
        <v>12</v>
      </c>
      <c r="D620" s="82" t="s">
        <v>2749</v>
      </c>
      <c r="E620" s="81">
        <v>43115</v>
      </c>
      <c r="F620" s="27">
        <f t="shared" ca="1" si="9"/>
        <v>1358</v>
      </c>
      <c r="G620" s="79"/>
      <c r="H620" s="80"/>
      <c r="I620" s="80"/>
      <c r="J620" s="79"/>
      <c r="K620" s="78"/>
      <c r="L620" s="77">
        <v>43115</v>
      </c>
      <c r="M620" s="68"/>
      <c r="N620" s="76" t="s">
        <v>2750</v>
      </c>
      <c r="O620" s="75"/>
      <c r="R620" s="74"/>
    </row>
    <row r="621" spans="2:18" ht="36" hidden="1" customHeight="1" x14ac:dyDescent="0.25">
      <c r="B621" s="84">
        <v>1830</v>
      </c>
      <c r="C621" s="83" t="s">
        <v>31</v>
      </c>
      <c r="D621" s="82" t="s">
        <v>2567</v>
      </c>
      <c r="E621" s="81">
        <v>43115</v>
      </c>
      <c r="F621" s="27">
        <f t="shared" ca="1" si="9"/>
        <v>1358</v>
      </c>
      <c r="G621" s="79" t="s">
        <v>1325</v>
      </c>
      <c r="H621" s="80"/>
      <c r="I621" s="80"/>
      <c r="J621" s="79" t="s">
        <v>579</v>
      </c>
      <c r="K621" s="78" t="s">
        <v>623</v>
      </c>
      <c r="L621" s="77">
        <v>43115</v>
      </c>
      <c r="M621" s="68"/>
      <c r="N621" s="76" t="s">
        <v>3915</v>
      </c>
      <c r="O621" s="75"/>
      <c r="R621" s="74"/>
    </row>
    <row r="622" spans="2:18" ht="36" hidden="1" customHeight="1" x14ac:dyDescent="0.25">
      <c r="B622" s="84">
        <v>1642</v>
      </c>
      <c r="C622" s="83" t="s">
        <v>8</v>
      </c>
      <c r="D622" s="82" t="s">
        <v>775</v>
      </c>
      <c r="E622" s="81">
        <v>43116</v>
      </c>
      <c r="F622" s="27">
        <f t="shared" ca="1" si="9"/>
        <v>1357</v>
      </c>
      <c r="G622" s="79" t="s">
        <v>619</v>
      </c>
      <c r="H622" s="80"/>
      <c r="I622" s="80"/>
      <c r="J622" s="79" t="s">
        <v>592</v>
      </c>
      <c r="K622" s="78" t="s">
        <v>580</v>
      </c>
      <c r="L622" s="77">
        <v>43153</v>
      </c>
      <c r="M622" s="68"/>
      <c r="N622" s="76"/>
      <c r="O622" s="75" t="s">
        <v>776</v>
      </c>
      <c r="R622" s="74"/>
    </row>
    <row r="623" spans="2:18" ht="36" hidden="1" customHeight="1" x14ac:dyDescent="0.25">
      <c r="B623" s="84">
        <v>1645</v>
      </c>
      <c r="C623" s="83" t="s">
        <v>23</v>
      </c>
      <c r="D623" s="82" t="s">
        <v>1039</v>
      </c>
      <c r="E623" s="81">
        <v>43116</v>
      </c>
      <c r="F623" s="27">
        <f t="shared" ca="1" si="9"/>
        <v>1357</v>
      </c>
      <c r="G623" s="79" t="s">
        <v>1040</v>
      </c>
      <c r="H623" s="80"/>
      <c r="I623" s="80"/>
      <c r="J623" s="79" t="s">
        <v>592</v>
      </c>
      <c r="K623" s="78" t="s">
        <v>580</v>
      </c>
      <c r="L623" s="77">
        <v>43162</v>
      </c>
      <c r="M623" s="68"/>
      <c r="N623" s="76" t="s">
        <v>1041</v>
      </c>
      <c r="O623" s="75" t="s">
        <v>1042</v>
      </c>
      <c r="R623" s="74"/>
    </row>
    <row r="624" spans="2:18" ht="36" hidden="1" customHeight="1" x14ac:dyDescent="0.25">
      <c r="B624" s="84">
        <v>1824</v>
      </c>
      <c r="C624" s="83" t="s">
        <v>23</v>
      </c>
      <c r="D624" s="82" t="s">
        <v>2755</v>
      </c>
      <c r="E624" s="81">
        <v>43116</v>
      </c>
      <c r="F624" s="27">
        <f t="shared" ca="1" si="9"/>
        <v>1357</v>
      </c>
      <c r="G624" s="79" t="s">
        <v>1317</v>
      </c>
      <c r="H624" s="80"/>
      <c r="I624" s="80"/>
      <c r="J624" s="79" t="s">
        <v>765</v>
      </c>
      <c r="K624" s="78" t="s">
        <v>623</v>
      </c>
      <c r="L624" s="77">
        <v>43120</v>
      </c>
      <c r="M624" s="68"/>
      <c r="N624" s="76"/>
      <c r="O624" s="75" t="s">
        <v>1918</v>
      </c>
      <c r="R624" s="74"/>
    </row>
    <row r="625" spans="2:18" ht="36" hidden="1" customHeight="1" x14ac:dyDescent="0.25">
      <c r="B625" s="84">
        <v>1828</v>
      </c>
      <c r="C625" s="83" t="s">
        <v>18</v>
      </c>
      <c r="D625" s="82" t="s">
        <v>3528</v>
      </c>
      <c r="E625" s="81">
        <v>43116</v>
      </c>
      <c r="F625" s="27">
        <f t="shared" ca="1" si="9"/>
        <v>1357</v>
      </c>
      <c r="G625" s="79" t="s">
        <v>1723</v>
      </c>
      <c r="H625" s="80"/>
      <c r="I625" s="80"/>
      <c r="J625" s="79" t="s">
        <v>579</v>
      </c>
      <c r="K625" s="78" t="s">
        <v>623</v>
      </c>
      <c r="L625" s="77">
        <v>43124</v>
      </c>
      <c r="M625" s="68"/>
      <c r="N625" s="76" t="s">
        <v>3526</v>
      </c>
      <c r="O625" s="75" t="s">
        <v>56</v>
      </c>
      <c r="R625" s="74"/>
    </row>
    <row r="626" spans="2:18" ht="36" hidden="1" customHeight="1" x14ac:dyDescent="0.25">
      <c r="B626" s="84">
        <v>1830</v>
      </c>
      <c r="C626" s="83" t="s">
        <v>39</v>
      </c>
      <c r="D626" s="82" t="s">
        <v>3916</v>
      </c>
      <c r="E626" s="81">
        <v>43116</v>
      </c>
      <c r="F626" s="27">
        <f t="shared" ca="1" si="9"/>
        <v>1357</v>
      </c>
      <c r="G626" s="79" t="s">
        <v>1317</v>
      </c>
      <c r="H626" s="80"/>
      <c r="I626" s="80"/>
      <c r="J626" s="79" t="s">
        <v>765</v>
      </c>
      <c r="K626" s="78" t="s">
        <v>623</v>
      </c>
      <c r="L626" s="77">
        <v>43120</v>
      </c>
      <c r="M626" s="68"/>
      <c r="N626" s="76"/>
      <c r="O626" s="75" t="s">
        <v>3917</v>
      </c>
      <c r="R626" s="74"/>
    </row>
    <row r="627" spans="2:18" ht="36" hidden="1" customHeight="1" x14ac:dyDescent="0.25">
      <c r="B627" s="84">
        <v>1830</v>
      </c>
      <c r="C627" s="83" t="s">
        <v>23</v>
      </c>
      <c r="D627" s="82" t="s">
        <v>3918</v>
      </c>
      <c r="E627" s="81">
        <v>43116</v>
      </c>
      <c r="F627" s="27">
        <f t="shared" ca="1" si="9"/>
        <v>1357</v>
      </c>
      <c r="G627" s="79" t="s">
        <v>1317</v>
      </c>
      <c r="H627" s="80"/>
      <c r="I627" s="80"/>
      <c r="J627" s="79" t="s">
        <v>765</v>
      </c>
      <c r="K627" s="78" t="s">
        <v>623</v>
      </c>
      <c r="L627" s="77">
        <v>43120</v>
      </c>
      <c r="M627" s="68"/>
      <c r="N627" s="76"/>
      <c r="O627" s="75" t="s">
        <v>2093</v>
      </c>
      <c r="R627" s="74"/>
    </row>
    <row r="628" spans="2:18" ht="36" hidden="1" customHeight="1" x14ac:dyDescent="0.25">
      <c r="B628" s="84">
        <v>1830</v>
      </c>
      <c r="C628" s="83" t="s">
        <v>40</v>
      </c>
      <c r="D628" s="82" t="s">
        <v>3921</v>
      </c>
      <c r="E628" s="81">
        <v>43116</v>
      </c>
      <c r="F628" s="27">
        <f t="shared" ca="1" si="9"/>
        <v>1357</v>
      </c>
      <c r="G628" s="79" t="s">
        <v>1723</v>
      </c>
      <c r="H628" s="80"/>
      <c r="I628" s="80"/>
      <c r="J628" s="79" t="s">
        <v>579</v>
      </c>
      <c r="K628" s="78" t="s">
        <v>623</v>
      </c>
      <c r="L628" s="77">
        <v>43144</v>
      </c>
      <c r="M628" s="68"/>
      <c r="N628" s="76"/>
      <c r="O628" s="75" t="s">
        <v>3922</v>
      </c>
      <c r="R628" s="74"/>
    </row>
    <row r="629" spans="2:18" ht="36" hidden="1" customHeight="1" x14ac:dyDescent="0.25">
      <c r="B629" s="84">
        <v>1826</v>
      </c>
      <c r="C629" s="83" t="s">
        <v>11</v>
      </c>
      <c r="D629" s="82" t="s">
        <v>3212</v>
      </c>
      <c r="E629" s="81">
        <v>43117</v>
      </c>
      <c r="F629" s="27">
        <f t="shared" ca="1" si="9"/>
        <v>1356</v>
      </c>
      <c r="G629" s="79" t="s">
        <v>1273</v>
      </c>
      <c r="H629" s="80"/>
      <c r="I629" s="80"/>
      <c r="J629" s="79" t="s">
        <v>765</v>
      </c>
      <c r="K629" s="78" t="s">
        <v>623</v>
      </c>
      <c r="L629" s="77">
        <v>43134</v>
      </c>
      <c r="M629" s="68"/>
      <c r="N629" s="76"/>
      <c r="O629" s="75" t="s">
        <v>3213</v>
      </c>
      <c r="R629" s="74"/>
    </row>
    <row r="630" spans="2:18" ht="36" hidden="1" customHeight="1" x14ac:dyDescent="0.25">
      <c r="B630" s="84">
        <v>1828</v>
      </c>
      <c r="C630" s="83" t="s">
        <v>31</v>
      </c>
      <c r="D630" s="82" t="s">
        <v>3529</v>
      </c>
      <c r="E630" s="81">
        <v>43118</v>
      </c>
      <c r="F630" s="27">
        <f t="shared" ca="1" si="9"/>
        <v>1355</v>
      </c>
      <c r="G630" s="79" t="s">
        <v>1723</v>
      </c>
      <c r="H630" s="80"/>
      <c r="I630" s="80"/>
      <c r="J630" s="79" t="s">
        <v>579</v>
      </c>
      <c r="K630" s="78" t="s">
        <v>623</v>
      </c>
      <c r="L630" s="77">
        <v>43124</v>
      </c>
      <c r="M630" s="68"/>
      <c r="N630" s="76" t="s">
        <v>3526</v>
      </c>
      <c r="O630" s="75" t="s">
        <v>56</v>
      </c>
      <c r="R630" s="74"/>
    </row>
    <row r="631" spans="2:18" ht="36" hidden="1" customHeight="1" x14ac:dyDescent="0.25">
      <c r="B631" s="84">
        <v>1816</v>
      </c>
      <c r="C631" s="83" t="s">
        <v>16</v>
      </c>
      <c r="D631" s="82" t="s">
        <v>1319</v>
      </c>
      <c r="E631" s="81">
        <v>43119</v>
      </c>
      <c r="F631" s="27">
        <f t="shared" ca="1" si="9"/>
        <v>1354</v>
      </c>
      <c r="G631" s="79" t="s">
        <v>1317</v>
      </c>
      <c r="H631" s="80"/>
      <c r="I631" s="80"/>
      <c r="J631" s="79" t="s">
        <v>765</v>
      </c>
      <c r="K631" s="78" t="s">
        <v>623</v>
      </c>
      <c r="L631" s="77">
        <v>43120</v>
      </c>
      <c r="M631" s="68"/>
      <c r="N631" s="76"/>
      <c r="O631" s="75" t="s">
        <v>1320</v>
      </c>
      <c r="R631" s="74"/>
    </row>
    <row r="632" spans="2:18" ht="36" hidden="1" customHeight="1" x14ac:dyDescent="0.25">
      <c r="B632" s="84">
        <v>1817</v>
      </c>
      <c r="C632" s="83" t="s">
        <v>23</v>
      </c>
      <c r="D632" s="82" t="s">
        <v>458</v>
      </c>
      <c r="E632" s="81">
        <v>43122</v>
      </c>
      <c r="F632" s="27">
        <f t="shared" ca="1" si="9"/>
        <v>1351</v>
      </c>
      <c r="G632" s="79" t="s">
        <v>1515</v>
      </c>
      <c r="H632" s="80"/>
      <c r="I632" s="80"/>
      <c r="J632" s="79" t="s">
        <v>597</v>
      </c>
      <c r="K632" s="78" t="s">
        <v>623</v>
      </c>
      <c r="L632" s="77">
        <v>43132</v>
      </c>
      <c r="M632" s="68"/>
      <c r="N632" s="76"/>
      <c r="O632" s="75"/>
      <c r="R632" s="74"/>
    </row>
    <row r="633" spans="2:18" ht="36" hidden="1" customHeight="1" x14ac:dyDescent="0.25">
      <c r="B633" s="84">
        <v>1822</v>
      </c>
      <c r="C633" s="83" t="s">
        <v>23</v>
      </c>
      <c r="D633" s="82" t="s">
        <v>2422</v>
      </c>
      <c r="E633" s="81">
        <v>43122</v>
      </c>
      <c r="F633" s="27">
        <f t="shared" ca="1" si="9"/>
        <v>1351</v>
      </c>
      <c r="G633" s="79" t="s">
        <v>1273</v>
      </c>
      <c r="H633" s="80"/>
      <c r="I633" s="80"/>
      <c r="J633" s="79" t="s">
        <v>765</v>
      </c>
      <c r="K633" s="78" t="s">
        <v>623</v>
      </c>
      <c r="L633" s="77">
        <v>43134</v>
      </c>
      <c r="M633" s="68"/>
      <c r="N633" s="76"/>
      <c r="O633" s="75" t="s">
        <v>1918</v>
      </c>
      <c r="R633" s="74"/>
    </row>
    <row r="634" spans="2:18" ht="36" hidden="1" customHeight="1" x14ac:dyDescent="0.25">
      <c r="B634" s="84">
        <v>1825</v>
      </c>
      <c r="C634" s="83" t="s">
        <v>23</v>
      </c>
      <c r="D634" s="82" t="s">
        <v>458</v>
      </c>
      <c r="E634" s="81">
        <v>43122</v>
      </c>
      <c r="F634" s="27">
        <f t="shared" ca="1" si="9"/>
        <v>1351</v>
      </c>
      <c r="G634" s="79" t="s">
        <v>3018</v>
      </c>
      <c r="H634" s="80"/>
      <c r="I634" s="80"/>
      <c r="J634" s="79" t="s">
        <v>765</v>
      </c>
      <c r="K634" s="78" t="s">
        <v>623</v>
      </c>
      <c r="L634" s="77">
        <v>43129</v>
      </c>
      <c r="M634" s="68"/>
      <c r="N634" s="76"/>
      <c r="O634" s="75"/>
      <c r="R634" s="74"/>
    </row>
    <row r="635" spans="2:18" ht="36" hidden="1" customHeight="1" x14ac:dyDescent="0.25">
      <c r="B635" s="84">
        <v>1826</v>
      </c>
      <c r="C635" s="83" t="s">
        <v>23</v>
      </c>
      <c r="D635" s="82" t="s">
        <v>458</v>
      </c>
      <c r="E635" s="81">
        <v>43122</v>
      </c>
      <c r="F635" s="27">
        <f t="shared" ca="1" si="9"/>
        <v>1351</v>
      </c>
      <c r="G635" s="79" t="s">
        <v>1273</v>
      </c>
      <c r="H635" s="80"/>
      <c r="I635" s="80"/>
      <c r="J635" s="79" t="s">
        <v>765</v>
      </c>
      <c r="K635" s="78" t="s">
        <v>623</v>
      </c>
      <c r="L635" s="77">
        <v>43134</v>
      </c>
      <c r="M635" s="68"/>
      <c r="N635" s="76"/>
      <c r="O635" s="75" t="s">
        <v>3214</v>
      </c>
      <c r="R635" s="74"/>
    </row>
    <row r="636" spans="2:18" ht="36" hidden="1" customHeight="1" x14ac:dyDescent="0.25">
      <c r="B636" s="84">
        <v>1828</v>
      </c>
      <c r="C636" s="83" t="s">
        <v>40</v>
      </c>
      <c r="D636" s="82" t="s">
        <v>1696</v>
      </c>
      <c r="E636" s="81">
        <v>43122</v>
      </c>
      <c r="F636" s="27">
        <f t="shared" ca="1" si="9"/>
        <v>1351</v>
      </c>
      <c r="G636" s="79" t="s">
        <v>1723</v>
      </c>
      <c r="H636" s="80"/>
      <c r="I636" s="80"/>
      <c r="J636" s="79" t="s">
        <v>579</v>
      </c>
      <c r="K636" s="78" t="s">
        <v>623</v>
      </c>
      <c r="L636" s="77">
        <v>43124</v>
      </c>
      <c r="M636" s="68"/>
      <c r="N636" s="76" t="s">
        <v>3526</v>
      </c>
      <c r="O636" s="75" t="s">
        <v>3530</v>
      </c>
      <c r="R636" s="74"/>
    </row>
    <row r="637" spans="2:18" ht="36" hidden="1" customHeight="1" x14ac:dyDescent="0.25">
      <c r="B637" s="84">
        <v>1830</v>
      </c>
      <c r="C637" s="83" t="s">
        <v>23</v>
      </c>
      <c r="D637" s="82" t="s">
        <v>1552</v>
      </c>
      <c r="E637" s="81">
        <v>43122</v>
      </c>
      <c r="F637" s="27">
        <f t="shared" ca="1" si="9"/>
        <v>1351</v>
      </c>
      <c r="G637" s="79" t="s">
        <v>1273</v>
      </c>
      <c r="H637" s="80"/>
      <c r="I637" s="80"/>
      <c r="J637" s="79" t="s">
        <v>765</v>
      </c>
      <c r="K637" s="78" t="s">
        <v>623</v>
      </c>
      <c r="L637" s="77">
        <v>43134</v>
      </c>
      <c r="M637" s="68"/>
      <c r="N637" s="76"/>
      <c r="O637" s="75" t="s">
        <v>2123</v>
      </c>
      <c r="R637" s="74"/>
    </row>
    <row r="638" spans="2:18" ht="36" hidden="1" customHeight="1" x14ac:dyDescent="0.25">
      <c r="B638" s="84">
        <v>1827</v>
      </c>
      <c r="C638" s="83" t="s">
        <v>23</v>
      </c>
      <c r="D638" s="82" t="s">
        <v>3334</v>
      </c>
      <c r="E638" s="81">
        <v>43123</v>
      </c>
      <c r="F638" s="27">
        <f t="shared" ca="1" si="9"/>
        <v>1350</v>
      </c>
      <c r="G638" s="79"/>
      <c r="H638" s="80"/>
      <c r="I638" s="80"/>
      <c r="J638" s="79"/>
      <c r="K638" s="78"/>
      <c r="L638" s="77">
        <v>43123</v>
      </c>
      <c r="M638" s="68"/>
      <c r="N638" s="76"/>
      <c r="O638" s="75" t="s">
        <v>3335</v>
      </c>
      <c r="R638" s="74"/>
    </row>
    <row r="639" spans="2:18" ht="36" hidden="1" customHeight="1" x14ac:dyDescent="0.25">
      <c r="B639" s="84">
        <v>1828</v>
      </c>
      <c r="C639" s="83" t="s">
        <v>23</v>
      </c>
      <c r="D639" s="82" t="s">
        <v>3334</v>
      </c>
      <c r="E639" s="81">
        <v>43123</v>
      </c>
      <c r="F639" s="27">
        <f t="shared" ca="1" si="9"/>
        <v>1350</v>
      </c>
      <c r="G639" s="79" t="s">
        <v>1723</v>
      </c>
      <c r="H639" s="80"/>
      <c r="I639" s="80"/>
      <c r="J639" s="79" t="s">
        <v>579</v>
      </c>
      <c r="K639" s="78" t="s">
        <v>623</v>
      </c>
      <c r="L639" s="77">
        <v>43124</v>
      </c>
      <c r="M639" s="68"/>
      <c r="N639" s="76" t="s">
        <v>3526</v>
      </c>
      <c r="O639" s="75" t="s">
        <v>697</v>
      </c>
      <c r="R639" s="74"/>
    </row>
    <row r="640" spans="2:18" ht="36" hidden="1" customHeight="1" x14ac:dyDescent="0.25">
      <c r="B640" s="84">
        <v>1829</v>
      </c>
      <c r="C640" s="83" t="s">
        <v>23</v>
      </c>
      <c r="D640" s="82" t="s">
        <v>3744</v>
      </c>
      <c r="E640" s="81">
        <v>43123</v>
      </c>
      <c r="F640" s="27">
        <f t="shared" ca="1" si="9"/>
        <v>1350</v>
      </c>
      <c r="G640" s="79" t="s">
        <v>3745</v>
      </c>
      <c r="H640" s="80"/>
      <c r="I640" s="80"/>
      <c r="J640" s="79" t="s">
        <v>765</v>
      </c>
      <c r="K640" s="78" t="s">
        <v>623</v>
      </c>
      <c r="L640" s="77">
        <v>43129</v>
      </c>
      <c r="M640" s="68"/>
      <c r="N640" s="76" t="s">
        <v>3746</v>
      </c>
      <c r="O640" s="75"/>
      <c r="R640" s="74"/>
    </row>
    <row r="641" spans="2:18" ht="36" hidden="1" customHeight="1" x14ac:dyDescent="0.25">
      <c r="B641" s="84">
        <v>1826</v>
      </c>
      <c r="C641" s="83" t="s">
        <v>12</v>
      </c>
      <c r="D641" s="82" t="s">
        <v>54</v>
      </c>
      <c r="E641" s="81">
        <v>43124</v>
      </c>
      <c r="F641" s="27">
        <f t="shared" ca="1" si="9"/>
        <v>1349</v>
      </c>
      <c r="G641" s="79" t="s">
        <v>1273</v>
      </c>
      <c r="H641" s="80"/>
      <c r="I641" s="80"/>
      <c r="J641" s="79" t="s">
        <v>765</v>
      </c>
      <c r="K641" s="78" t="s">
        <v>623</v>
      </c>
      <c r="L641" s="77">
        <v>43134</v>
      </c>
      <c r="M641" s="68"/>
      <c r="N641" s="76"/>
      <c r="O641" s="75" t="s">
        <v>3215</v>
      </c>
      <c r="R641" s="74"/>
    </row>
    <row r="642" spans="2:18" ht="36" hidden="1" customHeight="1" x14ac:dyDescent="0.25">
      <c r="B642" s="84">
        <v>1826</v>
      </c>
      <c r="C642" s="83" t="s">
        <v>21</v>
      </c>
      <c r="D642" s="82" t="s">
        <v>3216</v>
      </c>
      <c r="E642" s="81">
        <v>43124</v>
      </c>
      <c r="F642" s="27">
        <f t="shared" ca="1" si="9"/>
        <v>1349</v>
      </c>
      <c r="G642" s="79" t="s">
        <v>1273</v>
      </c>
      <c r="H642" s="80"/>
      <c r="I642" s="80"/>
      <c r="J642" s="79" t="s">
        <v>765</v>
      </c>
      <c r="K642" s="78" t="s">
        <v>623</v>
      </c>
      <c r="L642" s="77">
        <v>43134</v>
      </c>
      <c r="M642" s="68"/>
      <c r="N642" s="76"/>
      <c r="O642" s="75" t="s">
        <v>3217</v>
      </c>
      <c r="R642" s="74"/>
    </row>
    <row r="643" spans="2:18" ht="36" hidden="1" customHeight="1" x14ac:dyDescent="0.25">
      <c r="B643" s="84">
        <v>1827</v>
      </c>
      <c r="C643" s="83" t="s">
        <v>23</v>
      </c>
      <c r="D643" s="82" t="s">
        <v>346</v>
      </c>
      <c r="E643" s="81">
        <v>43124</v>
      </c>
      <c r="F643" s="27">
        <f t="shared" ca="1" si="9"/>
        <v>1349</v>
      </c>
      <c r="G643" s="79"/>
      <c r="H643" s="80"/>
      <c r="I643" s="80"/>
      <c r="J643" s="79"/>
      <c r="K643" s="78"/>
      <c r="L643" s="77">
        <v>43125</v>
      </c>
      <c r="M643" s="68"/>
      <c r="N643" s="76" t="s">
        <v>3336</v>
      </c>
      <c r="O643" s="75" t="s">
        <v>1270</v>
      </c>
      <c r="R643" s="74"/>
    </row>
    <row r="644" spans="2:18" ht="36" hidden="1" customHeight="1" x14ac:dyDescent="0.25">
      <c r="B644" s="84">
        <v>1827</v>
      </c>
      <c r="C644" s="83" t="s">
        <v>19</v>
      </c>
      <c r="D644" s="82" t="s">
        <v>3337</v>
      </c>
      <c r="E644" s="81">
        <v>43124</v>
      </c>
      <c r="F644" s="27">
        <f t="shared" ca="1" si="9"/>
        <v>1349</v>
      </c>
      <c r="G644" s="79"/>
      <c r="H644" s="80"/>
      <c r="I644" s="80"/>
      <c r="J644" s="79"/>
      <c r="K644" s="78"/>
      <c r="L644" s="77">
        <v>43125</v>
      </c>
      <c r="M644" s="68"/>
      <c r="N644" s="76" t="s">
        <v>3336</v>
      </c>
      <c r="O644" s="75" t="s">
        <v>3338</v>
      </c>
      <c r="R644" s="74"/>
    </row>
    <row r="645" spans="2:18" ht="36" hidden="1" customHeight="1" x14ac:dyDescent="0.25">
      <c r="B645" s="84">
        <v>1816</v>
      </c>
      <c r="C645" s="83" t="s">
        <v>22</v>
      </c>
      <c r="D645" s="82" t="s">
        <v>1331</v>
      </c>
      <c r="E645" s="81">
        <v>43125</v>
      </c>
      <c r="F645" s="27">
        <f t="shared" ca="1" si="9"/>
        <v>1348</v>
      </c>
      <c r="G645" s="79" t="s">
        <v>764</v>
      </c>
      <c r="H645" s="80"/>
      <c r="I645" s="80"/>
      <c r="J645" s="79" t="s">
        <v>765</v>
      </c>
      <c r="K645" s="78" t="s">
        <v>623</v>
      </c>
      <c r="L645" s="77">
        <v>43162</v>
      </c>
      <c r="M645" s="68"/>
      <c r="N645" s="76" t="s">
        <v>1332</v>
      </c>
      <c r="O645" s="75" t="s">
        <v>1333</v>
      </c>
      <c r="R645" s="74"/>
    </row>
    <row r="646" spans="2:18" ht="36" hidden="1" customHeight="1" x14ac:dyDescent="0.25">
      <c r="B646" s="84">
        <v>1825</v>
      </c>
      <c r="C646" s="83" t="s">
        <v>39</v>
      </c>
      <c r="D646" s="82" t="s">
        <v>3019</v>
      </c>
      <c r="E646" s="81">
        <v>43125</v>
      </c>
      <c r="F646" s="27">
        <f t="shared" ca="1" si="9"/>
        <v>1348</v>
      </c>
      <c r="G646" s="79" t="s">
        <v>3018</v>
      </c>
      <c r="H646" s="80"/>
      <c r="I646" s="80"/>
      <c r="J646" s="79" t="s">
        <v>765</v>
      </c>
      <c r="K646" s="78" t="s">
        <v>623</v>
      </c>
      <c r="L646" s="77">
        <v>43129</v>
      </c>
      <c r="M646" s="68"/>
      <c r="N646" s="76"/>
      <c r="O646" s="75"/>
      <c r="R646" s="74"/>
    </row>
    <row r="647" spans="2:18" ht="36" hidden="1" customHeight="1" x14ac:dyDescent="0.25">
      <c r="B647" s="84">
        <v>1828</v>
      </c>
      <c r="C647" s="83" t="s">
        <v>17</v>
      </c>
      <c r="D647" s="82" t="s">
        <v>3531</v>
      </c>
      <c r="E647" s="81">
        <v>43125</v>
      </c>
      <c r="F647" s="27">
        <f t="shared" ca="1" si="9"/>
        <v>1348</v>
      </c>
      <c r="G647" s="79" t="s">
        <v>1572</v>
      </c>
      <c r="H647" s="80"/>
      <c r="I647" s="80"/>
      <c r="J647" s="79" t="s">
        <v>579</v>
      </c>
      <c r="K647" s="78" t="s">
        <v>623</v>
      </c>
      <c r="L647" s="77">
        <v>43140</v>
      </c>
      <c r="M647" s="68"/>
      <c r="N647" s="76" t="s">
        <v>3532</v>
      </c>
      <c r="O647" s="75" t="s">
        <v>3533</v>
      </c>
      <c r="R647" s="74"/>
    </row>
    <row r="648" spans="2:18" ht="36" hidden="1" customHeight="1" x14ac:dyDescent="0.25">
      <c r="B648" s="84">
        <v>1830</v>
      </c>
      <c r="C648" s="83" t="s">
        <v>11</v>
      </c>
      <c r="D648" s="82" t="s">
        <v>3919</v>
      </c>
      <c r="E648" s="81">
        <v>43125</v>
      </c>
      <c r="F648" s="27">
        <f t="shared" ca="1" si="9"/>
        <v>1348</v>
      </c>
      <c r="G648" s="79" t="s">
        <v>1273</v>
      </c>
      <c r="H648" s="80"/>
      <c r="I648" s="80"/>
      <c r="J648" s="79" t="s">
        <v>765</v>
      </c>
      <c r="K648" s="78" t="s">
        <v>623</v>
      </c>
      <c r="L648" s="77">
        <v>43134</v>
      </c>
      <c r="M648" s="68"/>
      <c r="N648" s="76"/>
      <c r="O648" s="75" t="s">
        <v>3920</v>
      </c>
      <c r="R648" s="74"/>
    </row>
    <row r="649" spans="2:18" ht="36" hidden="1" customHeight="1" x14ac:dyDescent="0.25">
      <c r="B649" s="84">
        <v>1642</v>
      </c>
      <c r="C649" s="83" t="s">
        <v>40</v>
      </c>
      <c r="D649" s="82" t="s">
        <v>773</v>
      </c>
      <c r="E649" s="81">
        <v>43126</v>
      </c>
      <c r="F649" s="27">
        <f t="shared" ca="1" si="9"/>
        <v>1347</v>
      </c>
      <c r="G649" s="79" t="s">
        <v>726</v>
      </c>
      <c r="H649" s="80"/>
      <c r="I649" s="80"/>
      <c r="J649" s="79" t="s">
        <v>592</v>
      </c>
      <c r="K649" s="78" t="s">
        <v>580</v>
      </c>
      <c r="L649" s="77">
        <v>43146</v>
      </c>
      <c r="M649" s="68"/>
      <c r="N649" s="76" t="s">
        <v>774</v>
      </c>
      <c r="O649" s="75"/>
      <c r="R649" s="74"/>
    </row>
    <row r="650" spans="2:18" ht="36" hidden="1" customHeight="1" x14ac:dyDescent="0.25">
      <c r="B650" s="84">
        <v>1646</v>
      </c>
      <c r="C650" s="83" t="s">
        <v>40</v>
      </c>
      <c r="D650" s="82" t="s">
        <v>1116</v>
      </c>
      <c r="E650" s="81">
        <v>43126</v>
      </c>
      <c r="F650" s="27">
        <f t="shared" ca="1" si="9"/>
        <v>1347</v>
      </c>
      <c r="G650" s="79" t="s">
        <v>726</v>
      </c>
      <c r="H650" s="80"/>
      <c r="I650" s="80"/>
      <c r="J650" s="79" t="s">
        <v>592</v>
      </c>
      <c r="K650" s="78" t="s">
        <v>580</v>
      </c>
      <c r="L650" s="77">
        <v>43152</v>
      </c>
      <c r="M650" s="68"/>
      <c r="N650" s="76" t="s">
        <v>1117</v>
      </c>
      <c r="O650" s="75"/>
      <c r="R650" s="74"/>
    </row>
    <row r="651" spans="2:18" ht="36" hidden="1" customHeight="1" x14ac:dyDescent="0.25">
      <c r="B651" s="84">
        <v>1817</v>
      </c>
      <c r="C651" s="83" t="s">
        <v>17</v>
      </c>
      <c r="D651" s="82" t="s">
        <v>1521</v>
      </c>
      <c r="E651" s="81">
        <v>43126</v>
      </c>
      <c r="F651" s="27">
        <f t="shared" ca="1" si="9"/>
        <v>1347</v>
      </c>
      <c r="G651" s="79" t="s">
        <v>1515</v>
      </c>
      <c r="H651" s="80"/>
      <c r="I651" s="80"/>
      <c r="J651" s="79" t="s">
        <v>597</v>
      </c>
      <c r="K651" s="78" t="s">
        <v>623</v>
      </c>
      <c r="L651" s="77">
        <v>43132</v>
      </c>
      <c r="M651" s="68"/>
      <c r="N651" s="76"/>
      <c r="O651" s="75"/>
      <c r="R651" s="74"/>
    </row>
    <row r="652" spans="2:18" ht="36" hidden="1" customHeight="1" x14ac:dyDescent="0.25">
      <c r="B652" s="84">
        <v>1820</v>
      </c>
      <c r="C652" s="83" t="s">
        <v>27</v>
      </c>
      <c r="D652" s="82" t="s">
        <v>2095</v>
      </c>
      <c r="E652" s="81">
        <v>43126</v>
      </c>
      <c r="F652" s="27">
        <f t="shared" ca="1" si="9"/>
        <v>1347</v>
      </c>
      <c r="G652" s="79" t="s">
        <v>2096</v>
      </c>
      <c r="H652" s="80"/>
      <c r="I652" s="80"/>
      <c r="J652" s="79" t="s">
        <v>597</v>
      </c>
      <c r="K652" s="78" t="s">
        <v>623</v>
      </c>
      <c r="L652" s="77">
        <v>43131</v>
      </c>
      <c r="M652" s="68"/>
      <c r="N652" s="76"/>
      <c r="O652" s="75" t="s">
        <v>2097</v>
      </c>
      <c r="R652" s="74"/>
    </row>
    <row r="653" spans="2:18" ht="36" hidden="1" customHeight="1" x14ac:dyDescent="0.25">
      <c r="B653" s="84">
        <v>1817</v>
      </c>
      <c r="C653" s="83" t="s">
        <v>11</v>
      </c>
      <c r="D653" s="82" t="s">
        <v>1522</v>
      </c>
      <c r="E653" s="81">
        <v>43129</v>
      </c>
      <c r="F653" s="27">
        <f t="shared" ca="1" si="9"/>
        <v>1344</v>
      </c>
      <c r="G653" s="79" t="s">
        <v>1515</v>
      </c>
      <c r="H653" s="80"/>
      <c r="I653" s="80"/>
      <c r="J653" s="79" t="s">
        <v>597</v>
      </c>
      <c r="K653" s="78" t="s">
        <v>623</v>
      </c>
      <c r="L653" s="77">
        <v>43132</v>
      </c>
      <c r="M653" s="68"/>
      <c r="N653" s="76"/>
      <c r="O653" s="75"/>
      <c r="R653" s="74"/>
    </row>
    <row r="654" spans="2:18" ht="36" hidden="1" customHeight="1" x14ac:dyDescent="0.25">
      <c r="B654" s="84">
        <v>1823</v>
      </c>
      <c r="C654" s="83" t="s">
        <v>40</v>
      </c>
      <c r="D654" s="82" t="s">
        <v>2583</v>
      </c>
      <c r="E654" s="81">
        <v>43129</v>
      </c>
      <c r="F654" s="27">
        <f t="shared" ca="1" si="9"/>
        <v>1344</v>
      </c>
      <c r="G654" s="79" t="s">
        <v>2584</v>
      </c>
      <c r="H654" s="80"/>
      <c r="I654" s="80"/>
      <c r="J654" s="79" t="s">
        <v>579</v>
      </c>
      <c r="K654" s="78" t="s">
        <v>623</v>
      </c>
      <c r="L654" s="77">
        <v>43192</v>
      </c>
      <c r="M654" s="68"/>
      <c r="N654" s="76"/>
      <c r="O654" s="75" t="s">
        <v>2585</v>
      </c>
      <c r="R654" s="74"/>
    </row>
    <row r="655" spans="2:18" ht="36" hidden="1" customHeight="1" x14ac:dyDescent="0.25">
      <c r="B655" s="84">
        <v>1829</v>
      </c>
      <c r="C655" s="83" t="s">
        <v>23</v>
      </c>
      <c r="D655" s="82" t="s">
        <v>3748</v>
      </c>
      <c r="E655" s="81">
        <v>43129</v>
      </c>
      <c r="F655" s="27">
        <f t="shared" ca="1" si="9"/>
        <v>1344</v>
      </c>
      <c r="G655" s="79" t="s">
        <v>3745</v>
      </c>
      <c r="H655" s="80"/>
      <c r="I655" s="80"/>
      <c r="J655" s="79" t="s">
        <v>597</v>
      </c>
      <c r="K655" s="78" t="s">
        <v>623</v>
      </c>
      <c r="L655" s="77">
        <v>43132</v>
      </c>
      <c r="M655" s="68"/>
      <c r="N655" s="76"/>
      <c r="O655" s="75"/>
      <c r="R655" s="74"/>
    </row>
    <row r="656" spans="2:18" ht="36" hidden="1" customHeight="1" x14ac:dyDescent="0.25">
      <c r="B656" s="84">
        <v>1829</v>
      </c>
      <c r="C656" s="83" t="s">
        <v>23</v>
      </c>
      <c r="D656" s="82" t="s">
        <v>3749</v>
      </c>
      <c r="E656" s="81">
        <v>43129</v>
      </c>
      <c r="F656" s="27">
        <f t="shared" ref="F656:F719" ca="1" si="10">IF(E656&lt;&gt;"",TODAY()-E656,"")</f>
        <v>1344</v>
      </c>
      <c r="G656" s="79" t="s">
        <v>3745</v>
      </c>
      <c r="H656" s="80"/>
      <c r="I656" s="80"/>
      <c r="J656" s="79" t="s">
        <v>597</v>
      </c>
      <c r="K656" s="78" t="s">
        <v>623</v>
      </c>
      <c r="L656" s="77">
        <v>43132</v>
      </c>
      <c r="M656" s="68"/>
      <c r="N656" s="76"/>
      <c r="O656" s="75"/>
      <c r="R656" s="74"/>
    </row>
    <row r="657" spans="2:18" ht="36" hidden="1" customHeight="1" x14ac:dyDescent="0.25">
      <c r="B657" s="84">
        <v>1824</v>
      </c>
      <c r="C657" s="83" t="s">
        <v>39</v>
      </c>
      <c r="D657" s="82" t="s">
        <v>2756</v>
      </c>
      <c r="E657" s="81">
        <v>43130</v>
      </c>
      <c r="F657" s="27">
        <f t="shared" ca="1" si="10"/>
        <v>1343</v>
      </c>
      <c r="G657" s="79" t="s">
        <v>2147</v>
      </c>
      <c r="H657" s="80"/>
      <c r="I657" s="80"/>
      <c r="J657" s="79" t="s">
        <v>579</v>
      </c>
      <c r="K657" s="78" t="s">
        <v>623</v>
      </c>
      <c r="L657" s="77">
        <v>43152</v>
      </c>
      <c r="M657" s="68"/>
      <c r="N657" s="76" t="s">
        <v>2757</v>
      </c>
      <c r="O657" s="75"/>
      <c r="R657" s="74"/>
    </row>
    <row r="658" spans="2:18" ht="36" hidden="1" customHeight="1" x14ac:dyDescent="0.25">
      <c r="B658" s="84">
        <v>1824</v>
      </c>
      <c r="C658" s="83" t="s">
        <v>24</v>
      </c>
      <c r="D658" s="82" t="s">
        <v>2762</v>
      </c>
      <c r="E658" s="81">
        <v>43130</v>
      </c>
      <c r="F658" s="27">
        <f t="shared" ca="1" si="10"/>
        <v>1343</v>
      </c>
      <c r="G658" s="79" t="s">
        <v>764</v>
      </c>
      <c r="H658" s="80"/>
      <c r="I658" s="80"/>
      <c r="J658" s="79" t="s">
        <v>765</v>
      </c>
      <c r="K658" s="78" t="s">
        <v>623</v>
      </c>
      <c r="L658" s="77">
        <v>43162</v>
      </c>
      <c r="M658" s="68"/>
      <c r="N658" s="76" t="s">
        <v>2757</v>
      </c>
      <c r="O658" s="75" t="s">
        <v>2763</v>
      </c>
      <c r="R658" s="74"/>
    </row>
    <row r="659" spans="2:18" ht="36" hidden="1" customHeight="1" x14ac:dyDescent="0.25">
      <c r="B659" s="84">
        <v>1827</v>
      </c>
      <c r="C659" s="83" t="s">
        <v>23</v>
      </c>
      <c r="D659" s="82" t="s">
        <v>3339</v>
      </c>
      <c r="E659" s="81">
        <v>43130</v>
      </c>
      <c r="F659" s="27">
        <f t="shared" ca="1" si="10"/>
        <v>1343</v>
      </c>
      <c r="G659" s="79" t="s">
        <v>1273</v>
      </c>
      <c r="H659" s="80"/>
      <c r="I659" s="80"/>
      <c r="J659" s="79" t="s">
        <v>765</v>
      </c>
      <c r="K659" s="78" t="s">
        <v>623</v>
      </c>
      <c r="L659" s="77">
        <v>43134</v>
      </c>
      <c r="M659" s="68"/>
      <c r="N659" s="76"/>
      <c r="O659" s="75" t="s">
        <v>57</v>
      </c>
      <c r="R659" s="74"/>
    </row>
    <row r="660" spans="2:18" ht="36" hidden="1" customHeight="1" x14ac:dyDescent="0.25">
      <c r="B660" s="84">
        <v>1827</v>
      </c>
      <c r="C660" s="83" t="s">
        <v>23</v>
      </c>
      <c r="D660" s="82" t="s">
        <v>3340</v>
      </c>
      <c r="E660" s="81">
        <v>43130</v>
      </c>
      <c r="F660" s="27">
        <f t="shared" ca="1" si="10"/>
        <v>1343</v>
      </c>
      <c r="G660" s="79" t="s">
        <v>1273</v>
      </c>
      <c r="H660" s="80"/>
      <c r="I660" s="80"/>
      <c r="J660" s="79" t="s">
        <v>765</v>
      </c>
      <c r="K660" s="78" t="s">
        <v>623</v>
      </c>
      <c r="L660" s="77">
        <v>43134</v>
      </c>
      <c r="M660" s="68"/>
      <c r="N660" s="76"/>
      <c r="O660" s="75" t="s">
        <v>3341</v>
      </c>
      <c r="R660" s="74"/>
    </row>
    <row r="661" spans="2:18" ht="36" hidden="1" customHeight="1" x14ac:dyDescent="0.25">
      <c r="B661" s="84">
        <v>1644</v>
      </c>
      <c r="C661" s="83" t="s">
        <v>40</v>
      </c>
      <c r="D661" s="82" t="s">
        <v>957</v>
      </c>
      <c r="E661" s="81">
        <v>43131</v>
      </c>
      <c r="F661" s="27">
        <f t="shared" ca="1" si="10"/>
        <v>1342</v>
      </c>
      <c r="G661" s="79" t="s">
        <v>578</v>
      </c>
      <c r="H661" s="80"/>
      <c r="I661" s="80"/>
      <c r="J661" s="79" t="s">
        <v>579</v>
      </c>
      <c r="K661" s="78" t="s">
        <v>580</v>
      </c>
      <c r="L661" s="77">
        <v>43168</v>
      </c>
      <c r="M661" s="68"/>
      <c r="N661" s="76"/>
      <c r="O661" s="75" t="s">
        <v>958</v>
      </c>
      <c r="R661" s="74"/>
    </row>
    <row r="662" spans="2:18" ht="36" hidden="1" customHeight="1" x14ac:dyDescent="0.25">
      <c r="B662" s="84">
        <v>1819</v>
      </c>
      <c r="C662" s="83" t="s">
        <v>30</v>
      </c>
      <c r="D662" s="82" t="s">
        <v>1905</v>
      </c>
      <c r="E662" s="81">
        <v>43131</v>
      </c>
      <c r="F662" s="27">
        <f t="shared" ca="1" si="10"/>
        <v>1342</v>
      </c>
      <c r="G662" s="79" t="s">
        <v>1273</v>
      </c>
      <c r="H662" s="80"/>
      <c r="I662" s="80"/>
      <c r="J662" s="79" t="s">
        <v>765</v>
      </c>
      <c r="K662" s="78" t="s">
        <v>623</v>
      </c>
      <c r="L662" s="77">
        <v>43134</v>
      </c>
      <c r="M662" s="68"/>
      <c r="N662" s="76"/>
      <c r="O662" s="75" t="s">
        <v>1906</v>
      </c>
      <c r="R662" s="74"/>
    </row>
    <row r="663" spans="2:18" ht="36" hidden="1" customHeight="1" x14ac:dyDescent="0.25">
      <c r="B663" s="84">
        <v>1820</v>
      </c>
      <c r="C663" s="83" t="s">
        <v>23</v>
      </c>
      <c r="D663" s="82" t="s">
        <v>2098</v>
      </c>
      <c r="E663" s="81">
        <v>43131</v>
      </c>
      <c r="F663" s="27">
        <f t="shared" ca="1" si="10"/>
        <v>1342</v>
      </c>
      <c r="G663" s="79"/>
      <c r="H663" s="80"/>
      <c r="I663" s="80"/>
      <c r="J663" s="79"/>
      <c r="K663" s="78"/>
      <c r="L663" s="77">
        <v>43131</v>
      </c>
      <c r="M663" s="68"/>
      <c r="N663" s="76"/>
      <c r="O663" s="75"/>
      <c r="R663" s="74"/>
    </row>
    <row r="664" spans="2:18" ht="36" hidden="1" customHeight="1" x14ac:dyDescent="0.25">
      <c r="B664" s="84">
        <v>1820</v>
      </c>
      <c r="C664" s="83" t="s">
        <v>40</v>
      </c>
      <c r="D664" s="82" t="s">
        <v>2099</v>
      </c>
      <c r="E664" s="81">
        <v>43131</v>
      </c>
      <c r="F664" s="27">
        <f t="shared" ca="1" si="10"/>
        <v>1342</v>
      </c>
      <c r="G664" s="79"/>
      <c r="H664" s="80"/>
      <c r="I664" s="80"/>
      <c r="J664" s="79"/>
      <c r="K664" s="78"/>
      <c r="L664" s="77">
        <v>43131</v>
      </c>
      <c r="M664" s="68"/>
      <c r="N664" s="76"/>
      <c r="O664" s="75"/>
      <c r="R664" s="74"/>
    </row>
    <row r="665" spans="2:18" ht="36" hidden="1" customHeight="1" x14ac:dyDescent="0.25">
      <c r="B665" s="84">
        <v>1825</v>
      </c>
      <c r="C665" s="83" t="s">
        <v>16</v>
      </c>
      <c r="D665" s="82" t="s">
        <v>3020</v>
      </c>
      <c r="E665" s="81">
        <v>43131</v>
      </c>
      <c r="F665" s="27">
        <f t="shared" ca="1" si="10"/>
        <v>1342</v>
      </c>
      <c r="G665" s="79"/>
      <c r="H665" s="80"/>
      <c r="I665" s="80"/>
      <c r="J665" s="79"/>
      <c r="K665" s="78"/>
      <c r="L665" s="77">
        <v>43131</v>
      </c>
      <c r="M665" s="68"/>
      <c r="N665" s="76"/>
      <c r="O665" s="75"/>
      <c r="R665" s="74"/>
    </row>
    <row r="666" spans="2:18" ht="36" hidden="1" customHeight="1" x14ac:dyDescent="0.25">
      <c r="B666" s="84">
        <v>1825</v>
      </c>
      <c r="C666" s="83" t="s">
        <v>23</v>
      </c>
      <c r="D666" s="82" t="s">
        <v>3021</v>
      </c>
      <c r="E666" s="81">
        <v>43131</v>
      </c>
      <c r="F666" s="27">
        <f t="shared" ca="1" si="10"/>
        <v>1342</v>
      </c>
      <c r="G666" s="79"/>
      <c r="H666" s="80"/>
      <c r="I666" s="80"/>
      <c r="J666" s="79"/>
      <c r="K666" s="78"/>
      <c r="L666" s="77">
        <v>43131</v>
      </c>
      <c r="M666" s="68"/>
      <c r="N666" s="76"/>
      <c r="O666" s="75"/>
      <c r="R666" s="74"/>
    </row>
    <row r="667" spans="2:18" ht="36" hidden="1" customHeight="1" x14ac:dyDescent="0.25">
      <c r="B667" s="84">
        <v>1825</v>
      </c>
      <c r="C667" s="83" t="s">
        <v>40</v>
      </c>
      <c r="D667" s="82" t="s">
        <v>2099</v>
      </c>
      <c r="E667" s="81">
        <v>43131</v>
      </c>
      <c r="F667" s="27">
        <f t="shared" ca="1" si="10"/>
        <v>1342</v>
      </c>
      <c r="G667" s="79"/>
      <c r="H667" s="80"/>
      <c r="I667" s="80"/>
      <c r="J667" s="79"/>
      <c r="K667" s="78"/>
      <c r="L667" s="77">
        <v>43131</v>
      </c>
      <c r="M667" s="68"/>
      <c r="N667" s="76"/>
      <c r="O667" s="75"/>
      <c r="R667" s="74"/>
    </row>
    <row r="668" spans="2:18" ht="36" hidden="1" customHeight="1" x14ac:dyDescent="0.25">
      <c r="B668" s="84">
        <v>1819</v>
      </c>
      <c r="C668" s="83" t="s">
        <v>23</v>
      </c>
      <c r="D668" s="82" t="s">
        <v>346</v>
      </c>
      <c r="E668" s="81">
        <v>43132</v>
      </c>
      <c r="F668" s="27">
        <f t="shared" ca="1" si="10"/>
        <v>1341</v>
      </c>
      <c r="G668" s="79"/>
      <c r="H668" s="80"/>
      <c r="I668" s="80"/>
      <c r="J668" s="79"/>
      <c r="K668" s="78"/>
      <c r="L668" s="77">
        <v>43132</v>
      </c>
      <c r="M668" s="68"/>
      <c r="N668" s="76"/>
      <c r="O668" s="75"/>
      <c r="R668" s="74"/>
    </row>
    <row r="669" spans="2:18" ht="36" hidden="1" customHeight="1" x14ac:dyDescent="0.25">
      <c r="B669" s="84">
        <v>1819</v>
      </c>
      <c r="C669" s="83" t="s">
        <v>40</v>
      </c>
      <c r="D669" s="82" t="s">
        <v>1904</v>
      </c>
      <c r="E669" s="81">
        <v>43132</v>
      </c>
      <c r="F669" s="27">
        <f t="shared" ca="1" si="10"/>
        <v>1341</v>
      </c>
      <c r="G669" s="79"/>
      <c r="H669" s="80"/>
      <c r="I669" s="80"/>
      <c r="J669" s="79"/>
      <c r="K669" s="78"/>
      <c r="L669" s="77">
        <v>43132</v>
      </c>
      <c r="M669" s="68"/>
      <c r="N669" s="76"/>
      <c r="O669" s="75"/>
      <c r="R669" s="74"/>
    </row>
    <row r="670" spans="2:18" ht="36" hidden="1" customHeight="1" x14ac:dyDescent="0.25">
      <c r="B670" s="84">
        <v>1826</v>
      </c>
      <c r="C670" s="83" t="s">
        <v>12</v>
      </c>
      <c r="D670" s="82" t="s">
        <v>3218</v>
      </c>
      <c r="E670" s="81">
        <v>43132</v>
      </c>
      <c r="F670" s="27">
        <f t="shared" ca="1" si="10"/>
        <v>1341</v>
      </c>
      <c r="G670" s="79" t="s">
        <v>1273</v>
      </c>
      <c r="H670" s="80"/>
      <c r="I670" s="80"/>
      <c r="J670" s="79" t="s">
        <v>765</v>
      </c>
      <c r="K670" s="78" t="s">
        <v>623</v>
      </c>
      <c r="L670" s="77">
        <v>43134</v>
      </c>
      <c r="M670" s="68"/>
      <c r="N670" s="76"/>
      <c r="O670" s="75" t="s">
        <v>3215</v>
      </c>
      <c r="R670" s="74"/>
    </row>
    <row r="671" spans="2:18" ht="36" hidden="1" customHeight="1" x14ac:dyDescent="0.25">
      <c r="B671" s="84">
        <v>1826</v>
      </c>
      <c r="C671" s="83" t="s">
        <v>19</v>
      </c>
      <c r="D671" s="82" t="s">
        <v>3219</v>
      </c>
      <c r="E671" s="81">
        <v>43132</v>
      </c>
      <c r="F671" s="27">
        <f t="shared" ca="1" si="10"/>
        <v>1341</v>
      </c>
      <c r="G671" s="79" t="s">
        <v>1273</v>
      </c>
      <c r="H671" s="80"/>
      <c r="I671" s="80"/>
      <c r="J671" s="79" t="s">
        <v>765</v>
      </c>
      <c r="K671" s="78" t="s">
        <v>623</v>
      </c>
      <c r="L671" s="77">
        <v>43134</v>
      </c>
      <c r="M671" s="68"/>
      <c r="N671" s="76"/>
      <c r="O671" s="75" t="s">
        <v>3220</v>
      </c>
      <c r="R671" s="74"/>
    </row>
    <row r="672" spans="2:18" ht="36" hidden="1" customHeight="1" x14ac:dyDescent="0.25">
      <c r="B672" s="84">
        <v>1829</v>
      </c>
      <c r="C672" s="83" t="s">
        <v>36</v>
      </c>
      <c r="D672" s="82" t="s">
        <v>3750</v>
      </c>
      <c r="E672" s="81">
        <v>43132</v>
      </c>
      <c r="F672" s="27">
        <f t="shared" ca="1" si="10"/>
        <v>1341</v>
      </c>
      <c r="G672" s="79" t="s">
        <v>3745</v>
      </c>
      <c r="H672" s="80"/>
      <c r="I672" s="80"/>
      <c r="J672" s="79" t="s">
        <v>597</v>
      </c>
      <c r="K672" s="78" t="s">
        <v>623</v>
      </c>
      <c r="L672" s="77">
        <v>43132</v>
      </c>
      <c r="M672" s="68"/>
      <c r="N672" s="76"/>
      <c r="O672" s="75"/>
      <c r="R672" s="74"/>
    </row>
    <row r="673" spans="2:18" ht="36" hidden="1" customHeight="1" x14ac:dyDescent="0.25">
      <c r="B673" s="84">
        <v>1829</v>
      </c>
      <c r="C673" s="83" t="s">
        <v>12</v>
      </c>
      <c r="D673" s="82" t="s">
        <v>3751</v>
      </c>
      <c r="E673" s="81">
        <v>43132</v>
      </c>
      <c r="F673" s="27">
        <f t="shared" ca="1" si="10"/>
        <v>1341</v>
      </c>
      <c r="G673" s="79"/>
      <c r="H673" s="80"/>
      <c r="I673" s="80"/>
      <c r="J673" s="79"/>
      <c r="K673" s="78"/>
      <c r="L673" s="77">
        <v>43132</v>
      </c>
      <c r="M673" s="68"/>
      <c r="N673" s="76"/>
      <c r="O673" s="75"/>
      <c r="R673" s="74"/>
    </row>
    <row r="674" spans="2:18" ht="36" hidden="1" customHeight="1" x14ac:dyDescent="0.25">
      <c r="B674" s="84">
        <v>1646</v>
      </c>
      <c r="C674" s="83" t="s">
        <v>23</v>
      </c>
      <c r="D674" s="82" t="s">
        <v>1118</v>
      </c>
      <c r="E674" s="81">
        <v>43133</v>
      </c>
      <c r="F674" s="27">
        <f t="shared" ca="1" si="10"/>
        <v>1340</v>
      </c>
      <c r="G674" s="79" t="s">
        <v>726</v>
      </c>
      <c r="H674" s="80"/>
      <c r="I674" s="80"/>
      <c r="J674" s="79" t="s">
        <v>592</v>
      </c>
      <c r="K674" s="78" t="s">
        <v>580</v>
      </c>
      <c r="L674" s="77">
        <v>43152</v>
      </c>
      <c r="M674" s="68"/>
      <c r="N674" s="76" t="s">
        <v>1117</v>
      </c>
      <c r="O674" s="75"/>
      <c r="R674" s="74"/>
    </row>
    <row r="675" spans="2:18" ht="36" hidden="1" customHeight="1" x14ac:dyDescent="0.25">
      <c r="B675" s="84">
        <v>1817</v>
      </c>
      <c r="C675" s="83" t="s">
        <v>23</v>
      </c>
      <c r="D675" s="82" t="s">
        <v>1523</v>
      </c>
      <c r="E675" s="81">
        <v>43133</v>
      </c>
      <c r="F675" s="27">
        <f t="shared" ca="1" si="10"/>
        <v>1340</v>
      </c>
      <c r="G675" s="79" t="s">
        <v>1273</v>
      </c>
      <c r="H675" s="80"/>
      <c r="I675" s="80"/>
      <c r="J675" s="79" t="s">
        <v>765</v>
      </c>
      <c r="K675" s="78" t="s">
        <v>623</v>
      </c>
      <c r="L675" s="77">
        <v>43134</v>
      </c>
      <c r="M675" s="68"/>
      <c r="N675" s="76"/>
      <c r="O675" s="75" t="s">
        <v>1038</v>
      </c>
      <c r="R675" s="74"/>
    </row>
    <row r="676" spans="2:18" ht="36" hidden="1" customHeight="1" x14ac:dyDescent="0.25">
      <c r="B676" s="84">
        <v>1821</v>
      </c>
      <c r="C676" s="83" t="s">
        <v>18</v>
      </c>
      <c r="D676" s="82" t="s">
        <v>2290</v>
      </c>
      <c r="E676" s="81">
        <v>43133</v>
      </c>
      <c r="F676" s="27">
        <f t="shared" ca="1" si="10"/>
        <v>1340</v>
      </c>
      <c r="G676" s="79" t="s">
        <v>1273</v>
      </c>
      <c r="H676" s="80"/>
      <c r="I676" s="80"/>
      <c r="J676" s="79" t="s">
        <v>765</v>
      </c>
      <c r="K676" s="78" t="s">
        <v>623</v>
      </c>
      <c r="L676" s="77">
        <v>43134</v>
      </c>
      <c r="M676" s="68"/>
      <c r="N676" s="76"/>
      <c r="O676" s="75" t="s">
        <v>2291</v>
      </c>
      <c r="R676" s="74"/>
    </row>
    <row r="677" spans="2:18" ht="36" hidden="1" customHeight="1" x14ac:dyDescent="0.25">
      <c r="B677" s="84">
        <v>1824</v>
      </c>
      <c r="C677" s="83" t="s">
        <v>24</v>
      </c>
      <c r="D677" s="82" t="s">
        <v>2768</v>
      </c>
      <c r="E677" s="81">
        <v>43133</v>
      </c>
      <c r="F677" s="27">
        <f t="shared" ca="1" si="10"/>
        <v>1340</v>
      </c>
      <c r="G677" s="79" t="s">
        <v>1074</v>
      </c>
      <c r="H677" s="80"/>
      <c r="I677" s="80"/>
      <c r="J677" s="79" t="s">
        <v>1301</v>
      </c>
      <c r="K677" s="78" t="s">
        <v>1301</v>
      </c>
      <c r="L677" s="77">
        <v>43194</v>
      </c>
      <c r="M677" s="68"/>
      <c r="N677" s="76"/>
      <c r="O677" s="75" t="s">
        <v>2354</v>
      </c>
      <c r="R677" s="74"/>
    </row>
    <row r="678" spans="2:18" ht="36" hidden="1" customHeight="1" x14ac:dyDescent="0.25">
      <c r="B678" s="84">
        <v>1824</v>
      </c>
      <c r="C678" s="83" t="s">
        <v>11</v>
      </c>
      <c r="D678" s="82" t="s">
        <v>2769</v>
      </c>
      <c r="E678" s="81">
        <v>43133</v>
      </c>
      <c r="F678" s="27">
        <f t="shared" ca="1" si="10"/>
        <v>1340</v>
      </c>
      <c r="G678" s="79" t="s">
        <v>1074</v>
      </c>
      <c r="H678" s="80"/>
      <c r="I678" s="80"/>
      <c r="J678" s="79" t="s">
        <v>1301</v>
      </c>
      <c r="K678" s="78" t="s">
        <v>1301</v>
      </c>
      <c r="L678" s="77">
        <v>43194</v>
      </c>
      <c r="M678" s="68"/>
      <c r="N678" s="76"/>
      <c r="O678" s="75" t="s">
        <v>2354</v>
      </c>
      <c r="R678" s="74"/>
    </row>
    <row r="679" spans="2:18" ht="36" hidden="1" customHeight="1" x14ac:dyDescent="0.25">
      <c r="B679" s="84">
        <v>1824</v>
      </c>
      <c r="C679" s="83" t="s">
        <v>40</v>
      </c>
      <c r="D679" s="82" t="s">
        <v>2770</v>
      </c>
      <c r="E679" s="81">
        <v>43133</v>
      </c>
      <c r="F679" s="27">
        <f t="shared" ca="1" si="10"/>
        <v>1340</v>
      </c>
      <c r="G679" s="79" t="s">
        <v>1074</v>
      </c>
      <c r="H679" s="80"/>
      <c r="I679" s="80"/>
      <c r="J679" s="79" t="s">
        <v>1301</v>
      </c>
      <c r="K679" s="78" t="s">
        <v>1301</v>
      </c>
      <c r="L679" s="77">
        <v>43194</v>
      </c>
      <c r="M679" s="68"/>
      <c r="N679" s="76"/>
      <c r="O679" s="75" t="s">
        <v>2354</v>
      </c>
      <c r="R679" s="74"/>
    </row>
    <row r="680" spans="2:18" ht="36" hidden="1" customHeight="1" x14ac:dyDescent="0.25">
      <c r="B680" s="84">
        <v>1829</v>
      </c>
      <c r="C680" s="83" t="s">
        <v>17</v>
      </c>
      <c r="D680" s="82" t="s">
        <v>3788</v>
      </c>
      <c r="E680" s="81">
        <v>43133</v>
      </c>
      <c r="F680" s="27">
        <f t="shared" ca="1" si="10"/>
        <v>1340</v>
      </c>
      <c r="G680" s="79" t="s">
        <v>1261</v>
      </c>
      <c r="H680" s="80"/>
      <c r="I680" s="80"/>
      <c r="J680" s="79" t="s">
        <v>597</v>
      </c>
      <c r="K680" s="78" t="s">
        <v>623</v>
      </c>
      <c r="L680" s="77">
        <v>43336</v>
      </c>
      <c r="M680" s="68"/>
      <c r="N680" s="76"/>
      <c r="O680" s="75"/>
      <c r="R680" s="74"/>
    </row>
    <row r="681" spans="2:18" ht="36" hidden="1" customHeight="1" x14ac:dyDescent="0.25">
      <c r="B681" s="84">
        <v>1817</v>
      </c>
      <c r="C681" s="83" t="s">
        <v>23</v>
      </c>
      <c r="D681" s="82" t="s">
        <v>1524</v>
      </c>
      <c r="E681" s="81">
        <v>43134</v>
      </c>
      <c r="F681" s="27">
        <f t="shared" ca="1" si="10"/>
        <v>1339</v>
      </c>
      <c r="G681" s="79"/>
      <c r="H681" s="80"/>
      <c r="I681" s="80"/>
      <c r="J681" s="79"/>
      <c r="K681" s="78"/>
      <c r="L681" s="77">
        <v>43134</v>
      </c>
      <c r="M681" s="68"/>
      <c r="N681" s="76"/>
      <c r="O681" s="75" t="s">
        <v>1525</v>
      </c>
      <c r="R681" s="74"/>
    </row>
    <row r="682" spans="2:18" ht="36" hidden="1" customHeight="1" x14ac:dyDescent="0.25">
      <c r="B682" s="84">
        <v>1817</v>
      </c>
      <c r="C682" s="83" t="s">
        <v>11</v>
      </c>
      <c r="D682" s="82" t="s">
        <v>1526</v>
      </c>
      <c r="E682" s="81">
        <v>43134</v>
      </c>
      <c r="F682" s="27">
        <f t="shared" ca="1" si="10"/>
        <v>1339</v>
      </c>
      <c r="G682" s="79"/>
      <c r="H682" s="80"/>
      <c r="I682" s="80"/>
      <c r="J682" s="79"/>
      <c r="K682" s="78"/>
      <c r="L682" s="77">
        <v>43134</v>
      </c>
      <c r="M682" s="68"/>
      <c r="N682" s="76"/>
      <c r="O682" s="75" t="s">
        <v>1525</v>
      </c>
      <c r="R682" s="74"/>
    </row>
    <row r="683" spans="2:18" ht="36" hidden="1" customHeight="1" x14ac:dyDescent="0.25">
      <c r="B683" s="84">
        <v>1818</v>
      </c>
      <c r="C683" s="83" t="s">
        <v>23</v>
      </c>
      <c r="D683" s="82" t="s">
        <v>1698</v>
      </c>
      <c r="E683" s="81">
        <v>43134</v>
      </c>
      <c r="F683" s="27">
        <f t="shared" ca="1" si="10"/>
        <v>1339</v>
      </c>
      <c r="G683" s="79"/>
      <c r="H683" s="80"/>
      <c r="I683" s="80"/>
      <c r="J683" s="79"/>
      <c r="K683" s="78"/>
      <c r="L683" s="77">
        <v>43134</v>
      </c>
      <c r="M683" s="68"/>
      <c r="N683" s="76"/>
      <c r="O683" s="75" t="s">
        <v>1525</v>
      </c>
      <c r="R683" s="74"/>
    </row>
    <row r="684" spans="2:18" ht="36" hidden="1" customHeight="1" x14ac:dyDescent="0.25">
      <c r="B684" s="84">
        <v>1819</v>
      </c>
      <c r="C684" s="83" t="s">
        <v>19</v>
      </c>
      <c r="D684" s="82" t="s">
        <v>1907</v>
      </c>
      <c r="E684" s="81">
        <v>43134</v>
      </c>
      <c r="F684" s="27">
        <f t="shared" ca="1" si="10"/>
        <v>1339</v>
      </c>
      <c r="G684" s="79"/>
      <c r="H684" s="80"/>
      <c r="I684" s="80"/>
      <c r="J684" s="79"/>
      <c r="K684" s="78"/>
      <c r="L684" s="77">
        <v>43134</v>
      </c>
      <c r="M684" s="68"/>
      <c r="N684" s="76" t="s">
        <v>1908</v>
      </c>
      <c r="O684" s="75" t="s">
        <v>1909</v>
      </c>
      <c r="R684" s="74"/>
    </row>
    <row r="685" spans="2:18" ht="36" hidden="1" customHeight="1" x14ac:dyDescent="0.25">
      <c r="B685" s="84">
        <v>1821</v>
      </c>
      <c r="C685" s="83" t="s">
        <v>23</v>
      </c>
      <c r="D685" s="82" t="s">
        <v>2292</v>
      </c>
      <c r="E685" s="81">
        <v>43134</v>
      </c>
      <c r="F685" s="27">
        <f t="shared" ca="1" si="10"/>
        <v>1339</v>
      </c>
      <c r="G685" s="79"/>
      <c r="H685" s="80"/>
      <c r="I685" s="80"/>
      <c r="J685" s="79"/>
      <c r="K685" s="78"/>
      <c r="L685" s="77">
        <v>43134</v>
      </c>
      <c r="M685" s="68"/>
      <c r="N685" s="76"/>
      <c r="O685" s="75" t="s">
        <v>1525</v>
      </c>
      <c r="R685" s="74"/>
    </row>
    <row r="686" spans="2:18" ht="36" hidden="1" customHeight="1" x14ac:dyDescent="0.25">
      <c r="B686" s="84">
        <v>1821</v>
      </c>
      <c r="C686" s="83" t="s">
        <v>23</v>
      </c>
      <c r="D686" s="82" t="s">
        <v>2293</v>
      </c>
      <c r="E686" s="81">
        <v>43134</v>
      </c>
      <c r="F686" s="27">
        <f t="shared" ca="1" si="10"/>
        <v>1339</v>
      </c>
      <c r="G686" s="79"/>
      <c r="H686" s="80"/>
      <c r="I686" s="80"/>
      <c r="J686" s="79"/>
      <c r="K686" s="78"/>
      <c r="L686" s="77">
        <v>43134</v>
      </c>
      <c r="M686" s="68"/>
      <c r="N686" s="76"/>
      <c r="O686" s="75" t="s">
        <v>1525</v>
      </c>
      <c r="R686" s="74"/>
    </row>
    <row r="687" spans="2:18" ht="36" hidden="1" customHeight="1" x14ac:dyDescent="0.25">
      <c r="B687" s="84">
        <v>1822</v>
      </c>
      <c r="C687" s="83" t="s">
        <v>40</v>
      </c>
      <c r="D687" s="82" t="s">
        <v>2423</v>
      </c>
      <c r="E687" s="81">
        <v>43134</v>
      </c>
      <c r="F687" s="27">
        <f t="shared" ca="1" si="10"/>
        <v>1339</v>
      </c>
      <c r="G687" s="79"/>
      <c r="H687" s="80"/>
      <c r="I687" s="80"/>
      <c r="J687" s="79"/>
      <c r="K687" s="78"/>
      <c r="L687" s="77">
        <v>43134</v>
      </c>
      <c r="M687" s="68"/>
      <c r="N687" s="76"/>
      <c r="O687" s="75" t="s">
        <v>1525</v>
      </c>
      <c r="R687" s="74"/>
    </row>
    <row r="688" spans="2:18" ht="36" hidden="1" customHeight="1" x14ac:dyDescent="0.25">
      <c r="B688" s="84">
        <v>1822</v>
      </c>
      <c r="C688" s="83" t="s">
        <v>11</v>
      </c>
      <c r="D688" s="82" t="s">
        <v>2424</v>
      </c>
      <c r="E688" s="81">
        <v>43134</v>
      </c>
      <c r="F688" s="27">
        <f t="shared" ca="1" si="10"/>
        <v>1339</v>
      </c>
      <c r="G688" s="79"/>
      <c r="H688" s="80"/>
      <c r="I688" s="80"/>
      <c r="J688" s="79"/>
      <c r="K688" s="78"/>
      <c r="L688" s="77">
        <v>43134</v>
      </c>
      <c r="M688" s="68"/>
      <c r="N688" s="76"/>
      <c r="O688" s="75" t="s">
        <v>1525</v>
      </c>
      <c r="R688" s="74"/>
    </row>
    <row r="689" spans="2:18" ht="36" hidden="1" customHeight="1" x14ac:dyDescent="0.25">
      <c r="B689" s="84">
        <v>1823</v>
      </c>
      <c r="C689" s="83" t="s">
        <v>11</v>
      </c>
      <c r="D689" s="82" t="s">
        <v>2575</v>
      </c>
      <c r="E689" s="81">
        <v>43134</v>
      </c>
      <c r="F689" s="27">
        <f t="shared" ca="1" si="10"/>
        <v>1339</v>
      </c>
      <c r="G689" s="79"/>
      <c r="H689" s="80"/>
      <c r="I689" s="80"/>
      <c r="J689" s="79"/>
      <c r="K689" s="78"/>
      <c r="L689" s="77">
        <v>43134</v>
      </c>
      <c r="M689" s="68"/>
      <c r="N689" s="76"/>
      <c r="O689" s="75" t="s">
        <v>1525</v>
      </c>
      <c r="R689" s="74"/>
    </row>
    <row r="690" spans="2:18" ht="36" hidden="1" customHeight="1" x14ac:dyDescent="0.25">
      <c r="B690" s="84">
        <v>1827</v>
      </c>
      <c r="C690" s="83" t="s">
        <v>11</v>
      </c>
      <c r="D690" s="82" t="s">
        <v>3342</v>
      </c>
      <c r="E690" s="81">
        <v>43134</v>
      </c>
      <c r="F690" s="27">
        <f t="shared" ca="1" si="10"/>
        <v>1339</v>
      </c>
      <c r="G690" s="79"/>
      <c r="H690" s="80"/>
      <c r="I690" s="80"/>
      <c r="J690" s="79"/>
      <c r="K690" s="78"/>
      <c r="L690" s="77">
        <v>43134</v>
      </c>
      <c r="M690" s="68"/>
      <c r="N690" s="76"/>
      <c r="O690" s="75" t="s">
        <v>1525</v>
      </c>
      <c r="R690" s="74"/>
    </row>
    <row r="691" spans="2:18" ht="36" hidden="1" customHeight="1" x14ac:dyDescent="0.25">
      <c r="B691" s="84">
        <v>1821</v>
      </c>
      <c r="C691" s="83" t="s">
        <v>10</v>
      </c>
      <c r="D691" s="82" t="s">
        <v>2296</v>
      </c>
      <c r="E691" s="81">
        <v>43136</v>
      </c>
      <c r="F691" s="27">
        <f t="shared" ca="1" si="10"/>
        <v>1337</v>
      </c>
      <c r="G691" s="79" t="s">
        <v>2096</v>
      </c>
      <c r="H691" s="80"/>
      <c r="I691" s="80"/>
      <c r="J691" s="79" t="s">
        <v>579</v>
      </c>
      <c r="K691" s="78" t="s">
        <v>623</v>
      </c>
      <c r="L691" s="77">
        <v>43143</v>
      </c>
      <c r="M691" s="68"/>
      <c r="N691" s="76"/>
      <c r="O691" s="75" t="s">
        <v>2297</v>
      </c>
      <c r="R691" s="74"/>
    </row>
    <row r="692" spans="2:18" ht="36" hidden="1" customHeight="1" x14ac:dyDescent="0.25">
      <c r="B692" s="84">
        <v>1825</v>
      </c>
      <c r="C692" s="83" t="s">
        <v>17</v>
      </c>
      <c r="D692" s="82" t="s">
        <v>3024</v>
      </c>
      <c r="E692" s="81">
        <v>43136</v>
      </c>
      <c r="F692" s="27">
        <f t="shared" ca="1" si="10"/>
        <v>1337</v>
      </c>
      <c r="G692" s="79" t="s">
        <v>1328</v>
      </c>
      <c r="H692" s="80"/>
      <c r="I692" s="80"/>
      <c r="J692" s="79" t="s">
        <v>579</v>
      </c>
      <c r="K692" s="78" t="s">
        <v>623</v>
      </c>
      <c r="L692" s="77">
        <v>43140</v>
      </c>
      <c r="M692" s="68"/>
      <c r="N692" s="76"/>
      <c r="O692" s="75"/>
      <c r="R692" s="74"/>
    </row>
    <row r="693" spans="2:18" ht="36" hidden="1" customHeight="1" x14ac:dyDescent="0.25">
      <c r="B693" s="84">
        <v>1825</v>
      </c>
      <c r="C693" s="83" t="s">
        <v>36</v>
      </c>
      <c r="D693" s="82" t="s">
        <v>3025</v>
      </c>
      <c r="E693" s="81">
        <v>43136</v>
      </c>
      <c r="F693" s="27">
        <f t="shared" ca="1" si="10"/>
        <v>1337</v>
      </c>
      <c r="G693" s="79" t="s">
        <v>1328</v>
      </c>
      <c r="H693" s="80"/>
      <c r="I693" s="80"/>
      <c r="J693" s="79" t="s">
        <v>579</v>
      </c>
      <c r="K693" s="78" t="s">
        <v>623</v>
      </c>
      <c r="L693" s="77">
        <v>43140</v>
      </c>
      <c r="M693" s="68"/>
      <c r="N693" s="76"/>
      <c r="O693" s="75"/>
      <c r="R693" s="74"/>
    </row>
    <row r="694" spans="2:18" ht="36" hidden="1" customHeight="1" x14ac:dyDescent="0.25">
      <c r="B694" s="84">
        <v>1830</v>
      </c>
      <c r="C694" s="83" t="s">
        <v>11</v>
      </c>
      <c r="D694" s="82" t="s">
        <v>3923</v>
      </c>
      <c r="E694" s="81">
        <v>43136</v>
      </c>
      <c r="F694" s="27">
        <f t="shared" ca="1" si="10"/>
        <v>1337</v>
      </c>
      <c r="G694" s="79" t="s">
        <v>1723</v>
      </c>
      <c r="H694" s="80"/>
      <c r="I694" s="80"/>
      <c r="J694" s="79" t="s">
        <v>579</v>
      </c>
      <c r="K694" s="78" t="s">
        <v>623</v>
      </c>
      <c r="L694" s="77">
        <v>43144</v>
      </c>
      <c r="M694" s="68"/>
      <c r="N694" s="76"/>
      <c r="O694" s="75"/>
      <c r="R694" s="74"/>
    </row>
    <row r="695" spans="2:18" ht="36" hidden="1" customHeight="1" x14ac:dyDescent="0.25">
      <c r="B695" s="84">
        <v>1816</v>
      </c>
      <c r="C695" s="83" t="s">
        <v>40</v>
      </c>
      <c r="D695" s="82" t="s">
        <v>1324</v>
      </c>
      <c r="E695" s="81">
        <v>43137</v>
      </c>
      <c r="F695" s="27">
        <f t="shared" ca="1" si="10"/>
        <v>1336</v>
      </c>
      <c r="G695" s="79" t="s">
        <v>1325</v>
      </c>
      <c r="H695" s="80"/>
      <c r="I695" s="80"/>
      <c r="J695" s="79" t="s">
        <v>579</v>
      </c>
      <c r="K695" s="78" t="s">
        <v>623</v>
      </c>
      <c r="L695" s="77">
        <v>43138</v>
      </c>
      <c r="M695" s="68"/>
      <c r="N695" s="76"/>
      <c r="O695" s="75" t="s">
        <v>1326</v>
      </c>
      <c r="R695" s="74"/>
    </row>
    <row r="696" spans="2:18" ht="36" hidden="1" customHeight="1" x14ac:dyDescent="0.25">
      <c r="B696" s="84">
        <v>1817</v>
      </c>
      <c r="C696" s="83" t="s">
        <v>24</v>
      </c>
      <c r="D696" s="82" t="s">
        <v>1537</v>
      </c>
      <c r="E696" s="81">
        <v>43137</v>
      </c>
      <c r="F696" s="27">
        <f t="shared" ca="1" si="10"/>
        <v>1336</v>
      </c>
      <c r="G696" s="79" t="s">
        <v>1532</v>
      </c>
      <c r="H696" s="80"/>
      <c r="I696" s="80"/>
      <c r="J696" s="79" t="s">
        <v>579</v>
      </c>
      <c r="K696" s="78" t="s">
        <v>623</v>
      </c>
      <c r="L696" s="77">
        <v>43159</v>
      </c>
      <c r="M696" s="68"/>
      <c r="N696" s="76" t="s">
        <v>1538</v>
      </c>
      <c r="O696" s="75"/>
      <c r="R696" s="74"/>
    </row>
    <row r="697" spans="2:18" ht="36" hidden="1" customHeight="1" x14ac:dyDescent="0.25">
      <c r="B697" s="84">
        <v>1820</v>
      </c>
      <c r="C697" s="83" t="s">
        <v>23</v>
      </c>
      <c r="D697" s="82" t="s">
        <v>2104</v>
      </c>
      <c r="E697" s="81">
        <v>43137</v>
      </c>
      <c r="F697" s="27">
        <f t="shared" ca="1" si="10"/>
        <v>1336</v>
      </c>
      <c r="G697" s="79" t="s">
        <v>1261</v>
      </c>
      <c r="H697" s="80"/>
      <c r="I697" s="80"/>
      <c r="J697" s="79" t="s">
        <v>765</v>
      </c>
      <c r="K697" s="78" t="s">
        <v>1301</v>
      </c>
      <c r="L697" s="77">
        <v>43154</v>
      </c>
      <c r="M697" s="68"/>
      <c r="N697" s="76"/>
      <c r="O697" s="75" t="s">
        <v>776</v>
      </c>
      <c r="R697" s="74"/>
    </row>
    <row r="698" spans="2:18" ht="36" hidden="1" customHeight="1" x14ac:dyDescent="0.25">
      <c r="B698" s="84">
        <v>1820</v>
      </c>
      <c r="C698" s="83" t="s">
        <v>17</v>
      </c>
      <c r="D698" s="82" t="s">
        <v>2106</v>
      </c>
      <c r="E698" s="81">
        <v>43137</v>
      </c>
      <c r="F698" s="27">
        <f t="shared" ca="1" si="10"/>
        <v>1336</v>
      </c>
      <c r="G698" s="79" t="s">
        <v>1261</v>
      </c>
      <c r="H698" s="80"/>
      <c r="I698" s="80"/>
      <c r="J698" s="79" t="s">
        <v>765</v>
      </c>
      <c r="K698" s="78" t="s">
        <v>623</v>
      </c>
      <c r="L698" s="77">
        <v>43155</v>
      </c>
      <c r="M698" s="68"/>
      <c r="N698" s="76" t="s">
        <v>1535</v>
      </c>
      <c r="O698" s="75"/>
      <c r="R698" s="74"/>
    </row>
    <row r="699" spans="2:18" ht="36" hidden="1" customHeight="1" x14ac:dyDescent="0.25">
      <c r="B699" s="84">
        <v>1827</v>
      </c>
      <c r="C699" s="83" t="s">
        <v>23</v>
      </c>
      <c r="D699" s="82" t="s">
        <v>3343</v>
      </c>
      <c r="E699" s="81">
        <v>43137</v>
      </c>
      <c r="F699" s="27">
        <f t="shared" ca="1" si="10"/>
        <v>1336</v>
      </c>
      <c r="G699" s="79" t="s">
        <v>764</v>
      </c>
      <c r="H699" s="80"/>
      <c r="I699" s="80"/>
      <c r="J699" s="79" t="s">
        <v>765</v>
      </c>
      <c r="K699" s="78" t="s">
        <v>623</v>
      </c>
      <c r="L699" s="77">
        <v>43162</v>
      </c>
      <c r="M699" s="68"/>
      <c r="N699" s="76"/>
      <c r="O699" s="75" t="s">
        <v>3344</v>
      </c>
      <c r="R699" s="74"/>
    </row>
    <row r="700" spans="2:18" ht="36" hidden="1" customHeight="1" x14ac:dyDescent="0.25">
      <c r="B700" s="84">
        <v>1829</v>
      </c>
      <c r="C700" s="83" t="s">
        <v>23</v>
      </c>
      <c r="D700" s="82" t="s">
        <v>3752</v>
      </c>
      <c r="E700" s="81">
        <v>43137</v>
      </c>
      <c r="F700" s="27">
        <f t="shared" ca="1" si="10"/>
        <v>1336</v>
      </c>
      <c r="G700" s="79" t="s">
        <v>3753</v>
      </c>
      <c r="H700" s="80"/>
      <c r="I700" s="80"/>
      <c r="J700" s="79" t="s">
        <v>579</v>
      </c>
      <c r="K700" s="78" t="s">
        <v>623</v>
      </c>
      <c r="L700" s="77">
        <v>43138</v>
      </c>
      <c r="M700" s="68"/>
      <c r="N700" s="76"/>
      <c r="O700" s="75"/>
      <c r="R700" s="74"/>
    </row>
    <row r="701" spans="2:18" ht="36" hidden="1" customHeight="1" x14ac:dyDescent="0.25">
      <c r="B701" s="84">
        <v>1830</v>
      </c>
      <c r="C701" s="83" t="s">
        <v>19</v>
      </c>
      <c r="D701" s="82" t="s">
        <v>967</v>
      </c>
      <c r="E701" s="81">
        <v>43137</v>
      </c>
      <c r="F701" s="27">
        <f t="shared" ca="1" si="10"/>
        <v>1336</v>
      </c>
      <c r="G701" s="79" t="s">
        <v>1723</v>
      </c>
      <c r="H701" s="80"/>
      <c r="I701" s="80"/>
      <c r="J701" s="79" t="s">
        <v>579</v>
      </c>
      <c r="K701" s="78" t="s">
        <v>623</v>
      </c>
      <c r="L701" s="77">
        <v>43146</v>
      </c>
      <c r="M701" s="68"/>
      <c r="N701" s="76"/>
      <c r="O701" s="75" t="s">
        <v>3926</v>
      </c>
      <c r="R701" s="74"/>
    </row>
    <row r="702" spans="2:18" ht="36" hidden="1" customHeight="1" x14ac:dyDescent="0.25">
      <c r="B702" s="84">
        <v>1817</v>
      </c>
      <c r="C702" s="83" t="s">
        <v>31</v>
      </c>
      <c r="D702" s="82" t="s">
        <v>1527</v>
      </c>
      <c r="E702" s="81">
        <v>43138</v>
      </c>
      <c r="F702" s="27">
        <f t="shared" ca="1" si="10"/>
        <v>1335</v>
      </c>
      <c r="G702" s="79" t="s">
        <v>1461</v>
      </c>
      <c r="H702" s="80"/>
      <c r="I702" s="80"/>
      <c r="J702" s="79" t="s">
        <v>579</v>
      </c>
      <c r="K702" s="78" t="s">
        <v>623</v>
      </c>
      <c r="L702" s="77">
        <v>43138</v>
      </c>
      <c r="M702" s="68"/>
      <c r="N702" s="76" t="s">
        <v>1528</v>
      </c>
      <c r="O702" s="75"/>
      <c r="R702" s="74"/>
    </row>
    <row r="703" spans="2:18" ht="36" hidden="1" customHeight="1" x14ac:dyDescent="0.25">
      <c r="B703" s="84">
        <v>1825</v>
      </c>
      <c r="C703" s="83" t="s">
        <v>12</v>
      </c>
      <c r="D703" s="82" t="s">
        <v>3022</v>
      </c>
      <c r="E703" s="81">
        <v>43138</v>
      </c>
      <c r="F703" s="27">
        <f t="shared" ca="1" si="10"/>
        <v>1335</v>
      </c>
      <c r="G703" s="79" t="s">
        <v>1723</v>
      </c>
      <c r="H703" s="80"/>
      <c r="I703" s="80"/>
      <c r="J703" s="79" t="s">
        <v>579</v>
      </c>
      <c r="K703" s="78" t="s">
        <v>623</v>
      </c>
      <c r="L703" s="77">
        <v>43138</v>
      </c>
      <c r="M703" s="68"/>
      <c r="N703" s="76" t="s">
        <v>3023</v>
      </c>
      <c r="O703" s="75"/>
      <c r="R703" s="74"/>
    </row>
    <row r="704" spans="2:18" ht="36" hidden="1" customHeight="1" x14ac:dyDescent="0.25">
      <c r="B704" s="84">
        <v>1825</v>
      </c>
      <c r="C704" s="83" t="s">
        <v>12</v>
      </c>
      <c r="D704" s="82" t="s">
        <v>1390</v>
      </c>
      <c r="E704" s="81">
        <v>43138</v>
      </c>
      <c r="F704" s="27">
        <f t="shared" ca="1" si="10"/>
        <v>1335</v>
      </c>
      <c r="G704" s="79" t="s">
        <v>1328</v>
      </c>
      <c r="H704" s="80"/>
      <c r="I704" s="80"/>
      <c r="J704" s="79" t="s">
        <v>579</v>
      </c>
      <c r="K704" s="78" t="s">
        <v>623</v>
      </c>
      <c r="L704" s="77">
        <v>43140</v>
      </c>
      <c r="M704" s="68"/>
      <c r="N704" s="76"/>
      <c r="O704" s="75"/>
      <c r="R704" s="74"/>
    </row>
    <row r="705" spans="2:18" ht="36" hidden="1" customHeight="1" x14ac:dyDescent="0.25">
      <c r="B705" s="84">
        <v>1825</v>
      </c>
      <c r="C705" s="83" t="s">
        <v>40</v>
      </c>
      <c r="D705" s="82" t="s">
        <v>3026</v>
      </c>
      <c r="E705" s="81">
        <v>43139</v>
      </c>
      <c r="F705" s="27">
        <f t="shared" ca="1" si="10"/>
        <v>1334</v>
      </c>
      <c r="G705" s="79" t="s">
        <v>1328</v>
      </c>
      <c r="H705" s="80"/>
      <c r="I705" s="80"/>
      <c r="J705" s="79" t="s">
        <v>579</v>
      </c>
      <c r="K705" s="78" t="s">
        <v>623</v>
      </c>
      <c r="L705" s="77">
        <v>43140</v>
      </c>
      <c r="M705" s="68"/>
      <c r="N705" s="76"/>
      <c r="O705" s="75"/>
      <c r="R705" s="74"/>
    </row>
    <row r="706" spans="2:18" ht="36" hidden="1" customHeight="1" x14ac:dyDescent="0.25">
      <c r="B706" s="84">
        <v>1825</v>
      </c>
      <c r="C706" s="83" t="s">
        <v>12</v>
      </c>
      <c r="D706" s="82" t="s">
        <v>3027</v>
      </c>
      <c r="E706" s="81">
        <v>43139</v>
      </c>
      <c r="F706" s="27">
        <f t="shared" ca="1" si="10"/>
        <v>1334</v>
      </c>
      <c r="G706" s="79" t="s">
        <v>1328</v>
      </c>
      <c r="H706" s="80"/>
      <c r="I706" s="80"/>
      <c r="J706" s="79" t="s">
        <v>579</v>
      </c>
      <c r="K706" s="78" t="s">
        <v>623</v>
      </c>
      <c r="L706" s="77">
        <v>43140</v>
      </c>
      <c r="M706" s="68"/>
      <c r="N706" s="76"/>
      <c r="O706" s="75"/>
      <c r="R706" s="74"/>
    </row>
    <row r="707" spans="2:18" ht="36" hidden="1" customHeight="1" x14ac:dyDescent="0.25">
      <c r="B707" s="84">
        <v>1825</v>
      </c>
      <c r="C707" s="83" t="s">
        <v>12</v>
      </c>
      <c r="D707" s="82" t="s">
        <v>3028</v>
      </c>
      <c r="E707" s="81">
        <v>43139</v>
      </c>
      <c r="F707" s="27">
        <f t="shared" ca="1" si="10"/>
        <v>1334</v>
      </c>
      <c r="G707" s="79" t="s">
        <v>1328</v>
      </c>
      <c r="H707" s="80"/>
      <c r="I707" s="80"/>
      <c r="J707" s="79" t="s">
        <v>579</v>
      </c>
      <c r="K707" s="78" t="s">
        <v>623</v>
      </c>
      <c r="L707" s="77">
        <v>43140</v>
      </c>
      <c r="M707" s="68"/>
      <c r="N707" s="76"/>
      <c r="O707" s="75"/>
      <c r="R707" s="74"/>
    </row>
    <row r="708" spans="2:18" ht="36" hidden="1" customHeight="1" x14ac:dyDescent="0.25">
      <c r="B708" s="84">
        <v>1827</v>
      </c>
      <c r="C708" s="83" t="s">
        <v>19</v>
      </c>
      <c r="D708" s="82" t="s">
        <v>1569</v>
      </c>
      <c r="E708" s="81">
        <v>43139</v>
      </c>
      <c r="F708" s="27">
        <f t="shared" ca="1" si="10"/>
        <v>1334</v>
      </c>
      <c r="G708" s="79" t="s">
        <v>1301</v>
      </c>
      <c r="H708" s="80"/>
      <c r="I708" s="80"/>
      <c r="J708" s="79" t="s">
        <v>579</v>
      </c>
      <c r="K708" s="78" t="s">
        <v>623</v>
      </c>
      <c r="L708" s="77">
        <v>43192</v>
      </c>
      <c r="M708" s="68"/>
      <c r="N708" s="76" t="s">
        <v>3349</v>
      </c>
      <c r="O708" s="75" t="s">
        <v>3350</v>
      </c>
      <c r="R708" s="74"/>
    </row>
    <row r="709" spans="2:18" ht="36" hidden="1" customHeight="1" x14ac:dyDescent="0.25">
      <c r="B709" s="84">
        <v>1816</v>
      </c>
      <c r="C709" s="83" t="s">
        <v>40</v>
      </c>
      <c r="D709" s="82" t="s">
        <v>1327</v>
      </c>
      <c r="E709" s="81">
        <v>43140</v>
      </c>
      <c r="F709" s="27">
        <f t="shared" ca="1" si="10"/>
        <v>1333</v>
      </c>
      <c r="G709" s="79" t="s">
        <v>1328</v>
      </c>
      <c r="H709" s="80"/>
      <c r="I709" s="80"/>
      <c r="J709" s="79" t="s">
        <v>579</v>
      </c>
      <c r="K709" s="78" t="s">
        <v>623</v>
      </c>
      <c r="L709" s="77">
        <v>43141</v>
      </c>
      <c r="M709" s="68"/>
      <c r="N709" s="76"/>
      <c r="O709" s="75"/>
      <c r="R709" s="74"/>
    </row>
    <row r="710" spans="2:18" ht="36" hidden="1" customHeight="1" x14ac:dyDescent="0.25">
      <c r="B710" s="84">
        <v>1821</v>
      </c>
      <c r="C710" s="83" t="s">
        <v>40</v>
      </c>
      <c r="D710" s="82" t="s">
        <v>2298</v>
      </c>
      <c r="E710" s="81">
        <v>43140</v>
      </c>
      <c r="F710" s="27">
        <f t="shared" ca="1" si="10"/>
        <v>1333</v>
      </c>
      <c r="G710" s="79" t="s">
        <v>2096</v>
      </c>
      <c r="H710" s="80"/>
      <c r="I710" s="80"/>
      <c r="J710" s="79" t="s">
        <v>579</v>
      </c>
      <c r="K710" s="78" t="s">
        <v>623</v>
      </c>
      <c r="L710" s="77">
        <v>43143</v>
      </c>
      <c r="M710" s="68"/>
      <c r="N710" s="76"/>
      <c r="O710" s="75" t="s">
        <v>549</v>
      </c>
      <c r="R710" s="74"/>
    </row>
    <row r="711" spans="2:18" ht="36" hidden="1" customHeight="1" x14ac:dyDescent="0.25">
      <c r="B711" s="84">
        <v>1820</v>
      </c>
      <c r="C711" s="83" t="s">
        <v>15</v>
      </c>
      <c r="D711" s="82" t="s">
        <v>2105</v>
      </c>
      <c r="E711" s="81">
        <v>43143</v>
      </c>
      <c r="F711" s="27">
        <f t="shared" ca="1" si="10"/>
        <v>1330</v>
      </c>
      <c r="G711" s="79" t="s">
        <v>1261</v>
      </c>
      <c r="H711" s="80"/>
      <c r="I711" s="80"/>
      <c r="J711" s="79" t="s">
        <v>765</v>
      </c>
      <c r="K711" s="78" t="s">
        <v>1301</v>
      </c>
      <c r="L711" s="77">
        <v>43154</v>
      </c>
      <c r="M711" s="68"/>
      <c r="N711" s="76"/>
      <c r="O711" s="75" t="s">
        <v>776</v>
      </c>
      <c r="R711" s="74"/>
    </row>
    <row r="712" spans="2:18" ht="36" hidden="1" customHeight="1" x14ac:dyDescent="0.25">
      <c r="B712" s="84">
        <v>1828</v>
      </c>
      <c r="C712" s="83" t="s">
        <v>23</v>
      </c>
      <c r="D712" s="82" t="s">
        <v>3534</v>
      </c>
      <c r="E712" s="81">
        <v>43143</v>
      </c>
      <c r="F712" s="27">
        <f t="shared" ca="1" si="10"/>
        <v>1330</v>
      </c>
      <c r="G712" s="79" t="s">
        <v>764</v>
      </c>
      <c r="H712" s="80"/>
      <c r="I712" s="80"/>
      <c r="J712" s="79" t="s">
        <v>765</v>
      </c>
      <c r="K712" s="78" t="s">
        <v>623</v>
      </c>
      <c r="L712" s="77">
        <v>43162</v>
      </c>
      <c r="M712" s="68"/>
      <c r="N712" s="76"/>
      <c r="O712" s="75" t="s">
        <v>3535</v>
      </c>
      <c r="R712" s="74"/>
    </row>
    <row r="713" spans="2:18" ht="36" hidden="1" customHeight="1" x14ac:dyDescent="0.25">
      <c r="B713" s="84">
        <v>1830</v>
      </c>
      <c r="C713" s="83" t="s">
        <v>23</v>
      </c>
      <c r="D713" s="82" t="s">
        <v>3924</v>
      </c>
      <c r="E713" s="81">
        <v>43143</v>
      </c>
      <c r="F713" s="27">
        <f t="shared" ca="1" si="10"/>
        <v>1330</v>
      </c>
      <c r="G713" s="79" t="s">
        <v>1723</v>
      </c>
      <c r="H713" s="80"/>
      <c r="I713" s="80"/>
      <c r="J713" s="79" t="s">
        <v>579</v>
      </c>
      <c r="K713" s="78" t="s">
        <v>623</v>
      </c>
      <c r="L713" s="77">
        <v>43144</v>
      </c>
      <c r="M713" s="68"/>
      <c r="N713" s="76"/>
      <c r="O713" s="75"/>
      <c r="R713" s="74"/>
    </row>
    <row r="714" spans="2:18" ht="36" hidden="1" customHeight="1" x14ac:dyDescent="0.25">
      <c r="B714" s="84">
        <v>1830</v>
      </c>
      <c r="C714" s="83" t="s">
        <v>9</v>
      </c>
      <c r="D714" s="82" t="s">
        <v>3925</v>
      </c>
      <c r="E714" s="81">
        <v>43143</v>
      </c>
      <c r="F714" s="27">
        <f t="shared" ca="1" si="10"/>
        <v>1330</v>
      </c>
      <c r="G714" s="79" t="s">
        <v>1723</v>
      </c>
      <c r="H714" s="80"/>
      <c r="I714" s="80"/>
      <c r="J714" s="79" t="s">
        <v>579</v>
      </c>
      <c r="K714" s="78" t="s">
        <v>623</v>
      </c>
      <c r="L714" s="77">
        <v>43144</v>
      </c>
      <c r="M714" s="68"/>
      <c r="N714" s="76"/>
      <c r="O714" s="75"/>
      <c r="R714" s="74"/>
    </row>
    <row r="715" spans="2:18" ht="36" hidden="1" customHeight="1" x14ac:dyDescent="0.25">
      <c r="B715" s="84">
        <v>1817</v>
      </c>
      <c r="C715" s="83" t="s">
        <v>23</v>
      </c>
      <c r="D715" s="82" t="s">
        <v>1534</v>
      </c>
      <c r="E715" s="81">
        <v>43144</v>
      </c>
      <c r="F715" s="27">
        <f t="shared" ca="1" si="10"/>
        <v>1329</v>
      </c>
      <c r="G715" s="79" t="s">
        <v>1532</v>
      </c>
      <c r="H715" s="80"/>
      <c r="I715" s="80"/>
      <c r="J715" s="79" t="s">
        <v>579</v>
      </c>
      <c r="K715" s="78" t="s">
        <v>623</v>
      </c>
      <c r="L715" s="77">
        <v>43158</v>
      </c>
      <c r="M715" s="68"/>
      <c r="N715" s="76" t="s">
        <v>1535</v>
      </c>
      <c r="O715" s="75" t="s">
        <v>1536</v>
      </c>
      <c r="R715" s="74"/>
    </row>
    <row r="716" spans="2:18" ht="36" hidden="1" customHeight="1" x14ac:dyDescent="0.25">
      <c r="B716" s="84">
        <v>1824</v>
      </c>
      <c r="C716" s="83" t="s">
        <v>40</v>
      </c>
      <c r="D716" s="82" t="s">
        <v>2758</v>
      </c>
      <c r="E716" s="81">
        <v>43144</v>
      </c>
      <c r="F716" s="27">
        <f t="shared" ca="1" si="10"/>
        <v>1329</v>
      </c>
      <c r="G716" s="79" t="s">
        <v>2147</v>
      </c>
      <c r="H716" s="80"/>
      <c r="I716" s="80"/>
      <c r="J716" s="79" t="s">
        <v>579</v>
      </c>
      <c r="K716" s="78" t="s">
        <v>623</v>
      </c>
      <c r="L716" s="77">
        <v>43152</v>
      </c>
      <c r="M716" s="68"/>
      <c r="N716" s="76" t="s">
        <v>2757</v>
      </c>
      <c r="O716" s="75"/>
      <c r="R716" s="74"/>
    </row>
    <row r="717" spans="2:18" ht="36" hidden="1" customHeight="1" x14ac:dyDescent="0.25">
      <c r="B717" s="84">
        <v>1828</v>
      </c>
      <c r="C717" s="83" t="s">
        <v>16</v>
      </c>
      <c r="D717" s="82" t="s">
        <v>3578</v>
      </c>
      <c r="E717" s="81">
        <v>43144</v>
      </c>
      <c r="F717" s="27">
        <f t="shared" ca="1" si="10"/>
        <v>1329</v>
      </c>
      <c r="G717" s="79" t="s">
        <v>1261</v>
      </c>
      <c r="H717" s="80"/>
      <c r="I717" s="80"/>
      <c r="J717" s="79" t="s">
        <v>597</v>
      </c>
      <c r="K717" s="78" t="s">
        <v>623</v>
      </c>
      <c r="L717" s="77">
        <v>43340</v>
      </c>
      <c r="M717" s="68"/>
      <c r="N717" s="76" t="s">
        <v>3579</v>
      </c>
      <c r="O717" s="75"/>
      <c r="R717" s="74"/>
    </row>
    <row r="718" spans="2:18" ht="36" hidden="1" customHeight="1" x14ac:dyDescent="0.25">
      <c r="B718" s="84">
        <v>1818</v>
      </c>
      <c r="C718" s="83" t="s">
        <v>23</v>
      </c>
      <c r="D718" s="82" t="s">
        <v>1701</v>
      </c>
      <c r="E718" s="81">
        <v>43145</v>
      </c>
      <c r="F718" s="27">
        <f t="shared" ca="1" si="10"/>
        <v>1328</v>
      </c>
      <c r="G718" s="79" t="s">
        <v>1261</v>
      </c>
      <c r="H718" s="80"/>
      <c r="I718" s="80"/>
      <c r="J718" s="79" t="s">
        <v>765</v>
      </c>
      <c r="K718" s="78" t="s">
        <v>623</v>
      </c>
      <c r="L718" s="77">
        <v>43155</v>
      </c>
      <c r="M718" s="68"/>
      <c r="N718" s="76"/>
      <c r="O718" s="75" t="s">
        <v>1702</v>
      </c>
      <c r="R718" s="74"/>
    </row>
    <row r="719" spans="2:18" ht="36" hidden="1" customHeight="1" x14ac:dyDescent="0.25">
      <c r="B719" s="84">
        <v>1818</v>
      </c>
      <c r="C719" s="83" t="s">
        <v>16</v>
      </c>
      <c r="D719" s="82" t="s">
        <v>1699</v>
      </c>
      <c r="E719" s="81">
        <v>43146</v>
      </c>
      <c r="F719" s="27">
        <f t="shared" ca="1" si="10"/>
        <v>1327</v>
      </c>
      <c r="G719" s="79" t="s">
        <v>1261</v>
      </c>
      <c r="H719" s="80"/>
      <c r="I719" s="80"/>
      <c r="J719" s="79" t="s">
        <v>765</v>
      </c>
      <c r="K719" s="78" t="s">
        <v>623</v>
      </c>
      <c r="L719" s="77">
        <v>43155</v>
      </c>
      <c r="M719" s="68"/>
      <c r="N719" s="76"/>
      <c r="O719" s="75" t="s">
        <v>1700</v>
      </c>
      <c r="R719" s="74"/>
    </row>
    <row r="720" spans="2:18" ht="36" hidden="1" customHeight="1" x14ac:dyDescent="0.25">
      <c r="B720" s="84">
        <v>1824</v>
      </c>
      <c r="C720" s="83" t="s">
        <v>24</v>
      </c>
      <c r="D720" s="82" t="s">
        <v>2764</v>
      </c>
      <c r="E720" s="81">
        <v>43146</v>
      </c>
      <c r="F720" s="27">
        <f t="shared" ref="F720:F783" ca="1" si="11">IF(E720&lt;&gt;"",TODAY()-E720,"")</f>
        <v>1327</v>
      </c>
      <c r="G720" s="79" t="s">
        <v>764</v>
      </c>
      <c r="H720" s="80"/>
      <c r="I720" s="80"/>
      <c r="J720" s="79" t="s">
        <v>765</v>
      </c>
      <c r="K720" s="78" t="s">
        <v>623</v>
      </c>
      <c r="L720" s="77">
        <v>43162</v>
      </c>
      <c r="M720" s="68"/>
      <c r="N720" s="76" t="s">
        <v>2757</v>
      </c>
      <c r="O720" s="75" t="s">
        <v>2765</v>
      </c>
      <c r="R720" s="74"/>
    </row>
    <row r="721" spans="2:18" ht="36" hidden="1" customHeight="1" x14ac:dyDescent="0.25">
      <c r="B721" s="84">
        <v>1828</v>
      </c>
      <c r="C721" s="83" t="s">
        <v>23</v>
      </c>
      <c r="D721" s="82" t="s">
        <v>3536</v>
      </c>
      <c r="E721" s="81">
        <v>43146</v>
      </c>
      <c r="F721" s="27">
        <f t="shared" ca="1" si="11"/>
        <v>1327</v>
      </c>
      <c r="G721" s="79" t="s">
        <v>764</v>
      </c>
      <c r="H721" s="80"/>
      <c r="I721" s="80"/>
      <c r="J721" s="79" t="s">
        <v>765</v>
      </c>
      <c r="K721" s="78" t="s">
        <v>623</v>
      </c>
      <c r="L721" s="77">
        <v>43162</v>
      </c>
      <c r="M721" s="68"/>
      <c r="N721" s="76"/>
      <c r="O721" s="75" t="s">
        <v>3537</v>
      </c>
      <c r="R721" s="74"/>
    </row>
    <row r="722" spans="2:18" ht="36" hidden="1" customHeight="1" x14ac:dyDescent="0.25">
      <c r="B722" s="84">
        <v>1817</v>
      </c>
      <c r="C722" s="83" t="s">
        <v>40</v>
      </c>
      <c r="D722" s="82" t="s">
        <v>1529</v>
      </c>
      <c r="E722" s="81">
        <v>43151</v>
      </c>
      <c r="F722" s="27">
        <f t="shared" ca="1" si="11"/>
        <v>1322</v>
      </c>
      <c r="G722" s="79" t="s">
        <v>1530</v>
      </c>
      <c r="H722" s="80"/>
      <c r="I722" s="80"/>
      <c r="J722" s="79" t="s">
        <v>579</v>
      </c>
      <c r="K722" s="78" t="s">
        <v>623</v>
      </c>
      <c r="L722" s="77">
        <v>43152</v>
      </c>
      <c r="M722" s="68"/>
      <c r="N722" s="76"/>
      <c r="O722" s="75" t="s">
        <v>1531</v>
      </c>
      <c r="R722" s="74"/>
    </row>
    <row r="723" spans="2:18" ht="36" hidden="1" customHeight="1" x14ac:dyDescent="0.25">
      <c r="B723" s="84">
        <v>1821</v>
      </c>
      <c r="C723" s="83" t="s">
        <v>31</v>
      </c>
      <c r="D723" s="82" t="s">
        <v>2299</v>
      </c>
      <c r="E723" s="81">
        <v>43151</v>
      </c>
      <c r="F723" s="27">
        <f t="shared" ca="1" si="11"/>
        <v>1322</v>
      </c>
      <c r="G723" s="79" t="s">
        <v>2300</v>
      </c>
      <c r="H723" s="80"/>
      <c r="I723" s="80"/>
      <c r="J723" s="79" t="s">
        <v>579</v>
      </c>
      <c r="K723" s="78" t="s">
        <v>623</v>
      </c>
      <c r="L723" s="77">
        <v>43152</v>
      </c>
      <c r="M723" s="68"/>
      <c r="N723" s="76"/>
      <c r="O723" s="75" t="s">
        <v>2301</v>
      </c>
      <c r="R723" s="74"/>
    </row>
    <row r="724" spans="2:18" ht="36" hidden="1" customHeight="1" x14ac:dyDescent="0.25">
      <c r="B724" s="84">
        <v>1825</v>
      </c>
      <c r="C724" s="83" t="s">
        <v>31</v>
      </c>
      <c r="D724" s="82" t="s">
        <v>3029</v>
      </c>
      <c r="E724" s="81">
        <v>43151</v>
      </c>
      <c r="F724" s="27">
        <f t="shared" ca="1" si="11"/>
        <v>1322</v>
      </c>
      <c r="G724" s="79" t="s">
        <v>1261</v>
      </c>
      <c r="H724" s="80"/>
      <c r="I724" s="80"/>
      <c r="J724" s="79" t="s">
        <v>765</v>
      </c>
      <c r="K724" s="78" t="s">
        <v>623</v>
      </c>
      <c r="L724" s="77">
        <v>43157</v>
      </c>
      <c r="M724" s="68"/>
      <c r="N724" s="76" t="s">
        <v>3030</v>
      </c>
      <c r="O724" s="75" t="s">
        <v>3031</v>
      </c>
      <c r="R724" s="74"/>
    </row>
    <row r="725" spans="2:18" ht="36" hidden="1" customHeight="1" x14ac:dyDescent="0.25">
      <c r="B725" s="84">
        <v>1828</v>
      </c>
      <c r="C725" s="83" t="s">
        <v>23</v>
      </c>
      <c r="D725" s="82" t="s">
        <v>1269</v>
      </c>
      <c r="E725" s="81">
        <v>43151</v>
      </c>
      <c r="F725" s="27">
        <f t="shared" ca="1" si="11"/>
        <v>1322</v>
      </c>
      <c r="G725" s="79" t="s">
        <v>764</v>
      </c>
      <c r="H725" s="80"/>
      <c r="I725" s="80"/>
      <c r="J725" s="79" t="s">
        <v>765</v>
      </c>
      <c r="K725" s="78" t="s">
        <v>623</v>
      </c>
      <c r="L725" s="77">
        <v>43162</v>
      </c>
      <c r="M725" s="68"/>
      <c r="N725" s="76"/>
      <c r="O725" s="75" t="s">
        <v>2123</v>
      </c>
      <c r="R725" s="74"/>
    </row>
    <row r="726" spans="2:18" ht="36" hidden="1" customHeight="1" x14ac:dyDescent="0.25">
      <c r="B726" s="84">
        <v>1829</v>
      </c>
      <c r="C726" s="83" t="s">
        <v>23</v>
      </c>
      <c r="D726" s="82" t="s">
        <v>3754</v>
      </c>
      <c r="E726" s="81">
        <v>43151</v>
      </c>
      <c r="F726" s="27">
        <f t="shared" ca="1" si="11"/>
        <v>1322</v>
      </c>
      <c r="G726" s="79" t="s">
        <v>764</v>
      </c>
      <c r="H726" s="80"/>
      <c r="I726" s="80"/>
      <c r="J726" s="79" t="s">
        <v>765</v>
      </c>
      <c r="K726" s="78" t="s">
        <v>623</v>
      </c>
      <c r="L726" s="77">
        <v>43162</v>
      </c>
      <c r="M726" s="68"/>
      <c r="N726" s="76"/>
      <c r="O726" s="75" t="s">
        <v>3755</v>
      </c>
      <c r="R726" s="74"/>
    </row>
    <row r="727" spans="2:18" ht="36" hidden="1" customHeight="1" x14ac:dyDescent="0.25">
      <c r="B727" s="84">
        <v>1830</v>
      </c>
      <c r="C727" s="83" t="s">
        <v>40</v>
      </c>
      <c r="D727" s="82" t="s">
        <v>3927</v>
      </c>
      <c r="E727" s="81">
        <v>43151</v>
      </c>
      <c r="F727" s="27">
        <f t="shared" ca="1" si="11"/>
        <v>1322</v>
      </c>
      <c r="G727" s="79" t="s">
        <v>1261</v>
      </c>
      <c r="H727" s="80"/>
      <c r="I727" s="80"/>
      <c r="J727" s="79" t="s">
        <v>765</v>
      </c>
      <c r="K727" s="78" t="s">
        <v>623</v>
      </c>
      <c r="L727" s="77">
        <v>43155</v>
      </c>
      <c r="M727" s="68"/>
      <c r="N727" s="76"/>
      <c r="O727" s="75" t="s">
        <v>3928</v>
      </c>
      <c r="R727" s="74"/>
    </row>
    <row r="728" spans="2:18" ht="36" hidden="1" customHeight="1" x14ac:dyDescent="0.25">
      <c r="B728" s="84">
        <v>1830</v>
      </c>
      <c r="C728" s="83" t="s">
        <v>23</v>
      </c>
      <c r="D728" s="82" t="s">
        <v>3929</v>
      </c>
      <c r="E728" s="81">
        <v>43151</v>
      </c>
      <c r="F728" s="27">
        <f t="shared" ca="1" si="11"/>
        <v>1322</v>
      </c>
      <c r="G728" s="79" t="s">
        <v>1261</v>
      </c>
      <c r="H728" s="80"/>
      <c r="I728" s="80"/>
      <c r="J728" s="79" t="s">
        <v>765</v>
      </c>
      <c r="K728" s="78" t="s">
        <v>623</v>
      </c>
      <c r="L728" s="77">
        <v>43155</v>
      </c>
      <c r="M728" s="68"/>
      <c r="N728" s="76" t="s">
        <v>1535</v>
      </c>
      <c r="O728" s="75" t="s">
        <v>3930</v>
      </c>
      <c r="R728" s="74"/>
    </row>
    <row r="729" spans="2:18" ht="36" hidden="1" customHeight="1" x14ac:dyDescent="0.25">
      <c r="B729" s="84">
        <v>1823</v>
      </c>
      <c r="C729" s="83" t="s">
        <v>23</v>
      </c>
      <c r="D729" s="82" t="s">
        <v>2576</v>
      </c>
      <c r="E729" s="81">
        <v>43152</v>
      </c>
      <c r="F729" s="27">
        <f t="shared" ca="1" si="11"/>
        <v>1321</v>
      </c>
      <c r="G729" s="79" t="s">
        <v>764</v>
      </c>
      <c r="H729" s="80"/>
      <c r="I729" s="80"/>
      <c r="J729" s="79" t="s">
        <v>765</v>
      </c>
      <c r="K729" s="78" t="s">
        <v>623</v>
      </c>
      <c r="L729" s="77">
        <v>43162</v>
      </c>
      <c r="M729" s="68"/>
      <c r="N729" s="76"/>
      <c r="O729" s="75" t="s">
        <v>2577</v>
      </c>
      <c r="R729" s="74"/>
    </row>
    <row r="730" spans="2:18" ht="36" hidden="1" customHeight="1" x14ac:dyDescent="0.25">
      <c r="B730" s="84">
        <v>1826</v>
      </c>
      <c r="C730" s="83" t="s">
        <v>38</v>
      </c>
      <c r="D730" s="82" t="s">
        <v>3221</v>
      </c>
      <c r="E730" s="81">
        <v>43152</v>
      </c>
      <c r="F730" s="27">
        <f t="shared" ca="1" si="11"/>
        <v>1321</v>
      </c>
      <c r="G730" s="79" t="s">
        <v>1261</v>
      </c>
      <c r="H730" s="80"/>
      <c r="I730" s="80"/>
      <c r="J730" s="79" t="s">
        <v>765</v>
      </c>
      <c r="K730" s="78" t="s">
        <v>623</v>
      </c>
      <c r="L730" s="77">
        <v>43155</v>
      </c>
      <c r="M730" s="68"/>
      <c r="N730" s="76"/>
      <c r="O730" s="75" t="s">
        <v>3222</v>
      </c>
      <c r="R730" s="74"/>
    </row>
    <row r="731" spans="2:18" ht="36" hidden="1" customHeight="1" x14ac:dyDescent="0.25">
      <c r="B731" s="84">
        <v>1830</v>
      </c>
      <c r="C731" s="83" t="s">
        <v>19</v>
      </c>
      <c r="D731" s="82" t="s">
        <v>3219</v>
      </c>
      <c r="E731" s="81">
        <v>43152</v>
      </c>
      <c r="F731" s="27">
        <f t="shared" ca="1" si="11"/>
        <v>1321</v>
      </c>
      <c r="G731" s="79" t="s">
        <v>1328</v>
      </c>
      <c r="H731" s="80"/>
      <c r="I731" s="80"/>
      <c r="J731" s="79" t="s">
        <v>579</v>
      </c>
      <c r="K731" s="78" t="s">
        <v>623</v>
      </c>
      <c r="L731" s="77">
        <v>43169</v>
      </c>
      <c r="M731" s="68"/>
      <c r="N731" s="76"/>
      <c r="O731" s="75" t="s">
        <v>3937</v>
      </c>
      <c r="R731" s="74"/>
    </row>
    <row r="732" spans="2:18" ht="36" hidden="1" customHeight="1" x14ac:dyDescent="0.25">
      <c r="B732" s="84">
        <v>1821</v>
      </c>
      <c r="C732" s="83" t="s">
        <v>23</v>
      </c>
      <c r="D732" s="82" t="s">
        <v>1269</v>
      </c>
      <c r="E732" s="81">
        <v>43153</v>
      </c>
      <c r="F732" s="27">
        <f t="shared" ca="1" si="11"/>
        <v>1320</v>
      </c>
      <c r="G732" s="79" t="s">
        <v>1261</v>
      </c>
      <c r="H732" s="80"/>
      <c r="I732" s="80"/>
      <c r="J732" s="79" t="s">
        <v>765</v>
      </c>
      <c r="K732" s="78" t="s">
        <v>623</v>
      </c>
      <c r="L732" s="77">
        <v>43155</v>
      </c>
      <c r="M732" s="68"/>
      <c r="N732" s="76"/>
      <c r="O732" s="75" t="s">
        <v>2302</v>
      </c>
      <c r="R732" s="74"/>
    </row>
    <row r="733" spans="2:18" ht="36" hidden="1" customHeight="1" x14ac:dyDescent="0.25">
      <c r="B733" s="84">
        <v>1821</v>
      </c>
      <c r="C733" s="83" t="s">
        <v>23</v>
      </c>
      <c r="D733" s="82" t="s">
        <v>2303</v>
      </c>
      <c r="E733" s="81">
        <v>43153</v>
      </c>
      <c r="F733" s="27">
        <f t="shared" ca="1" si="11"/>
        <v>1320</v>
      </c>
      <c r="G733" s="79" t="s">
        <v>1261</v>
      </c>
      <c r="H733" s="80"/>
      <c r="I733" s="80"/>
      <c r="J733" s="79" t="s">
        <v>765</v>
      </c>
      <c r="K733" s="78" t="s">
        <v>623</v>
      </c>
      <c r="L733" s="77">
        <v>43155</v>
      </c>
      <c r="M733" s="68"/>
      <c r="N733" s="76"/>
      <c r="O733" s="75" t="s">
        <v>2304</v>
      </c>
      <c r="R733" s="74"/>
    </row>
    <row r="734" spans="2:18" ht="36" hidden="1" customHeight="1" x14ac:dyDescent="0.25">
      <c r="B734" s="84">
        <v>1822</v>
      </c>
      <c r="C734" s="83" t="s">
        <v>23</v>
      </c>
      <c r="D734" s="82" t="s">
        <v>346</v>
      </c>
      <c r="E734" s="81">
        <v>43153</v>
      </c>
      <c r="F734" s="27">
        <f t="shared" ca="1" si="11"/>
        <v>1320</v>
      </c>
      <c r="G734" s="79" t="s">
        <v>1261</v>
      </c>
      <c r="H734" s="80"/>
      <c r="I734" s="80"/>
      <c r="J734" s="79" t="s">
        <v>765</v>
      </c>
      <c r="K734" s="78" t="s">
        <v>623</v>
      </c>
      <c r="L734" s="77">
        <v>43155</v>
      </c>
      <c r="M734" s="68"/>
      <c r="N734" s="76"/>
      <c r="O734" s="75" t="s">
        <v>1918</v>
      </c>
      <c r="R734" s="74"/>
    </row>
    <row r="735" spans="2:18" ht="36" hidden="1" customHeight="1" x14ac:dyDescent="0.25">
      <c r="B735" s="84">
        <v>1824</v>
      </c>
      <c r="C735" s="83" t="s">
        <v>40</v>
      </c>
      <c r="D735" s="82" t="s">
        <v>2759</v>
      </c>
      <c r="E735" s="81">
        <v>43153</v>
      </c>
      <c r="F735" s="27">
        <f t="shared" ca="1" si="11"/>
        <v>1320</v>
      </c>
      <c r="G735" s="79" t="s">
        <v>2760</v>
      </c>
      <c r="H735" s="80"/>
      <c r="I735" s="80"/>
      <c r="J735" s="79" t="s">
        <v>579</v>
      </c>
      <c r="K735" s="78" t="s">
        <v>623</v>
      </c>
      <c r="L735" s="77">
        <v>43158</v>
      </c>
      <c r="M735" s="68"/>
      <c r="N735" s="76" t="s">
        <v>2761</v>
      </c>
      <c r="O735" s="75"/>
      <c r="R735" s="74"/>
    </row>
    <row r="736" spans="2:18" ht="36" hidden="1" customHeight="1" x14ac:dyDescent="0.25">
      <c r="B736" s="84">
        <v>1816</v>
      </c>
      <c r="C736" s="83" t="s">
        <v>19</v>
      </c>
      <c r="D736" s="82" t="s">
        <v>1336</v>
      </c>
      <c r="E736" s="81">
        <v>43154</v>
      </c>
      <c r="F736" s="27">
        <f t="shared" ca="1" si="11"/>
        <v>1319</v>
      </c>
      <c r="G736" s="79" t="s">
        <v>1304</v>
      </c>
      <c r="H736" s="80"/>
      <c r="I736" s="80"/>
      <c r="J736" s="79" t="s">
        <v>579</v>
      </c>
      <c r="K736" s="78" t="s">
        <v>623</v>
      </c>
      <c r="L736" s="77">
        <v>43169</v>
      </c>
      <c r="M736" s="68"/>
      <c r="N736" s="76" t="s">
        <v>1337</v>
      </c>
      <c r="O736" s="75" t="s">
        <v>1338</v>
      </c>
      <c r="R736" s="74"/>
    </row>
    <row r="737" spans="2:18" ht="36" hidden="1" customHeight="1" x14ac:dyDescent="0.25">
      <c r="B737" s="84">
        <v>1817</v>
      </c>
      <c r="C737" s="83" t="s">
        <v>36</v>
      </c>
      <c r="D737" s="82" t="s">
        <v>1539</v>
      </c>
      <c r="E737" s="81">
        <v>43154</v>
      </c>
      <c r="F737" s="27">
        <f t="shared" ca="1" si="11"/>
        <v>1319</v>
      </c>
      <c r="G737" s="79" t="s">
        <v>1532</v>
      </c>
      <c r="H737" s="80"/>
      <c r="I737" s="80"/>
      <c r="J737" s="79" t="s">
        <v>579</v>
      </c>
      <c r="K737" s="78" t="s">
        <v>623</v>
      </c>
      <c r="L737" s="77">
        <v>43159</v>
      </c>
      <c r="M737" s="68"/>
      <c r="N737" s="76"/>
      <c r="O737" s="75" t="s">
        <v>1540</v>
      </c>
      <c r="R737" s="74"/>
    </row>
    <row r="738" spans="2:18" ht="36" hidden="1" customHeight="1" x14ac:dyDescent="0.25">
      <c r="B738" s="84">
        <v>1817</v>
      </c>
      <c r="C738" s="83" t="s">
        <v>31</v>
      </c>
      <c r="D738" s="82" t="s">
        <v>1541</v>
      </c>
      <c r="E738" s="81">
        <v>43154</v>
      </c>
      <c r="F738" s="27">
        <f t="shared" ca="1" si="11"/>
        <v>1319</v>
      </c>
      <c r="G738" s="79" t="s">
        <v>1532</v>
      </c>
      <c r="H738" s="80"/>
      <c r="I738" s="80"/>
      <c r="J738" s="79" t="s">
        <v>579</v>
      </c>
      <c r="K738" s="78" t="s">
        <v>623</v>
      </c>
      <c r="L738" s="77">
        <v>43159</v>
      </c>
      <c r="M738" s="68"/>
      <c r="N738" s="76"/>
      <c r="O738" s="75" t="s">
        <v>1542</v>
      </c>
      <c r="R738" s="74"/>
    </row>
    <row r="739" spans="2:18" ht="36" hidden="1" customHeight="1" x14ac:dyDescent="0.25">
      <c r="B739" s="84">
        <v>1818</v>
      </c>
      <c r="C739" s="83" t="s">
        <v>23</v>
      </c>
      <c r="D739" s="82" t="s">
        <v>1706</v>
      </c>
      <c r="E739" s="81">
        <v>43154</v>
      </c>
      <c r="F739" s="27">
        <f t="shared" ca="1" si="11"/>
        <v>1319</v>
      </c>
      <c r="G739" s="79" t="s">
        <v>1704</v>
      </c>
      <c r="H739" s="80"/>
      <c r="I739" s="80"/>
      <c r="J739" s="79" t="s">
        <v>579</v>
      </c>
      <c r="K739" s="78" t="s">
        <v>623</v>
      </c>
      <c r="L739" s="77">
        <v>43158</v>
      </c>
      <c r="M739" s="68"/>
      <c r="N739" s="76" t="s">
        <v>1705</v>
      </c>
      <c r="O739" s="75"/>
      <c r="R739" s="74"/>
    </row>
    <row r="740" spans="2:18" ht="36" hidden="1" customHeight="1" x14ac:dyDescent="0.25">
      <c r="B740" s="84">
        <v>1819</v>
      </c>
      <c r="C740" s="83" t="s">
        <v>12</v>
      </c>
      <c r="D740" s="82" t="s">
        <v>1910</v>
      </c>
      <c r="E740" s="81">
        <v>43157</v>
      </c>
      <c r="F740" s="27">
        <f t="shared" ca="1" si="11"/>
        <v>1316</v>
      </c>
      <c r="G740" s="79" t="s">
        <v>578</v>
      </c>
      <c r="H740" s="80"/>
      <c r="I740" s="80"/>
      <c r="J740" s="79" t="s">
        <v>579</v>
      </c>
      <c r="K740" s="78" t="s">
        <v>623</v>
      </c>
      <c r="L740" s="77">
        <v>43158</v>
      </c>
      <c r="M740" s="68"/>
      <c r="N740" s="76"/>
      <c r="O740" s="75" t="s">
        <v>1911</v>
      </c>
      <c r="R740" s="74"/>
    </row>
    <row r="741" spans="2:18" ht="36" hidden="1" customHeight="1" x14ac:dyDescent="0.25">
      <c r="B741" s="84">
        <v>1641</v>
      </c>
      <c r="C741" s="83" t="s">
        <v>40</v>
      </c>
      <c r="D741" s="82" t="s">
        <v>633</v>
      </c>
      <c r="E741" s="81">
        <v>43158</v>
      </c>
      <c r="F741" s="27">
        <f t="shared" ca="1" si="11"/>
        <v>1315</v>
      </c>
      <c r="G741" s="79" t="s">
        <v>634</v>
      </c>
      <c r="H741" s="80"/>
      <c r="I741" s="80"/>
      <c r="J741" s="79" t="s">
        <v>597</v>
      </c>
      <c r="K741" s="78" t="s">
        <v>580</v>
      </c>
      <c r="L741" s="77">
        <v>43202</v>
      </c>
      <c r="M741" s="68"/>
      <c r="N741" s="76"/>
      <c r="O741" s="75" t="s">
        <v>635</v>
      </c>
      <c r="R741" s="74"/>
    </row>
    <row r="742" spans="2:18" ht="36" hidden="1" customHeight="1" x14ac:dyDescent="0.25">
      <c r="B742" s="84">
        <v>1816</v>
      </c>
      <c r="C742" s="83" t="s">
        <v>40</v>
      </c>
      <c r="D742" s="82" t="s">
        <v>1329</v>
      </c>
      <c r="E742" s="81">
        <v>43158</v>
      </c>
      <c r="F742" s="27">
        <f t="shared" ca="1" si="11"/>
        <v>1315</v>
      </c>
      <c r="G742" s="79" t="s">
        <v>1261</v>
      </c>
      <c r="H742" s="80"/>
      <c r="I742" s="80"/>
      <c r="J742" s="79" t="s">
        <v>579</v>
      </c>
      <c r="K742" s="78" t="s">
        <v>623</v>
      </c>
      <c r="L742" s="77">
        <v>43158</v>
      </c>
      <c r="M742" s="68"/>
      <c r="N742" s="76"/>
      <c r="O742" s="75" t="s">
        <v>1330</v>
      </c>
      <c r="R742" s="74"/>
    </row>
    <row r="743" spans="2:18" ht="36" hidden="1" customHeight="1" x14ac:dyDescent="0.25">
      <c r="B743" s="84">
        <v>1819</v>
      </c>
      <c r="C743" s="83" t="s">
        <v>23</v>
      </c>
      <c r="D743" s="82" t="s">
        <v>1912</v>
      </c>
      <c r="E743" s="81">
        <v>43158</v>
      </c>
      <c r="F743" s="27">
        <f t="shared" ca="1" si="11"/>
        <v>1315</v>
      </c>
      <c r="G743" s="79" t="s">
        <v>764</v>
      </c>
      <c r="H743" s="80"/>
      <c r="I743" s="80"/>
      <c r="J743" s="79" t="s">
        <v>765</v>
      </c>
      <c r="K743" s="78" t="s">
        <v>623</v>
      </c>
      <c r="L743" s="77">
        <v>43162</v>
      </c>
      <c r="M743" s="68"/>
      <c r="N743" s="76"/>
      <c r="O743" s="75" t="s">
        <v>1913</v>
      </c>
      <c r="R743" s="74"/>
    </row>
    <row r="744" spans="2:18" ht="36" hidden="1" customHeight="1" x14ac:dyDescent="0.25">
      <c r="B744" s="84">
        <v>1820</v>
      </c>
      <c r="C744" s="83" t="s">
        <v>37</v>
      </c>
      <c r="D744" s="82" t="s">
        <v>2107</v>
      </c>
      <c r="E744" s="81">
        <v>43158</v>
      </c>
      <c r="F744" s="27">
        <f t="shared" ca="1" si="11"/>
        <v>1315</v>
      </c>
      <c r="G744" s="79" t="s">
        <v>2108</v>
      </c>
      <c r="H744" s="80"/>
      <c r="I744" s="80"/>
      <c r="J744" s="79" t="s">
        <v>579</v>
      </c>
      <c r="K744" s="78" t="s">
        <v>623</v>
      </c>
      <c r="L744" s="77">
        <v>43158</v>
      </c>
      <c r="M744" s="68"/>
      <c r="N744" s="76"/>
      <c r="O744" s="75" t="s">
        <v>2109</v>
      </c>
      <c r="R744" s="74"/>
    </row>
    <row r="745" spans="2:18" ht="36" hidden="1" customHeight="1" x14ac:dyDescent="0.25">
      <c r="B745" s="84">
        <v>1820</v>
      </c>
      <c r="C745" s="83" t="s">
        <v>27</v>
      </c>
      <c r="D745" s="82" t="s">
        <v>2110</v>
      </c>
      <c r="E745" s="81">
        <v>43158</v>
      </c>
      <c r="F745" s="27">
        <f t="shared" ca="1" si="11"/>
        <v>1315</v>
      </c>
      <c r="G745" s="79" t="s">
        <v>2108</v>
      </c>
      <c r="H745" s="80"/>
      <c r="I745" s="80"/>
      <c r="J745" s="79" t="s">
        <v>579</v>
      </c>
      <c r="K745" s="78" t="s">
        <v>623</v>
      </c>
      <c r="L745" s="77">
        <v>43158</v>
      </c>
      <c r="M745" s="68"/>
      <c r="N745" s="76"/>
      <c r="O745" s="75" t="s">
        <v>2111</v>
      </c>
      <c r="R745" s="74"/>
    </row>
    <row r="746" spans="2:18" ht="36" hidden="1" customHeight="1" x14ac:dyDescent="0.25">
      <c r="B746" s="84">
        <v>1820</v>
      </c>
      <c r="C746" s="83" t="s">
        <v>15</v>
      </c>
      <c r="D746" s="82" t="s">
        <v>2112</v>
      </c>
      <c r="E746" s="81">
        <v>43158</v>
      </c>
      <c r="F746" s="27">
        <f t="shared" ca="1" si="11"/>
        <v>1315</v>
      </c>
      <c r="G746" s="79" t="s">
        <v>2108</v>
      </c>
      <c r="H746" s="80"/>
      <c r="I746" s="80"/>
      <c r="J746" s="79" t="s">
        <v>579</v>
      </c>
      <c r="K746" s="78" t="s">
        <v>623</v>
      </c>
      <c r="L746" s="77">
        <v>43158</v>
      </c>
      <c r="M746" s="68"/>
      <c r="N746" s="76"/>
      <c r="O746" s="75" t="s">
        <v>2113</v>
      </c>
      <c r="R746" s="74"/>
    </row>
    <row r="747" spans="2:18" ht="36" hidden="1" customHeight="1" x14ac:dyDescent="0.25">
      <c r="B747" s="84">
        <v>1821</v>
      </c>
      <c r="C747" s="83" t="s">
        <v>18</v>
      </c>
      <c r="D747" s="82" t="s">
        <v>2305</v>
      </c>
      <c r="E747" s="81">
        <v>43158</v>
      </c>
      <c r="F747" s="27">
        <f t="shared" ca="1" si="11"/>
        <v>1315</v>
      </c>
      <c r="G747" s="79" t="s">
        <v>578</v>
      </c>
      <c r="H747" s="80"/>
      <c r="I747" s="80"/>
      <c r="J747" s="79" t="s">
        <v>579</v>
      </c>
      <c r="K747" s="78" t="s">
        <v>623</v>
      </c>
      <c r="L747" s="77">
        <v>43166</v>
      </c>
      <c r="M747" s="68"/>
      <c r="N747" s="76" t="s">
        <v>2306</v>
      </c>
      <c r="O747" s="75" t="s">
        <v>2307</v>
      </c>
      <c r="R747" s="74"/>
    </row>
    <row r="748" spans="2:18" ht="36" hidden="1" customHeight="1" x14ac:dyDescent="0.25">
      <c r="B748" s="84">
        <v>1824</v>
      </c>
      <c r="C748" s="83" t="s">
        <v>11</v>
      </c>
      <c r="D748" s="82" t="s">
        <v>2778</v>
      </c>
      <c r="E748" s="81">
        <v>43158</v>
      </c>
      <c r="F748" s="27">
        <f t="shared" ca="1" si="11"/>
        <v>1315</v>
      </c>
      <c r="G748" s="79" t="s">
        <v>2779</v>
      </c>
      <c r="H748" s="80"/>
      <c r="I748" s="80"/>
      <c r="J748" s="79" t="s">
        <v>765</v>
      </c>
      <c r="K748" s="78" t="s">
        <v>623</v>
      </c>
      <c r="L748" s="77">
        <v>43206</v>
      </c>
      <c r="M748" s="68"/>
      <c r="N748" s="76"/>
      <c r="O748" s="75" t="s">
        <v>2780</v>
      </c>
      <c r="R748" s="74"/>
    </row>
    <row r="749" spans="2:18" ht="36" hidden="1" customHeight="1" x14ac:dyDescent="0.25">
      <c r="B749" s="84">
        <v>1826</v>
      </c>
      <c r="C749" s="83" t="s">
        <v>23</v>
      </c>
      <c r="D749" s="82" t="s">
        <v>2270</v>
      </c>
      <c r="E749" s="81">
        <v>43158</v>
      </c>
      <c r="F749" s="27">
        <f t="shared" ca="1" si="11"/>
        <v>1315</v>
      </c>
      <c r="G749" s="79" t="s">
        <v>764</v>
      </c>
      <c r="H749" s="80"/>
      <c r="I749" s="80"/>
      <c r="J749" s="79" t="s">
        <v>765</v>
      </c>
      <c r="K749" s="78" t="s">
        <v>623</v>
      </c>
      <c r="L749" s="77">
        <v>43162</v>
      </c>
      <c r="M749" s="68"/>
      <c r="N749" s="76"/>
      <c r="O749" s="75" t="s">
        <v>3223</v>
      </c>
      <c r="R749" s="74"/>
    </row>
    <row r="750" spans="2:18" ht="36" hidden="1" customHeight="1" x14ac:dyDescent="0.25">
      <c r="B750" s="84">
        <v>1826</v>
      </c>
      <c r="C750" s="83" t="s">
        <v>23</v>
      </c>
      <c r="D750" s="82" t="s">
        <v>3224</v>
      </c>
      <c r="E750" s="81">
        <v>43158</v>
      </c>
      <c r="F750" s="27">
        <f t="shared" ca="1" si="11"/>
        <v>1315</v>
      </c>
      <c r="G750" s="79" t="s">
        <v>764</v>
      </c>
      <c r="H750" s="80"/>
      <c r="I750" s="80"/>
      <c r="J750" s="79" t="s">
        <v>765</v>
      </c>
      <c r="K750" s="78" t="s">
        <v>623</v>
      </c>
      <c r="L750" s="77">
        <v>43162</v>
      </c>
      <c r="M750" s="68"/>
      <c r="N750" s="76"/>
      <c r="O750" s="75" t="s">
        <v>3225</v>
      </c>
      <c r="R750" s="74"/>
    </row>
    <row r="751" spans="2:18" ht="36" hidden="1" customHeight="1" x14ac:dyDescent="0.25">
      <c r="B751" s="84">
        <v>1829</v>
      </c>
      <c r="C751" s="83" t="s">
        <v>23</v>
      </c>
      <c r="D751" s="82" t="s">
        <v>3756</v>
      </c>
      <c r="E751" s="81">
        <v>43158</v>
      </c>
      <c r="F751" s="27">
        <f t="shared" ca="1" si="11"/>
        <v>1315</v>
      </c>
      <c r="G751" s="79" t="s">
        <v>764</v>
      </c>
      <c r="H751" s="80"/>
      <c r="I751" s="80"/>
      <c r="J751" s="79" t="s">
        <v>765</v>
      </c>
      <c r="K751" s="78" t="s">
        <v>623</v>
      </c>
      <c r="L751" s="77">
        <v>43162</v>
      </c>
      <c r="M751" s="68"/>
      <c r="N751" s="76"/>
      <c r="O751" s="75" t="s">
        <v>3537</v>
      </c>
      <c r="R751" s="74"/>
    </row>
    <row r="752" spans="2:18" ht="36" hidden="1" customHeight="1" x14ac:dyDescent="0.25">
      <c r="B752" s="84">
        <v>1817</v>
      </c>
      <c r="C752" s="83" t="s">
        <v>19</v>
      </c>
      <c r="D752" s="82" t="s">
        <v>1543</v>
      </c>
      <c r="E752" s="81">
        <v>43159</v>
      </c>
      <c r="F752" s="27">
        <f t="shared" ca="1" si="11"/>
        <v>1314</v>
      </c>
      <c r="G752" s="79" t="s">
        <v>1461</v>
      </c>
      <c r="H752" s="80"/>
      <c r="I752" s="80"/>
      <c r="J752" s="79" t="s">
        <v>579</v>
      </c>
      <c r="K752" s="78" t="s">
        <v>623</v>
      </c>
      <c r="L752" s="77">
        <v>43164</v>
      </c>
      <c r="M752" s="68"/>
      <c r="N752" s="76"/>
      <c r="O752" s="75" t="s">
        <v>1544</v>
      </c>
      <c r="R752" s="74"/>
    </row>
    <row r="753" spans="2:18" ht="36" hidden="1" customHeight="1" x14ac:dyDescent="0.25">
      <c r="B753" s="84">
        <v>1820</v>
      </c>
      <c r="C753" s="83" t="s">
        <v>23</v>
      </c>
      <c r="D753" s="82" t="s">
        <v>458</v>
      </c>
      <c r="E753" s="81">
        <v>43159</v>
      </c>
      <c r="F753" s="27">
        <f t="shared" ca="1" si="11"/>
        <v>1314</v>
      </c>
      <c r="G753" s="79" t="s">
        <v>764</v>
      </c>
      <c r="H753" s="80"/>
      <c r="I753" s="80"/>
      <c r="J753" s="79" t="s">
        <v>765</v>
      </c>
      <c r="K753" s="78" t="s">
        <v>623</v>
      </c>
      <c r="L753" s="77">
        <v>43162</v>
      </c>
      <c r="M753" s="68"/>
      <c r="N753" s="76"/>
      <c r="O753" s="75" t="s">
        <v>2114</v>
      </c>
      <c r="R753" s="74"/>
    </row>
    <row r="754" spans="2:18" ht="36" hidden="1" customHeight="1" x14ac:dyDescent="0.25">
      <c r="B754" s="84">
        <v>1825</v>
      </c>
      <c r="C754" s="83" t="s">
        <v>23</v>
      </c>
      <c r="D754" s="82" t="s">
        <v>3032</v>
      </c>
      <c r="E754" s="81">
        <v>43159</v>
      </c>
      <c r="F754" s="27">
        <f t="shared" ca="1" si="11"/>
        <v>1314</v>
      </c>
      <c r="G754" s="79" t="s">
        <v>764</v>
      </c>
      <c r="H754" s="80"/>
      <c r="I754" s="80"/>
      <c r="J754" s="79" t="s">
        <v>765</v>
      </c>
      <c r="K754" s="78" t="s">
        <v>623</v>
      </c>
      <c r="L754" s="77">
        <v>43162</v>
      </c>
      <c r="M754" s="68"/>
      <c r="N754" s="76"/>
      <c r="O754" s="75" t="s">
        <v>2577</v>
      </c>
      <c r="R754" s="74"/>
    </row>
    <row r="755" spans="2:18" ht="36" hidden="1" customHeight="1" x14ac:dyDescent="0.25">
      <c r="B755" s="84">
        <v>1816</v>
      </c>
      <c r="C755" s="83" t="s">
        <v>23</v>
      </c>
      <c r="D755" s="82" t="s">
        <v>1334</v>
      </c>
      <c r="E755" s="81">
        <v>43160</v>
      </c>
      <c r="F755" s="27">
        <f t="shared" ca="1" si="11"/>
        <v>1313</v>
      </c>
      <c r="G755" s="79" t="s">
        <v>764</v>
      </c>
      <c r="H755" s="80"/>
      <c r="I755" s="80"/>
      <c r="J755" s="79" t="s">
        <v>765</v>
      </c>
      <c r="K755" s="78" t="s">
        <v>623</v>
      </c>
      <c r="L755" s="77">
        <v>43162</v>
      </c>
      <c r="M755" s="68"/>
      <c r="N755" s="76"/>
      <c r="O755" s="75" t="s">
        <v>1335</v>
      </c>
      <c r="R755" s="74"/>
    </row>
    <row r="756" spans="2:18" ht="36" hidden="1" customHeight="1" x14ac:dyDescent="0.25">
      <c r="B756" s="84">
        <v>1816</v>
      </c>
      <c r="C756" s="83" t="s">
        <v>19</v>
      </c>
      <c r="D756" s="82" t="s">
        <v>1339</v>
      </c>
      <c r="E756" s="81">
        <v>43160</v>
      </c>
      <c r="F756" s="27">
        <f t="shared" ca="1" si="11"/>
        <v>1313</v>
      </c>
      <c r="G756" s="79" t="s">
        <v>1304</v>
      </c>
      <c r="H756" s="80"/>
      <c r="I756" s="80"/>
      <c r="J756" s="79" t="s">
        <v>579</v>
      </c>
      <c r="K756" s="78" t="s">
        <v>623</v>
      </c>
      <c r="L756" s="77">
        <v>43169</v>
      </c>
      <c r="M756" s="68"/>
      <c r="N756" s="76" t="s">
        <v>1337</v>
      </c>
      <c r="O756" s="75" t="s">
        <v>1340</v>
      </c>
      <c r="R756" s="74"/>
    </row>
    <row r="757" spans="2:18" ht="36" hidden="1" customHeight="1" x14ac:dyDescent="0.25">
      <c r="B757" s="84">
        <v>1817</v>
      </c>
      <c r="C757" s="83" t="s">
        <v>18</v>
      </c>
      <c r="D757" s="82" t="s">
        <v>1545</v>
      </c>
      <c r="E757" s="81">
        <v>43164</v>
      </c>
      <c r="F757" s="27">
        <f t="shared" ca="1" si="11"/>
        <v>1309</v>
      </c>
      <c r="G757" s="79" t="s">
        <v>1461</v>
      </c>
      <c r="H757" s="80"/>
      <c r="I757" s="80"/>
      <c r="J757" s="79" t="s">
        <v>579</v>
      </c>
      <c r="K757" s="78" t="s">
        <v>623</v>
      </c>
      <c r="L757" s="77">
        <v>43168</v>
      </c>
      <c r="M757" s="68"/>
      <c r="N757" s="76" t="s">
        <v>1546</v>
      </c>
      <c r="O757" s="75" t="s">
        <v>1547</v>
      </c>
      <c r="R757" s="74"/>
    </row>
    <row r="758" spans="2:18" ht="36" hidden="1" customHeight="1" x14ac:dyDescent="0.25">
      <c r="B758" s="84">
        <v>1824</v>
      </c>
      <c r="C758" s="83" t="s">
        <v>16</v>
      </c>
      <c r="D758" s="82" t="s">
        <v>2766</v>
      </c>
      <c r="E758" s="81">
        <v>43164</v>
      </c>
      <c r="F758" s="27">
        <f t="shared" ca="1" si="11"/>
        <v>1309</v>
      </c>
      <c r="G758" s="79" t="s">
        <v>1548</v>
      </c>
      <c r="H758" s="80"/>
      <c r="I758" s="80"/>
      <c r="J758" s="79" t="s">
        <v>579</v>
      </c>
      <c r="K758" s="78" t="s">
        <v>623</v>
      </c>
      <c r="L758" s="77">
        <v>43164</v>
      </c>
      <c r="M758" s="68"/>
      <c r="N758" s="76"/>
      <c r="O758" s="75" t="s">
        <v>2767</v>
      </c>
      <c r="R758" s="74"/>
    </row>
    <row r="759" spans="2:18" ht="36" hidden="1" customHeight="1" x14ac:dyDescent="0.25">
      <c r="B759" s="84">
        <v>1830</v>
      </c>
      <c r="C759" s="83" t="s">
        <v>20</v>
      </c>
      <c r="D759" s="82" t="s">
        <v>3931</v>
      </c>
      <c r="E759" s="81">
        <v>43164</v>
      </c>
      <c r="F759" s="27">
        <f t="shared" ca="1" si="11"/>
        <v>1309</v>
      </c>
      <c r="G759" s="79" t="s">
        <v>578</v>
      </c>
      <c r="H759" s="80"/>
      <c r="I759" s="80"/>
      <c r="J759" s="79" t="s">
        <v>579</v>
      </c>
      <c r="K759" s="78" t="s">
        <v>623</v>
      </c>
      <c r="L759" s="77">
        <v>43169</v>
      </c>
      <c r="M759" s="68"/>
      <c r="N759" s="76"/>
      <c r="O759" s="75" t="s">
        <v>3932</v>
      </c>
      <c r="R759" s="74"/>
    </row>
    <row r="760" spans="2:18" ht="36" hidden="1" customHeight="1" x14ac:dyDescent="0.25">
      <c r="B760" s="84">
        <v>1643</v>
      </c>
      <c r="C760" s="83" t="s">
        <v>40</v>
      </c>
      <c r="D760" s="82" t="s">
        <v>862</v>
      </c>
      <c r="E760" s="81">
        <v>43165</v>
      </c>
      <c r="F760" s="27">
        <f t="shared" ca="1" si="11"/>
        <v>1308</v>
      </c>
      <c r="G760" s="79" t="s">
        <v>578</v>
      </c>
      <c r="H760" s="80"/>
      <c r="I760" s="80"/>
      <c r="J760" s="79" t="s">
        <v>579</v>
      </c>
      <c r="K760" s="78" t="s">
        <v>580</v>
      </c>
      <c r="L760" s="77">
        <v>43166</v>
      </c>
      <c r="M760" s="68"/>
      <c r="N760" s="76"/>
      <c r="O760" s="75" t="s">
        <v>863</v>
      </c>
      <c r="R760" s="74"/>
    </row>
    <row r="761" spans="2:18" ht="36" hidden="1" customHeight="1" x14ac:dyDescent="0.25">
      <c r="B761" s="84">
        <v>1643</v>
      </c>
      <c r="C761" s="83" t="s">
        <v>38</v>
      </c>
      <c r="D761" s="82" t="s">
        <v>864</v>
      </c>
      <c r="E761" s="81">
        <v>43165</v>
      </c>
      <c r="F761" s="27">
        <f t="shared" ca="1" si="11"/>
        <v>1308</v>
      </c>
      <c r="G761" s="79" t="s">
        <v>865</v>
      </c>
      <c r="H761" s="80"/>
      <c r="I761" s="80"/>
      <c r="J761" s="79" t="s">
        <v>579</v>
      </c>
      <c r="K761" s="78" t="s">
        <v>580</v>
      </c>
      <c r="L761" s="77">
        <v>43169</v>
      </c>
      <c r="M761" s="68"/>
      <c r="N761" s="76"/>
      <c r="O761" s="75" t="s">
        <v>866</v>
      </c>
      <c r="R761" s="74"/>
    </row>
    <row r="762" spans="2:18" ht="36" hidden="1" customHeight="1" x14ac:dyDescent="0.25">
      <c r="B762" s="84">
        <v>1643</v>
      </c>
      <c r="C762" s="83" t="s">
        <v>39</v>
      </c>
      <c r="D762" s="82" t="s">
        <v>867</v>
      </c>
      <c r="E762" s="81">
        <v>43165</v>
      </c>
      <c r="F762" s="27">
        <f t="shared" ca="1" si="11"/>
        <v>1308</v>
      </c>
      <c r="G762" s="79" t="s">
        <v>865</v>
      </c>
      <c r="H762" s="80"/>
      <c r="I762" s="80"/>
      <c r="J762" s="79" t="s">
        <v>579</v>
      </c>
      <c r="K762" s="78" t="s">
        <v>580</v>
      </c>
      <c r="L762" s="77">
        <v>43169</v>
      </c>
      <c r="M762" s="68"/>
      <c r="N762" s="76"/>
      <c r="O762" s="75" t="s">
        <v>868</v>
      </c>
      <c r="R762" s="74"/>
    </row>
    <row r="763" spans="2:18" ht="36" hidden="1" customHeight="1" x14ac:dyDescent="0.25">
      <c r="B763" s="84">
        <v>1643</v>
      </c>
      <c r="C763" s="83" t="s">
        <v>40</v>
      </c>
      <c r="D763" s="82" t="s">
        <v>875</v>
      </c>
      <c r="E763" s="81">
        <v>43165</v>
      </c>
      <c r="F763" s="27">
        <f t="shared" ca="1" si="11"/>
        <v>1308</v>
      </c>
      <c r="G763" s="79" t="s">
        <v>578</v>
      </c>
      <c r="H763" s="80"/>
      <c r="I763" s="80"/>
      <c r="J763" s="79" t="s">
        <v>597</v>
      </c>
      <c r="K763" s="78" t="s">
        <v>580</v>
      </c>
      <c r="L763" s="77">
        <v>43203</v>
      </c>
      <c r="M763" s="68"/>
      <c r="N763" s="76"/>
      <c r="O763" s="75" t="s">
        <v>876</v>
      </c>
      <c r="R763" s="74"/>
    </row>
    <row r="764" spans="2:18" ht="36" hidden="1" customHeight="1" x14ac:dyDescent="0.25">
      <c r="B764" s="84">
        <v>1827</v>
      </c>
      <c r="C764" s="83" t="s">
        <v>17</v>
      </c>
      <c r="D764" s="82" t="s">
        <v>3347</v>
      </c>
      <c r="E764" s="81">
        <v>43165</v>
      </c>
      <c r="F764" s="27">
        <f t="shared" ca="1" si="11"/>
        <v>1308</v>
      </c>
      <c r="G764" s="79" t="s">
        <v>764</v>
      </c>
      <c r="H764" s="80"/>
      <c r="I764" s="80"/>
      <c r="J764" s="79" t="s">
        <v>765</v>
      </c>
      <c r="K764" s="78" t="s">
        <v>623</v>
      </c>
      <c r="L764" s="77">
        <v>43185</v>
      </c>
      <c r="M764" s="68"/>
      <c r="N764" s="76" t="s">
        <v>3348</v>
      </c>
      <c r="O764" s="75"/>
      <c r="R764" s="74"/>
    </row>
    <row r="765" spans="2:18" ht="36" hidden="1" customHeight="1" x14ac:dyDescent="0.25">
      <c r="B765" s="84">
        <v>1830</v>
      </c>
      <c r="C765" s="83" t="s">
        <v>31</v>
      </c>
      <c r="D765" s="82" t="s">
        <v>3933</v>
      </c>
      <c r="E765" s="81">
        <v>43165</v>
      </c>
      <c r="F765" s="27">
        <f t="shared" ca="1" si="11"/>
        <v>1308</v>
      </c>
      <c r="G765" s="79" t="s">
        <v>578</v>
      </c>
      <c r="H765" s="80"/>
      <c r="I765" s="80"/>
      <c r="J765" s="79" t="s">
        <v>579</v>
      </c>
      <c r="K765" s="78" t="s">
        <v>623</v>
      </c>
      <c r="L765" s="77">
        <v>43169</v>
      </c>
      <c r="M765" s="68"/>
      <c r="N765" s="76"/>
      <c r="O765" s="75" t="s">
        <v>3934</v>
      </c>
      <c r="R765" s="74"/>
    </row>
    <row r="766" spans="2:18" ht="36" hidden="1" customHeight="1" x14ac:dyDescent="0.25">
      <c r="B766" s="84">
        <v>1830</v>
      </c>
      <c r="C766" s="83" t="s">
        <v>23</v>
      </c>
      <c r="D766" s="82" t="s">
        <v>3935</v>
      </c>
      <c r="E766" s="81">
        <v>43166</v>
      </c>
      <c r="F766" s="27">
        <f t="shared" ca="1" si="11"/>
        <v>1307</v>
      </c>
      <c r="G766" s="79" t="s">
        <v>578</v>
      </c>
      <c r="H766" s="80"/>
      <c r="I766" s="80"/>
      <c r="J766" s="79" t="s">
        <v>579</v>
      </c>
      <c r="K766" s="78" t="s">
        <v>623</v>
      </c>
      <c r="L766" s="77">
        <v>43169</v>
      </c>
      <c r="M766" s="68"/>
      <c r="N766" s="76"/>
      <c r="O766" s="75" t="s">
        <v>3936</v>
      </c>
      <c r="R766" s="74"/>
    </row>
    <row r="767" spans="2:18" ht="36" hidden="1" customHeight="1" x14ac:dyDescent="0.25">
      <c r="B767" s="84">
        <v>1818</v>
      </c>
      <c r="C767" s="83" t="s">
        <v>12</v>
      </c>
      <c r="D767" s="82" t="s">
        <v>1711</v>
      </c>
      <c r="E767" s="81">
        <v>43167</v>
      </c>
      <c r="F767" s="27">
        <f t="shared" ca="1" si="11"/>
        <v>1306</v>
      </c>
      <c r="G767" s="79" t="s">
        <v>1712</v>
      </c>
      <c r="H767" s="80"/>
      <c r="I767" s="80"/>
      <c r="J767" s="79" t="s">
        <v>579</v>
      </c>
      <c r="K767" s="78" t="s">
        <v>623</v>
      </c>
      <c r="L767" s="77">
        <v>43169</v>
      </c>
      <c r="M767" s="68"/>
      <c r="N767" s="76" t="s">
        <v>1337</v>
      </c>
      <c r="O767" s="75" t="s">
        <v>1713</v>
      </c>
      <c r="R767" s="74"/>
    </row>
    <row r="768" spans="2:18" ht="36" hidden="1" customHeight="1" x14ac:dyDescent="0.25">
      <c r="B768" s="84">
        <v>1821</v>
      </c>
      <c r="C768" s="83" t="s">
        <v>18</v>
      </c>
      <c r="D768" s="82" t="s">
        <v>1545</v>
      </c>
      <c r="E768" s="81">
        <v>43167</v>
      </c>
      <c r="F768" s="27">
        <f t="shared" ca="1" si="11"/>
        <v>1306</v>
      </c>
      <c r="G768" s="79" t="s">
        <v>1553</v>
      </c>
      <c r="H768" s="80"/>
      <c r="I768" s="80"/>
      <c r="J768" s="79" t="s">
        <v>765</v>
      </c>
      <c r="K768" s="78" t="s">
        <v>623</v>
      </c>
      <c r="L768" s="77">
        <v>43197</v>
      </c>
      <c r="M768" s="68"/>
      <c r="N768" s="76" t="s">
        <v>2308</v>
      </c>
      <c r="O768" s="75" t="s">
        <v>2309</v>
      </c>
      <c r="R768" s="74"/>
    </row>
    <row r="769" spans="2:18" ht="36" hidden="1" customHeight="1" x14ac:dyDescent="0.25">
      <c r="B769" s="84">
        <v>1829</v>
      </c>
      <c r="C769" s="83" t="s">
        <v>23</v>
      </c>
      <c r="D769" s="82" t="s">
        <v>458</v>
      </c>
      <c r="E769" s="81">
        <v>43167</v>
      </c>
      <c r="F769" s="27">
        <f t="shared" ca="1" si="11"/>
        <v>1306</v>
      </c>
      <c r="G769" s="79" t="s">
        <v>3757</v>
      </c>
      <c r="H769" s="80"/>
      <c r="I769" s="80"/>
      <c r="J769" s="79" t="s">
        <v>579</v>
      </c>
      <c r="K769" s="78" t="s">
        <v>623</v>
      </c>
      <c r="L769" s="77">
        <v>43169</v>
      </c>
      <c r="M769" s="68"/>
      <c r="N769" s="76"/>
      <c r="O769" s="75" t="s">
        <v>3758</v>
      </c>
      <c r="R769" s="74"/>
    </row>
    <row r="770" spans="2:18" ht="36" hidden="1" customHeight="1" x14ac:dyDescent="0.25">
      <c r="B770" s="84">
        <v>1646</v>
      </c>
      <c r="C770" s="83" t="s">
        <v>19</v>
      </c>
      <c r="D770" s="82" t="s">
        <v>1119</v>
      </c>
      <c r="E770" s="81">
        <v>43171</v>
      </c>
      <c r="F770" s="27">
        <f t="shared" ca="1" si="11"/>
        <v>1302</v>
      </c>
      <c r="G770" s="79" t="s">
        <v>764</v>
      </c>
      <c r="H770" s="80"/>
      <c r="I770" s="80"/>
      <c r="J770" s="79" t="s">
        <v>765</v>
      </c>
      <c r="K770" s="78" t="s">
        <v>580</v>
      </c>
      <c r="L770" s="77">
        <v>43185</v>
      </c>
      <c r="M770" s="68"/>
      <c r="N770" s="76"/>
      <c r="O770" s="75"/>
      <c r="R770" s="74"/>
    </row>
    <row r="771" spans="2:18" ht="36" hidden="1" customHeight="1" x14ac:dyDescent="0.25">
      <c r="B771" s="84">
        <v>1646</v>
      </c>
      <c r="C771" s="83" t="s">
        <v>12</v>
      </c>
      <c r="D771" s="82" t="s">
        <v>1120</v>
      </c>
      <c r="E771" s="81">
        <v>43171</v>
      </c>
      <c r="F771" s="27">
        <f t="shared" ca="1" si="11"/>
        <v>1302</v>
      </c>
      <c r="G771" s="79" t="s">
        <v>1044</v>
      </c>
      <c r="H771" s="80"/>
      <c r="I771" s="80"/>
      <c r="J771" s="79" t="s">
        <v>765</v>
      </c>
      <c r="K771" s="78" t="s">
        <v>580</v>
      </c>
      <c r="L771" s="77">
        <v>43188</v>
      </c>
      <c r="M771" s="68"/>
      <c r="N771" s="76"/>
      <c r="O771" s="75" t="s">
        <v>1121</v>
      </c>
      <c r="R771" s="74"/>
    </row>
    <row r="772" spans="2:18" ht="36" hidden="1" customHeight="1" x14ac:dyDescent="0.25">
      <c r="B772" s="84">
        <v>1816</v>
      </c>
      <c r="C772" s="83" t="s">
        <v>16</v>
      </c>
      <c r="D772" s="82" t="s">
        <v>1341</v>
      </c>
      <c r="E772" s="81">
        <v>43171</v>
      </c>
      <c r="F772" s="27">
        <f t="shared" ca="1" si="11"/>
        <v>1302</v>
      </c>
      <c r="G772" s="79"/>
      <c r="H772" s="80"/>
      <c r="I772" s="80"/>
      <c r="J772" s="79" t="s">
        <v>579</v>
      </c>
      <c r="K772" s="78" t="s">
        <v>623</v>
      </c>
      <c r="L772" s="77">
        <v>43169</v>
      </c>
      <c r="M772" s="68"/>
      <c r="N772" s="76"/>
      <c r="O772" s="75" t="s">
        <v>1342</v>
      </c>
      <c r="R772" s="74"/>
    </row>
    <row r="773" spans="2:18" ht="36" hidden="1" customHeight="1" x14ac:dyDescent="0.25">
      <c r="B773" s="84">
        <v>1817</v>
      </c>
      <c r="C773" s="83" t="s">
        <v>18</v>
      </c>
      <c r="D773" s="82" t="s">
        <v>1545</v>
      </c>
      <c r="E773" s="81">
        <v>43171</v>
      </c>
      <c r="F773" s="27">
        <f t="shared" ca="1" si="11"/>
        <v>1302</v>
      </c>
      <c r="G773" s="79" t="s">
        <v>1548</v>
      </c>
      <c r="H773" s="80"/>
      <c r="I773" s="80"/>
      <c r="J773" s="79" t="s">
        <v>579</v>
      </c>
      <c r="K773" s="78" t="s">
        <v>623</v>
      </c>
      <c r="L773" s="77">
        <v>43174</v>
      </c>
      <c r="M773" s="68"/>
      <c r="N773" s="76"/>
      <c r="O773" s="75"/>
      <c r="R773" s="74"/>
    </row>
    <row r="774" spans="2:18" ht="36" hidden="1" customHeight="1" x14ac:dyDescent="0.25">
      <c r="B774" s="84">
        <v>1817</v>
      </c>
      <c r="C774" s="83" t="s">
        <v>23</v>
      </c>
      <c r="D774" s="82" t="s">
        <v>1549</v>
      </c>
      <c r="E774" s="81">
        <v>43171</v>
      </c>
      <c r="F774" s="27">
        <f t="shared" ca="1" si="11"/>
        <v>1302</v>
      </c>
      <c r="G774" s="79" t="s">
        <v>764</v>
      </c>
      <c r="H774" s="80"/>
      <c r="I774" s="80"/>
      <c r="J774" s="79" t="s">
        <v>765</v>
      </c>
      <c r="K774" s="78" t="s">
        <v>623</v>
      </c>
      <c r="L774" s="77">
        <v>43185</v>
      </c>
      <c r="M774" s="68"/>
      <c r="N774" s="76" t="s">
        <v>1550</v>
      </c>
      <c r="O774" s="75"/>
      <c r="R774" s="74"/>
    </row>
    <row r="775" spans="2:18" ht="36" hidden="1" customHeight="1" x14ac:dyDescent="0.25">
      <c r="B775" s="84">
        <v>1822</v>
      </c>
      <c r="C775" s="83" t="s">
        <v>40</v>
      </c>
      <c r="D775" s="82" t="s">
        <v>2425</v>
      </c>
      <c r="E775" s="81">
        <v>43171</v>
      </c>
      <c r="F775" s="27">
        <f t="shared" ca="1" si="11"/>
        <v>1302</v>
      </c>
      <c r="G775" s="79" t="s">
        <v>2426</v>
      </c>
      <c r="H775" s="80"/>
      <c r="I775" s="80"/>
      <c r="J775" s="79" t="s">
        <v>1301</v>
      </c>
      <c r="K775" s="78" t="s">
        <v>1301</v>
      </c>
      <c r="L775" s="77">
        <v>43171</v>
      </c>
      <c r="M775" s="68"/>
      <c r="N775" s="76" t="s">
        <v>2426</v>
      </c>
      <c r="O775" s="75" t="s">
        <v>2427</v>
      </c>
      <c r="R775" s="74"/>
    </row>
    <row r="776" spans="2:18" ht="36" hidden="1" customHeight="1" x14ac:dyDescent="0.25">
      <c r="B776" s="84">
        <v>1822</v>
      </c>
      <c r="C776" s="83" t="s">
        <v>40</v>
      </c>
      <c r="D776" s="82" t="s">
        <v>2428</v>
      </c>
      <c r="E776" s="81">
        <v>43171</v>
      </c>
      <c r="F776" s="27">
        <f t="shared" ca="1" si="11"/>
        <v>1302</v>
      </c>
      <c r="G776" s="79" t="s">
        <v>2426</v>
      </c>
      <c r="H776" s="80"/>
      <c r="I776" s="80"/>
      <c r="J776" s="79" t="s">
        <v>1301</v>
      </c>
      <c r="K776" s="78" t="s">
        <v>1301</v>
      </c>
      <c r="L776" s="77">
        <v>43171</v>
      </c>
      <c r="M776" s="68"/>
      <c r="N776" s="76" t="s">
        <v>2426</v>
      </c>
      <c r="O776" s="75" t="s">
        <v>2427</v>
      </c>
      <c r="R776" s="74"/>
    </row>
    <row r="777" spans="2:18" ht="36" hidden="1" customHeight="1" x14ac:dyDescent="0.25">
      <c r="B777" s="84">
        <v>1822</v>
      </c>
      <c r="C777" s="83" t="s">
        <v>20</v>
      </c>
      <c r="D777" s="82" t="s">
        <v>2429</v>
      </c>
      <c r="E777" s="81">
        <v>43171</v>
      </c>
      <c r="F777" s="27">
        <f t="shared" ca="1" si="11"/>
        <v>1302</v>
      </c>
      <c r="G777" s="79" t="s">
        <v>2426</v>
      </c>
      <c r="H777" s="80"/>
      <c r="I777" s="80"/>
      <c r="J777" s="79" t="s">
        <v>1301</v>
      </c>
      <c r="K777" s="78" t="s">
        <v>1301</v>
      </c>
      <c r="L777" s="77">
        <v>43171</v>
      </c>
      <c r="M777" s="68"/>
      <c r="N777" s="76" t="s">
        <v>2426</v>
      </c>
      <c r="O777" s="75" t="s">
        <v>2427</v>
      </c>
      <c r="R777" s="74"/>
    </row>
    <row r="778" spans="2:18" ht="36" hidden="1" customHeight="1" x14ac:dyDescent="0.25">
      <c r="B778" s="84">
        <v>1822</v>
      </c>
      <c r="C778" s="83" t="s">
        <v>12</v>
      </c>
      <c r="D778" s="82" t="s">
        <v>2430</v>
      </c>
      <c r="E778" s="81">
        <v>43171</v>
      </c>
      <c r="F778" s="27">
        <f t="shared" ca="1" si="11"/>
        <v>1302</v>
      </c>
      <c r="G778" s="79" t="s">
        <v>2426</v>
      </c>
      <c r="H778" s="80"/>
      <c r="I778" s="80"/>
      <c r="J778" s="79" t="s">
        <v>1301</v>
      </c>
      <c r="K778" s="78" t="s">
        <v>1301</v>
      </c>
      <c r="L778" s="77">
        <v>43171</v>
      </c>
      <c r="M778" s="68"/>
      <c r="N778" s="76" t="s">
        <v>2426</v>
      </c>
      <c r="O778" s="75" t="s">
        <v>2427</v>
      </c>
      <c r="R778" s="74"/>
    </row>
    <row r="779" spans="2:18" ht="36" hidden="1" customHeight="1" x14ac:dyDescent="0.25">
      <c r="B779" s="84">
        <v>1822</v>
      </c>
      <c r="C779" s="83" t="s">
        <v>40</v>
      </c>
      <c r="D779" s="82" t="s">
        <v>2431</v>
      </c>
      <c r="E779" s="81">
        <v>43171</v>
      </c>
      <c r="F779" s="27">
        <f t="shared" ca="1" si="11"/>
        <v>1302</v>
      </c>
      <c r="G779" s="79" t="s">
        <v>2426</v>
      </c>
      <c r="H779" s="80"/>
      <c r="I779" s="80"/>
      <c r="J779" s="79" t="s">
        <v>1301</v>
      </c>
      <c r="K779" s="78" t="s">
        <v>1301</v>
      </c>
      <c r="L779" s="77">
        <v>43171</v>
      </c>
      <c r="M779" s="68"/>
      <c r="N779" s="76" t="s">
        <v>2426</v>
      </c>
      <c r="O779" s="75" t="s">
        <v>2427</v>
      </c>
      <c r="R779" s="74"/>
    </row>
    <row r="780" spans="2:18" ht="36" hidden="1" customHeight="1" x14ac:dyDescent="0.25">
      <c r="B780" s="84">
        <v>1823</v>
      </c>
      <c r="C780" s="83" t="s">
        <v>23</v>
      </c>
      <c r="D780" s="82" t="s">
        <v>2120</v>
      </c>
      <c r="E780" s="81">
        <v>43171</v>
      </c>
      <c r="F780" s="27">
        <f t="shared" ca="1" si="11"/>
        <v>1302</v>
      </c>
      <c r="G780" s="79" t="s">
        <v>764</v>
      </c>
      <c r="H780" s="80"/>
      <c r="I780" s="80"/>
      <c r="J780" s="79" t="s">
        <v>765</v>
      </c>
      <c r="K780" s="78" t="s">
        <v>623</v>
      </c>
      <c r="L780" s="77">
        <v>43185</v>
      </c>
      <c r="M780" s="68"/>
      <c r="N780" s="76" t="s">
        <v>2578</v>
      </c>
      <c r="O780" s="75"/>
      <c r="R780" s="74"/>
    </row>
    <row r="781" spans="2:18" ht="36" hidden="1" customHeight="1" x14ac:dyDescent="0.25">
      <c r="B781" s="84">
        <v>1827</v>
      </c>
      <c r="C781" s="83" t="s">
        <v>37</v>
      </c>
      <c r="D781" s="82" t="s">
        <v>3345</v>
      </c>
      <c r="E781" s="81">
        <v>43171</v>
      </c>
      <c r="F781" s="27">
        <f t="shared" ca="1" si="11"/>
        <v>1302</v>
      </c>
      <c r="G781" s="79" t="s">
        <v>1074</v>
      </c>
      <c r="H781" s="80"/>
      <c r="I781" s="80"/>
      <c r="J781" s="79" t="s">
        <v>765</v>
      </c>
      <c r="K781" s="78" t="s">
        <v>623</v>
      </c>
      <c r="L781" s="77">
        <v>43178</v>
      </c>
      <c r="M781" s="68"/>
      <c r="N781" s="76" t="s">
        <v>3346</v>
      </c>
      <c r="O781" s="75"/>
      <c r="R781" s="74"/>
    </row>
    <row r="782" spans="2:18" ht="36" hidden="1" customHeight="1" x14ac:dyDescent="0.25">
      <c r="B782" s="84">
        <v>1824</v>
      </c>
      <c r="C782" s="83" t="s">
        <v>11</v>
      </c>
      <c r="D782" s="82" t="s">
        <v>2772</v>
      </c>
      <c r="E782" s="81">
        <v>43172</v>
      </c>
      <c r="F782" s="27">
        <f t="shared" ca="1" si="11"/>
        <v>1301</v>
      </c>
      <c r="G782" s="79" t="s">
        <v>1553</v>
      </c>
      <c r="H782" s="80"/>
      <c r="I782" s="80"/>
      <c r="J782" s="79" t="s">
        <v>765</v>
      </c>
      <c r="K782" s="78" t="s">
        <v>623</v>
      </c>
      <c r="L782" s="77">
        <v>43197</v>
      </c>
      <c r="M782" s="68"/>
      <c r="N782" s="76"/>
      <c r="O782" s="75" t="s">
        <v>2773</v>
      </c>
      <c r="R782" s="74"/>
    </row>
    <row r="783" spans="2:18" ht="36" hidden="1" customHeight="1" x14ac:dyDescent="0.25">
      <c r="B783" s="84">
        <v>1829</v>
      </c>
      <c r="C783" s="83" t="s">
        <v>16</v>
      </c>
      <c r="D783" s="82" t="s">
        <v>3759</v>
      </c>
      <c r="E783" s="81">
        <v>43173</v>
      </c>
      <c r="F783" s="27">
        <f t="shared" ca="1" si="11"/>
        <v>1300</v>
      </c>
      <c r="G783" s="79" t="s">
        <v>3757</v>
      </c>
      <c r="H783" s="80"/>
      <c r="I783" s="80"/>
      <c r="J783" s="79" t="s">
        <v>579</v>
      </c>
      <c r="K783" s="78" t="s">
        <v>623</v>
      </c>
      <c r="L783" s="77">
        <v>43173</v>
      </c>
      <c r="M783" s="68"/>
      <c r="N783" s="76"/>
      <c r="O783" s="75" t="s">
        <v>3760</v>
      </c>
      <c r="R783" s="74"/>
    </row>
    <row r="784" spans="2:18" ht="36" hidden="1" customHeight="1" x14ac:dyDescent="0.25">
      <c r="B784" s="84">
        <v>1829</v>
      </c>
      <c r="C784" s="83" t="s">
        <v>11</v>
      </c>
      <c r="D784" s="82" t="s">
        <v>3761</v>
      </c>
      <c r="E784" s="81">
        <v>43173</v>
      </c>
      <c r="F784" s="27">
        <f t="shared" ref="F784:F847" ca="1" si="12">IF(E784&lt;&gt;"",TODAY()-E784,"")</f>
        <v>1300</v>
      </c>
      <c r="G784" s="79" t="s">
        <v>3757</v>
      </c>
      <c r="H784" s="80"/>
      <c r="I784" s="80"/>
      <c r="J784" s="79" t="s">
        <v>579</v>
      </c>
      <c r="K784" s="78" t="s">
        <v>623</v>
      </c>
      <c r="L784" s="77">
        <v>43173</v>
      </c>
      <c r="M784" s="68"/>
      <c r="N784" s="76"/>
      <c r="O784" s="75" t="s">
        <v>3762</v>
      </c>
      <c r="R784" s="74"/>
    </row>
    <row r="785" spans="2:18" ht="36" hidden="1" customHeight="1" x14ac:dyDescent="0.25">
      <c r="B785" s="84">
        <v>1820</v>
      </c>
      <c r="C785" s="83" t="s">
        <v>23</v>
      </c>
      <c r="D785" s="82" t="s">
        <v>2115</v>
      </c>
      <c r="E785" s="81">
        <v>43174</v>
      </c>
      <c r="F785" s="27">
        <f t="shared" ca="1" si="12"/>
        <v>1299</v>
      </c>
      <c r="G785" s="79" t="s">
        <v>764</v>
      </c>
      <c r="H785" s="80"/>
      <c r="I785" s="80"/>
      <c r="J785" s="79" t="s">
        <v>765</v>
      </c>
      <c r="K785" s="78" t="s">
        <v>623</v>
      </c>
      <c r="L785" s="77">
        <v>43185</v>
      </c>
      <c r="M785" s="68"/>
      <c r="N785" s="76" t="s">
        <v>2116</v>
      </c>
      <c r="O785" s="75"/>
      <c r="R785" s="74"/>
    </row>
    <row r="786" spans="2:18" ht="36" hidden="1" customHeight="1" x14ac:dyDescent="0.25">
      <c r="B786" s="84">
        <v>1823</v>
      </c>
      <c r="C786" s="83" t="s">
        <v>11</v>
      </c>
      <c r="D786" s="82" t="s">
        <v>2579</v>
      </c>
      <c r="E786" s="81">
        <v>43174</v>
      </c>
      <c r="F786" s="27">
        <f t="shared" ca="1" si="12"/>
        <v>1299</v>
      </c>
      <c r="G786" s="79" t="s">
        <v>764</v>
      </c>
      <c r="H786" s="80"/>
      <c r="I786" s="80"/>
      <c r="J786" s="79" t="s">
        <v>765</v>
      </c>
      <c r="K786" s="78" t="s">
        <v>623</v>
      </c>
      <c r="L786" s="77">
        <v>43185</v>
      </c>
      <c r="M786" s="68"/>
      <c r="N786" s="76" t="s">
        <v>2580</v>
      </c>
      <c r="O786" s="75"/>
      <c r="R786" s="74"/>
    </row>
    <row r="787" spans="2:18" ht="36" hidden="1" customHeight="1" x14ac:dyDescent="0.25">
      <c r="B787" s="84">
        <v>1643</v>
      </c>
      <c r="C787" s="83" t="s">
        <v>17</v>
      </c>
      <c r="D787" s="82" t="s">
        <v>869</v>
      </c>
      <c r="E787" s="81">
        <v>43175</v>
      </c>
      <c r="F787" s="27">
        <f t="shared" ca="1" si="12"/>
        <v>1298</v>
      </c>
      <c r="G787" s="79" t="s">
        <v>764</v>
      </c>
      <c r="H787" s="80"/>
      <c r="I787" s="80"/>
      <c r="J787" s="79" t="s">
        <v>765</v>
      </c>
      <c r="K787" s="78" t="s">
        <v>580</v>
      </c>
      <c r="L787" s="77">
        <v>43186</v>
      </c>
      <c r="M787" s="68"/>
      <c r="N787" s="76" t="s">
        <v>870</v>
      </c>
      <c r="O787" s="75"/>
      <c r="R787" s="74"/>
    </row>
    <row r="788" spans="2:18" ht="36" hidden="1" customHeight="1" x14ac:dyDescent="0.25">
      <c r="B788" s="84">
        <v>1643</v>
      </c>
      <c r="C788" s="83" t="s">
        <v>40</v>
      </c>
      <c r="D788" s="82" t="s">
        <v>871</v>
      </c>
      <c r="E788" s="81">
        <v>43175</v>
      </c>
      <c r="F788" s="27">
        <f t="shared" ca="1" si="12"/>
        <v>1298</v>
      </c>
      <c r="G788" s="79" t="s">
        <v>764</v>
      </c>
      <c r="H788" s="80"/>
      <c r="I788" s="80"/>
      <c r="J788" s="79" t="s">
        <v>765</v>
      </c>
      <c r="K788" s="78" t="s">
        <v>580</v>
      </c>
      <c r="L788" s="77">
        <v>43186</v>
      </c>
      <c r="M788" s="68"/>
      <c r="N788" s="76" t="s">
        <v>872</v>
      </c>
      <c r="O788" s="75"/>
      <c r="R788" s="74"/>
    </row>
    <row r="789" spans="2:18" ht="36" hidden="1" customHeight="1" x14ac:dyDescent="0.25">
      <c r="B789" s="84">
        <v>1643</v>
      </c>
      <c r="C789" s="83" t="s">
        <v>40</v>
      </c>
      <c r="D789" s="82" t="s">
        <v>873</v>
      </c>
      <c r="E789" s="81">
        <v>43175</v>
      </c>
      <c r="F789" s="27">
        <f t="shared" ca="1" si="12"/>
        <v>1298</v>
      </c>
      <c r="G789" s="79" t="s">
        <v>764</v>
      </c>
      <c r="H789" s="80"/>
      <c r="I789" s="80"/>
      <c r="J789" s="79" t="s">
        <v>765</v>
      </c>
      <c r="K789" s="78" t="s">
        <v>580</v>
      </c>
      <c r="L789" s="77">
        <v>43186</v>
      </c>
      <c r="M789" s="68"/>
      <c r="N789" s="76" t="s">
        <v>874</v>
      </c>
      <c r="O789" s="75"/>
      <c r="R789" s="74"/>
    </row>
    <row r="790" spans="2:18" ht="36" hidden="1" customHeight="1" x14ac:dyDescent="0.25">
      <c r="B790" s="84">
        <v>1822</v>
      </c>
      <c r="C790" s="83" t="s">
        <v>40</v>
      </c>
      <c r="D790" s="82" t="s">
        <v>2432</v>
      </c>
      <c r="E790" s="81">
        <v>43175</v>
      </c>
      <c r="F790" s="27">
        <f t="shared" ca="1" si="12"/>
        <v>1298</v>
      </c>
      <c r="G790" s="79" t="s">
        <v>764</v>
      </c>
      <c r="H790" s="80"/>
      <c r="I790" s="80"/>
      <c r="J790" s="79" t="s">
        <v>765</v>
      </c>
      <c r="K790" s="78" t="s">
        <v>623</v>
      </c>
      <c r="L790" s="77">
        <v>43185</v>
      </c>
      <c r="M790" s="68"/>
      <c r="N790" s="76" t="s">
        <v>2433</v>
      </c>
      <c r="O790" s="75"/>
      <c r="R790" s="74"/>
    </row>
    <row r="791" spans="2:18" ht="36" hidden="1" customHeight="1" x14ac:dyDescent="0.25">
      <c r="B791" s="84">
        <v>1823</v>
      </c>
      <c r="C791" s="83" t="s">
        <v>23</v>
      </c>
      <c r="D791" s="82" t="s">
        <v>2581</v>
      </c>
      <c r="E791" s="81">
        <v>43179</v>
      </c>
      <c r="F791" s="27">
        <f t="shared" ca="1" si="12"/>
        <v>1294</v>
      </c>
      <c r="G791" s="79" t="s">
        <v>764</v>
      </c>
      <c r="H791" s="80"/>
      <c r="I791" s="80"/>
      <c r="J791" s="79" t="s">
        <v>765</v>
      </c>
      <c r="K791" s="78" t="s">
        <v>623</v>
      </c>
      <c r="L791" s="77">
        <v>43185</v>
      </c>
      <c r="M791" s="68"/>
      <c r="N791" s="76" t="s">
        <v>2582</v>
      </c>
      <c r="O791" s="75"/>
      <c r="R791" s="74"/>
    </row>
    <row r="792" spans="2:18" ht="36" hidden="1" customHeight="1" x14ac:dyDescent="0.25">
      <c r="B792" s="84">
        <v>1642</v>
      </c>
      <c r="C792" s="83" t="s">
        <v>40</v>
      </c>
      <c r="D792" s="82" t="s">
        <v>777</v>
      </c>
      <c r="E792" s="81">
        <v>43180</v>
      </c>
      <c r="F792" s="27">
        <f t="shared" ca="1" si="12"/>
        <v>1293</v>
      </c>
      <c r="G792" s="79" t="s">
        <v>764</v>
      </c>
      <c r="H792" s="80"/>
      <c r="I792" s="80"/>
      <c r="J792" s="79" t="s">
        <v>765</v>
      </c>
      <c r="K792" s="78" t="s">
        <v>580</v>
      </c>
      <c r="L792" s="77">
        <v>43186</v>
      </c>
      <c r="M792" s="68"/>
      <c r="N792" s="76" t="s">
        <v>778</v>
      </c>
      <c r="O792" s="75" t="s">
        <v>779</v>
      </c>
      <c r="R792" s="74"/>
    </row>
    <row r="793" spans="2:18" ht="36" hidden="1" customHeight="1" x14ac:dyDescent="0.25">
      <c r="B793" s="84">
        <v>1642</v>
      </c>
      <c r="C793" s="83" t="s">
        <v>8</v>
      </c>
      <c r="D793" s="82" t="s">
        <v>780</v>
      </c>
      <c r="E793" s="81">
        <v>43180</v>
      </c>
      <c r="F793" s="27">
        <f t="shared" ca="1" si="12"/>
        <v>1293</v>
      </c>
      <c r="G793" s="79" t="s">
        <v>764</v>
      </c>
      <c r="H793" s="80"/>
      <c r="I793" s="80"/>
      <c r="J793" s="79" t="s">
        <v>765</v>
      </c>
      <c r="K793" s="78" t="s">
        <v>580</v>
      </c>
      <c r="L793" s="77">
        <v>43186</v>
      </c>
      <c r="M793" s="68"/>
      <c r="N793" s="76" t="s">
        <v>781</v>
      </c>
      <c r="O793" s="75"/>
      <c r="R793" s="74"/>
    </row>
    <row r="794" spans="2:18" ht="36" hidden="1" customHeight="1" x14ac:dyDescent="0.25">
      <c r="B794" s="84">
        <v>1828</v>
      </c>
      <c r="C794" s="83" t="s">
        <v>27</v>
      </c>
      <c r="D794" s="82" t="s">
        <v>3538</v>
      </c>
      <c r="E794" s="81">
        <v>43180</v>
      </c>
      <c r="F794" s="27">
        <f t="shared" ca="1" si="12"/>
        <v>1293</v>
      </c>
      <c r="G794" s="79" t="s">
        <v>764</v>
      </c>
      <c r="H794" s="80"/>
      <c r="I794" s="80"/>
      <c r="J794" s="79" t="s">
        <v>765</v>
      </c>
      <c r="K794" s="78" t="s">
        <v>623</v>
      </c>
      <c r="L794" s="77">
        <v>43181</v>
      </c>
      <c r="M794" s="68"/>
      <c r="N794" s="76"/>
      <c r="O794" s="75" t="s">
        <v>3539</v>
      </c>
      <c r="R794" s="74"/>
    </row>
    <row r="795" spans="2:18" ht="36" hidden="1" customHeight="1" x14ac:dyDescent="0.25">
      <c r="B795" s="84">
        <v>1816</v>
      </c>
      <c r="C795" s="83" t="s">
        <v>23</v>
      </c>
      <c r="D795" s="82" t="s">
        <v>1343</v>
      </c>
      <c r="E795" s="81">
        <v>43182</v>
      </c>
      <c r="F795" s="27">
        <f t="shared" ca="1" si="12"/>
        <v>1291</v>
      </c>
      <c r="G795" s="79" t="s">
        <v>764</v>
      </c>
      <c r="H795" s="80"/>
      <c r="I795" s="80"/>
      <c r="J795" s="79" t="s">
        <v>765</v>
      </c>
      <c r="K795" s="78" t="s">
        <v>623</v>
      </c>
      <c r="L795" s="77">
        <v>43185</v>
      </c>
      <c r="M795" s="68"/>
      <c r="N795" s="76" t="s">
        <v>1344</v>
      </c>
      <c r="O795" s="75"/>
      <c r="R795" s="74"/>
    </row>
    <row r="796" spans="2:18" ht="36" hidden="1" customHeight="1" x14ac:dyDescent="0.25">
      <c r="B796" s="84">
        <v>1816</v>
      </c>
      <c r="C796" s="83" t="s">
        <v>40</v>
      </c>
      <c r="D796" s="82" t="s">
        <v>1345</v>
      </c>
      <c r="E796" s="81">
        <v>43182</v>
      </c>
      <c r="F796" s="27">
        <f t="shared" ca="1" si="12"/>
        <v>1291</v>
      </c>
      <c r="G796" s="79" t="s">
        <v>1325</v>
      </c>
      <c r="H796" s="80"/>
      <c r="I796" s="80"/>
      <c r="J796" s="79" t="s">
        <v>597</v>
      </c>
      <c r="K796" s="78" t="s">
        <v>623</v>
      </c>
      <c r="L796" s="77">
        <v>43231</v>
      </c>
      <c r="M796" s="68"/>
      <c r="N796" s="76" t="s">
        <v>1346</v>
      </c>
      <c r="O796" s="75" t="s">
        <v>1347</v>
      </c>
      <c r="R796" s="74"/>
    </row>
    <row r="797" spans="2:18" ht="36" hidden="1" customHeight="1" x14ac:dyDescent="0.25">
      <c r="B797" s="84">
        <v>1817</v>
      </c>
      <c r="C797" s="83" t="s">
        <v>23</v>
      </c>
      <c r="D797" s="82" t="s">
        <v>1551</v>
      </c>
      <c r="E797" s="81">
        <v>43182</v>
      </c>
      <c r="F797" s="27">
        <f t="shared" ca="1" si="12"/>
        <v>1291</v>
      </c>
      <c r="G797" s="79" t="s">
        <v>764</v>
      </c>
      <c r="H797" s="80"/>
      <c r="I797" s="80"/>
      <c r="J797" s="79" t="s">
        <v>765</v>
      </c>
      <c r="K797" s="78" t="s">
        <v>623</v>
      </c>
      <c r="L797" s="77">
        <v>43185</v>
      </c>
      <c r="M797" s="68"/>
      <c r="N797" s="76" t="s">
        <v>1550</v>
      </c>
      <c r="O797" s="75"/>
      <c r="R797" s="74"/>
    </row>
    <row r="798" spans="2:18" ht="36" hidden="1" customHeight="1" x14ac:dyDescent="0.25">
      <c r="B798" s="84">
        <v>1819</v>
      </c>
      <c r="C798" s="83" t="s">
        <v>12</v>
      </c>
      <c r="D798" s="82" t="s">
        <v>1914</v>
      </c>
      <c r="E798" s="81">
        <v>43182</v>
      </c>
      <c r="F798" s="27">
        <f t="shared" ca="1" si="12"/>
        <v>1291</v>
      </c>
      <c r="G798" s="79" t="s">
        <v>764</v>
      </c>
      <c r="H798" s="80"/>
      <c r="I798" s="80"/>
      <c r="J798" s="79" t="s">
        <v>765</v>
      </c>
      <c r="K798" s="78" t="s">
        <v>623</v>
      </c>
      <c r="L798" s="77">
        <v>43185</v>
      </c>
      <c r="M798" s="68"/>
      <c r="N798" s="76" t="s">
        <v>1915</v>
      </c>
      <c r="O798" s="75"/>
      <c r="R798" s="74"/>
    </row>
    <row r="799" spans="2:18" ht="36" hidden="1" customHeight="1" x14ac:dyDescent="0.25">
      <c r="B799" s="84">
        <v>1819</v>
      </c>
      <c r="C799" s="83" t="s">
        <v>12</v>
      </c>
      <c r="D799" s="82" t="s">
        <v>1916</v>
      </c>
      <c r="E799" s="81">
        <v>43182</v>
      </c>
      <c r="F799" s="27">
        <f t="shared" ca="1" si="12"/>
        <v>1291</v>
      </c>
      <c r="G799" s="79" t="s">
        <v>764</v>
      </c>
      <c r="H799" s="80"/>
      <c r="I799" s="80"/>
      <c r="J799" s="79" t="s">
        <v>765</v>
      </c>
      <c r="K799" s="78" t="s">
        <v>623</v>
      </c>
      <c r="L799" s="77">
        <v>43185</v>
      </c>
      <c r="M799" s="68"/>
      <c r="N799" s="76" t="s">
        <v>1915</v>
      </c>
      <c r="O799" s="75"/>
      <c r="R799" s="74"/>
    </row>
    <row r="800" spans="2:18" ht="36" hidden="1" customHeight="1" x14ac:dyDescent="0.25">
      <c r="B800" s="84">
        <v>1818</v>
      </c>
      <c r="C800" s="83" t="s">
        <v>15</v>
      </c>
      <c r="D800" s="82" t="s">
        <v>1714</v>
      </c>
      <c r="E800" s="81">
        <v>43185</v>
      </c>
      <c r="F800" s="27">
        <f t="shared" ca="1" si="12"/>
        <v>1288</v>
      </c>
      <c r="G800" s="79" t="s">
        <v>764</v>
      </c>
      <c r="H800" s="80"/>
      <c r="I800" s="80"/>
      <c r="J800" s="79" t="s">
        <v>765</v>
      </c>
      <c r="K800" s="78" t="s">
        <v>623</v>
      </c>
      <c r="L800" s="77">
        <v>43185</v>
      </c>
      <c r="M800" s="68"/>
      <c r="N800" s="76"/>
      <c r="O800" s="75"/>
      <c r="R800" s="74"/>
    </row>
    <row r="801" spans="2:18" ht="36" hidden="1" customHeight="1" x14ac:dyDescent="0.25">
      <c r="B801" s="84">
        <v>1818</v>
      </c>
      <c r="C801" s="83" t="s">
        <v>22</v>
      </c>
      <c r="D801" s="82" t="s">
        <v>1715</v>
      </c>
      <c r="E801" s="81">
        <v>43185</v>
      </c>
      <c r="F801" s="27">
        <f t="shared" ca="1" si="12"/>
        <v>1288</v>
      </c>
      <c r="G801" s="79" t="s">
        <v>764</v>
      </c>
      <c r="H801" s="80"/>
      <c r="I801" s="80"/>
      <c r="J801" s="79" t="s">
        <v>765</v>
      </c>
      <c r="K801" s="78" t="s">
        <v>623</v>
      </c>
      <c r="L801" s="77">
        <v>43185</v>
      </c>
      <c r="M801" s="68"/>
      <c r="N801" s="76"/>
      <c r="O801" s="75"/>
      <c r="R801" s="74"/>
    </row>
    <row r="802" spans="2:18" ht="36" hidden="1" customHeight="1" x14ac:dyDescent="0.25">
      <c r="B802" s="84">
        <v>1819</v>
      </c>
      <c r="C802" s="83" t="s">
        <v>23</v>
      </c>
      <c r="D802" s="82" t="s">
        <v>1917</v>
      </c>
      <c r="E802" s="81">
        <v>43186</v>
      </c>
      <c r="F802" s="27">
        <f t="shared" ca="1" si="12"/>
        <v>1287</v>
      </c>
      <c r="G802" s="79" t="s">
        <v>1553</v>
      </c>
      <c r="H802" s="80"/>
      <c r="I802" s="80"/>
      <c r="J802" s="79" t="s">
        <v>765</v>
      </c>
      <c r="K802" s="78" t="s">
        <v>623</v>
      </c>
      <c r="L802" s="77">
        <v>43197</v>
      </c>
      <c r="M802" s="68"/>
      <c r="N802" s="76"/>
      <c r="O802" s="75" t="s">
        <v>1918</v>
      </c>
      <c r="R802" s="74"/>
    </row>
    <row r="803" spans="2:18" ht="36" hidden="1" customHeight="1" x14ac:dyDescent="0.25">
      <c r="B803" s="84">
        <v>1820</v>
      </c>
      <c r="C803" s="83" t="s">
        <v>23</v>
      </c>
      <c r="D803" s="82" t="s">
        <v>2120</v>
      </c>
      <c r="E803" s="81">
        <v>43186</v>
      </c>
      <c r="F803" s="27">
        <f t="shared" ca="1" si="12"/>
        <v>1287</v>
      </c>
      <c r="G803" s="79" t="s">
        <v>1553</v>
      </c>
      <c r="H803" s="80"/>
      <c r="I803" s="80"/>
      <c r="J803" s="79" t="s">
        <v>765</v>
      </c>
      <c r="K803" s="78" t="s">
        <v>623</v>
      </c>
      <c r="L803" s="77">
        <v>43197</v>
      </c>
      <c r="M803" s="68"/>
      <c r="N803" s="76"/>
      <c r="O803" s="75" t="s">
        <v>2121</v>
      </c>
      <c r="R803" s="74"/>
    </row>
    <row r="804" spans="2:18" ht="36" hidden="1" customHeight="1" x14ac:dyDescent="0.25">
      <c r="B804" s="84">
        <v>1824</v>
      </c>
      <c r="C804" s="83" t="s">
        <v>23</v>
      </c>
      <c r="D804" s="82" t="s">
        <v>2259</v>
      </c>
      <c r="E804" s="81">
        <v>43186</v>
      </c>
      <c r="F804" s="27">
        <f t="shared" ca="1" si="12"/>
        <v>1287</v>
      </c>
      <c r="G804" s="79" t="s">
        <v>1074</v>
      </c>
      <c r="H804" s="80"/>
      <c r="I804" s="80"/>
      <c r="J804" s="79" t="s">
        <v>1301</v>
      </c>
      <c r="K804" s="78" t="s">
        <v>1301</v>
      </c>
      <c r="L804" s="77">
        <v>43194</v>
      </c>
      <c r="M804" s="68"/>
      <c r="N804" s="76" t="s">
        <v>2771</v>
      </c>
      <c r="O804" s="75" t="s">
        <v>2354</v>
      </c>
      <c r="R804" s="74"/>
    </row>
    <row r="805" spans="2:18" ht="36" hidden="1" customHeight="1" x14ac:dyDescent="0.25">
      <c r="B805" s="84">
        <v>1825</v>
      </c>
      <c r="C805" s="83" t="s">
        <v>23</v>
      </c>
      <c r="D805" s="82" t="s">
        <v>3033</v>
      </c>
      <c r="E805" s="81">
        <v>43186</v>
      </c>
      <c r="F805" s="27">
        <f t="shared" ca="1" si="12"/>
        <v>1287</v>
      </c>
      <c r="G805" s="79" t="s">
        <v>1553</v>
      </c>
      <c r="H805" s="80"/>
      <c r="I805" s="80"/>
      <c r="J805" s="79" t="s">
        <v>765</v>
      </c>
      <c r="K805" s="78" t="s">
        <v>623</v>
      </c>
      <c r="L805" s="77">
        <v>43197</v>
      </c>
      <c r="M805" s="68"/>
      <c r="N805" s="76"/>
      <c r="O805" s="75" t="s">
        <v>3034</v>
      </c>
      <c r="R805" s="74"/>
    </row>
    <row r="806" spans="2:18" ht="36" hidden="1" customHeight="1" x14ac:dyDescent="0.25">
      <c r="B806" s="84">
        <v>1825</v>
      </c>
      <c r="C806" s="83" t="s">
        <v>23</v>
      </c>
      <c r="D806" s="82" t="s">
        <v>1269</v>
      </c>
      <c r="E806" s="81">
        <v>43186</v>
      </c>
      <c r="F806" s="27">
        <f t="shared" ca="1" si="12"/>
        <v>1287</v>
      </c>
      <c r="G806" s="79" t="s">
        <v>1553</v>
      </c>
      <c r="H806" s="80"/>
      <c r="I806" s="80"/>
      <c r="J806" s="79" t="s">
        <v>765</v>
      </c>
      <c r="K806" s="78" t="s">
        <v>623</v>
      </c>
      <c r="L806" s="77">
        <v>43197</v>
      </c>
      <c r="M806" s="68"/>
      <c r="N806" s="76"/>
      <c r="O806" s="75" t="s">
        <v>1348</v>
      </c>
      <c r="R806" s="74"/>
    </row>
    <row r="807" spans="2:18" ht="36" hidden="1" customHeight="1" x14ac:dyDescent="0.25">
      <c r="B807" s="84">
        <v>1641</v>
      </c>
      <c r="C807" s="83" t="s">
        <v>40</v>
      </c>
      <c r="D807" s="82" t="s">
        <v>636</v>
      </c>
      <c r="E807" s="81">
        <v>43188</v>
      </c>
      <c r="F807" s="27">
        <f t="shared" ca="1" si="12"/>
        <v>1285</v>
      </c>
      <c r="G807" s="79" t="s">
        <v>634</v>
      </c>
      <c r="H807" s="80"/>
      <c r="I807" s="80"/>
      <c r="J807" s="79" t="s">
        <v>597</v>
      </c>
      <c r="K807" s="78" t="s">
        <v>580</v>
      </c>
      <c r="L807" s="77">
        <v>43202</v>
      </c>
      <c r="M807" s="68"/>
      <c r="N807" s="76"/>
      <c r="O807" s="75" t="s">
        <v>637</v>
      </c>
      <c r="R807" s="74"/>
    </row>
    <row r="808" spans="2:18" ht="36" hidden="1" customHeight="1" x14ac:dyDescent="0.25">
      <c r="B808" s="84">
        <v>1818</v>
      </c>
      <c r="C808" s="83" t="s">
        <v>29</v>
      </c>
      <c r="D808" s="82" t="s">
        <v>1716</v>
      </c>
      <c r="E808" s="81">
        <v>43189</v>
      </c>
      <c r="F808" s="27">
        <f t="shared" ca="1" si="12"/>
        <v>1284</v>
      </c>
      <c r="G808" s="79" t="s">
        <v>1553</v>
      </c>
      <c r="H808" s="80"/>
      <c r="I808" s="80"/>
      <c r="J808" s="79" t="s">
        <v>765</v>
      </c>
      <c r="K808" s="78" t="s">
        <v>623</v>
      </c>
      <c r="L808" s="77">
        <v>43197</v>
      </c>
      <c r="M808" s="68"/>
      <c r="N808" s="76"/>
      <c r="O808" s="75" t="s">
        <v>1717</v>
      </c>
      <c r="R808" s="74"/>
    </row>
    <row r="809" spans="2:18" ht="36" hidden="1" customHeight="1" x14ac:dyDescent="0.25">
      <c r="B809" s="84">
        <v>1820</v>
      </c>
      <c r="C809" s="83" t="s">
        <v>23</v>
      </c>
      <c r="D809" s="82" t="s">
        <v>2117</v>
      </c>
      <c r="E809" s="81">
        <v>43189</v>
      </c>
      <c r="F809" s="27">
        <f t="shared" ca="1" si="12"/>
        <v>1284</v>
      </c>
      <c r="G809" s="79" t="s">
        <v>2118</v>
      </c>
      <c r="H809" s="80"/>
      <c r="I809" s="80"/>
      <c r="J809" s="79" t="s">
        <v>579</v>
      </c>
      <c r="K809" s="78" t="s">
        <v>623</v>
      </c>
      <c r="L809" s="77">
        <v>43188</v>
      </c>
      <c r="M809" s="68"/>
      <c r="N809" s="76"/>
      <c r="O809" s="75" t="s">
        <v>2119</v>
      </c>
      <c r="R809" s="74"/>
    </row>
    <row r="810" spans="2:18" ht="36" hidden="1" customHeight="1" x14ac:dyDescent="0.25">
      <c r="B810" s="84">
        <v>1823</v>
      </c>
      <c r="C810" s="83" t="s">
        <v>23</v>
      </c>
      <c r="D810" s="82" t="s">
        <v>1271</v>
      </c>
      <c r="E810" s="81">
        <v>43189</v>
      </c>
      <c r="F810" s="27">
        <f t="shared" ca="1" si="12"/>
        <v>1284</v>
      </c>
      <c r="G810" s="79" t="s">
        <v>2584</v>
      </c>
      <c r="H810" s="80"/>
      <c r="I810" s="80"/>
      <c r="J810" s="79" t="s">
        <v>579</v>
      </c>
      <c r="K810" s="78" t="s">
        <v>623</v>
      </c>
      <c r="L810" s="77">
        <v>43192</v>
      </c>
      <c r="M810" s="68"/>
      <c r="N810" s="76"/>
      <c r="O810" s="75" t="s">
        <v>2586</v>
      </c>
      <c r="R810" s="74"/>
    </row>
    <row r="811" spans="2:18" ht="36" hidden="1" customHeight="1" x14ac:dyDescent="0.25">
      <c r="B811" s="84">
        <v>1823</v>
      </c>
      <c r="C811" s="83" t="s">
        <v>11</v>
      </c>
      <c r="D811" s="82" t="s">
        <v>2587</v>
      </c>
      <c r="E811" s="81">
        <v>43189</v>
      </c>
      <c r="F811" s="27">
        <f t="shared" ca="1" si="12"/>
        <v>1284</v>
      </c>
      <c r="G811" s="79" t="s">
        <v>2584</v>
      </c>
      <c r="H811" s="80"/>
      <c r="I811" s="80"/>
      <c r="J811" s="79" t="s">
        <v>579</v>
      </c>
      <c r="K811" s="78" t="s">
        <v>623</v>
      </c>
      <c r="L811" s="77">
        <v>43192</v>
      </c>
      <c r="M811" s="68"/>
      <c r="N811" s="76"/>
      <c r="O811" s="75" t="s">
        <v>2588</v>
      </c>
      <c r="R811" s="74"/>
    </row>
    <row r="812" spans="2:18" ht="36" hidden="1" customHeight="1" x14ac:dyDescent="0.25">
      <c r="B812" s="84">
        <v>1823</v>
      </c>
      <c r="C812" s="83" t="s">
        <v>9</v>
      </c>
      <c r="D812" s="82" t="s">
        <v>2589</v>
      </c>
      <c r="E812" s="81">
        <v>43189</v>
      </c>
      <c r="F812" s="27">
        <f t="shared" ca="1" si="12"/>
        <v>1284</v>
      </c>
      <c r="G812" s="79" t="s">
        <v>2584</v>
      </c>
      <c r="H812" s="80"/>
      <c r="I812" s="80"/>
      <c r="J812" s="79" t="s">
        <v>579</v>
      </c>
      <c r="K812" s="78" t="s">
        <v>623</v>
      </c>
      <c r="L812" s="77">
        <v>43195</v>
      </c>
      <c r="M812" s="68"/>
      <c r="N812" s="76"/>
      <c r="O812" s="75" t="s">
        <v>2590</v>
      </c>
      <c r="R812" s="74"/>
    </row>
    <row r="813" spans="2:18" ht="36" hidden="1" customHeight="1" x14ac:dyDescent="0.25">
      <c r="B813" s="84">
        <v>1823</v>
      </c>
      <c r="C813" s="83" t="s">
        <v>11</v>
      </c>
      <c r="D813" s="82" t="s">
        <v>2591</v>
      </c>
      <c r="E813" s="81">
        <v>43189</v>
      </c>
      <c r="F813" s="27">
        <f t="shared" ca="1" si="12"/>
        <v>1284</v>
      </c>
      <c r="G813" s="79" t="s">
        <v>2584</v>
      </c>
      <c r="H813" s="80"/>
      <c r="I813" s="80"/>
      <c r="J813" s="79" t="s">
        <v>579</v>
      </c>
      <c r="K813" s="78" t="s">
        <v>623</v>
      </c>
      <c r="L813" s="77">
        <v>43195</v>
      </c>
      <c r="M813" s="68"/>
      <c r="N813" s="76"/>
      <c r="O813" s="75" t="s">
        <v>2592</v>
      </c>
      <c r="R813" s="74"/>
    </row>
    <row r="814" spans="2:18" ht="36" hidden="1" customHeight="1" x14ac:dyDescent="0.25">
      <c r="B814" s="84">
        <v>1823</v>
      </c>
      <c r="C814" s="83" t="s">
        <v>11</v>
      </c>
      <c r="D814" s="82" t="s">
        <v>2593</v>
      </c>
      <c r="E814" s="81">
        <v>43189</v>
      </c>
      <c r="F814" s="27">
        <f t="shared" ca="1" si="12"/>
        <v>1284</v>
      </c>
      <c r="G814" s="79" t="s">
        <v>2584</v>
      </c>
      <c r="H814" s="80"/>
      <c r="I814" s="80"/>
      <c r="J814" s="79" t="s">
        <v>579</v>
      </c>
      <c r="K814" s="78" t="s">
        <v>623</v>
      </c>
      <c r="L814" s="77">
        <v>43195</v>
      </c>
      <c r="M814" s="68"/>
      <c r="N814" s="76"/>
      <c r="O814" s="75" t="s">
        <v>2594</v>
      </c>
      <c r="R814" s="74"/>
    </row>
    <row r="815" spans="2:18" ht="36" hidden="1" customHeight="1" x14ac:dyDescent="0.25">
      <c r="B815" s="84">
        <v>1828</v>
      </c>
      <c r="C815" s="83" t="s">
        <v>40</v>
      </c>
      <c r="D815" s="82" t="s">
        <v>3540</v>
      </c>
      <c r="E815" s="81">
        <v>43192</v>
      </c>
      <c r="F815" s="27">
        <f t="shared" ca="1" si="12"/>
        <v>1281</v>
      </c>
      <c r="G815" s="79" t="s">
        <v>1553</v>
      </c>
      <c r="H815" s="80"/>
      <c r="I815" s="80"/>
      <c r="J815" s="79" t="s">
        <v>765</v>
      </c>
      <c r="K815" s="78" t="s">
        <v>623</v>
      </c>
      <c r="L815" s="77">
        <v>43197</v>
      </c>
      <c r="M815" s="68"/>
      <c r="N815" s="76"/>
      <c r="O815" s="75" t="s">
        <v>3541</v>
      </c>
      <c r="R815" s="74"/>
    </row>
    <row r="816" spans="2:18" ht="36" hidden="1" customHeight="1" x14ac:dyDescent="0.25">
      <c r="B816" s="84">
        <v>1828</v>
      </c>
      <c r="C816" s="83" t="s">
        <v>16</v>
      </c>
      <c r="D816" s="82" t="s">
        <v>3542</v>
      </c>
      <c r="E816" s="81">
        <v>43192</v>
      </c>
      <c r="F816" s="27">
        <f t="shared" ca="1" si="12"/>
        <v>1281</v>
      </c>
      <c r="G816" s="79" t="s">
        <v>1553</v>
      </c>
      <c r="H816" s="80"/>
      <c r="I816" s="80"/>
      <c r="J816" s="79" t="s">
        <v>765</v>
      </c>
      <c r="K816" s="78" t="s">
        <v>623</v>
      </c>
      <c r="L816" s="77">
        <v>43197</v>
      </c>
      <c r="M816" s="68"/>
      <c r="N816" s="76"/>
      <c r="O816" s="75" t="s">
        <v>3543</v>
      </c>
      <c r="R816" s="74"/>
    </row>
    <row r="817" spans="2:18" ht="36" hidden="1" customHeight="1" x14ac:dyDescent="0.25">
      <c r="B817" s="84">
        <v>1828</v>
      </c>
      <c r="C817" s="83" t="s">
        <v>23</v>
      </c>
      <c r="D817" s="82" t="s">
        <v>458</v>
      </c>
      <c r="E817" s="81">
        <v>43192</v>
      </c>
      <c r="F817" s="27">
        <f t="shared" ca="1" si="12"/>
        <v>1281</v>
      </c>
      <c r="G817" s="79" t="s">
        <v>1553</v>
      </c>
      <c r="H817" s="80"/>
      <c r="I817" s="80"/>
      <c r="J817" s="79" t="s">
        <v>765</v>
      </c>
      <c r="K817" s="78" t="s">
        <v>623</v>
      </c>
      <c r="L817" s="77">
        <v>43197</v>
      </c>
      <c r="M817" s="68"/>
      <c r="N817" s="76"/>
      <c r="O817" s="75" t="s">
        <v>2114</v>
      </c>
      <c r="R817" s="74"/>
    </row>
    <row r="818" spans="2:18" ht="36" hidden="1" customHeight="1" x14ac:dyDescent="0.25">
      <c r="B818" s="84">
        <v>1829</v>
      </c>
      <c r="C818" s="83" t="s">
        <v>18</v>
      </c>
      <c r="D818" s="82" t="s">
        <v>3765</v>
      </c>
      <c r="E818" s="81">
        <v>43192</v>
      </c>
      <c r="F818" s="27">
        <f t="shared" ca="1" si="12"/>
        <v>1281</v>
      </c>
      <c r="G818" s="79" t="s">
        <v>3763</v>
      </c>
      <c r="H818" s="80"/>
      <c r="I818" s="80"/>
      <c r="J818" s="79" t="s">
        <v>579</v>
      </c>
      <c r="K818" s="78" t="s">
        <v>623</v>
      </c>
      <c r="L818" s="77">
        <v>43194</v>
      </c>
      <c r="M818" s="68"/>
      <c r="N818" s="76"/>
      <c r="O818" s="75" t="s">
        <v>3766</v>
      </c>
      <c r="R818" s="74"/>
    </row>
    <row r="819" spans="2:18" ht="36" hidden="1" customHeight="1" x14ac:dyDescent="0.25">
      <c r="B819" s="84">
        <v>1829</v>
      </c>
      <c r="C819" s="83" t="s">
        <v>39</v>
      </c>
      <c r="D819" s="82" t="s">
        <v>3767</v>
      </c>
      <c r="E819" s="81">
        <v>43192</v>
      </c>
      <c r="F819" s="27">
        <f t="shared" ca="1" si="12"/>
        <v>1281</v>
      </c>
      <c r="G819" s="79" t="s">
        <v>3763</v>
      </c>
      <c r="H819" s="80"/>
      <c r="I819" s="80"/>
      <c r="J819" s="79" t="s">
        <v>579</v>
      </c>
      <c r="K819" s="78" t="s">
        <v>623</v>
      </c>
      <c r="L819" s="77">
        <v>43194</v>
      </c>
      <c r="M819" s="68"/>
      <c r="N819" s="76"/>
      <c r="O819" s="75" t="s">
        <v>2443</v>
      </c>
      <c r="R819" s="74"/>
    </row>
    <row r="820" spans="2:18" ht="36" hidden="1" customHeight="1" x14ac:dyDescent="0.25">
      <c r="B820" s="84">
        <v>1645</v>
      </c>
      <c r="C820" s="83" t="s">
        <v>23</v>
      </c>
      <c r="D820" s="82" t="s">
        <v>1043</v>
      </c>
      <c r="E820" s="81">
        <v>43193</v>
      </c>
      <c r="F820" s="27">
        <f t="shared" ca="1" si="12"/>
        <v>1280</v>
      </c>
      <c r="G820" s="79" t="s">
        <v>1044</v>
      </c>
      <c r="H820" s="80"/>
      <c r="I820" s="80"/>
      <c r="J820" s="79" t="s">
        <v>579</v>
      </c>
      <c r="K820" s="78" t="s">
        <v>580</v>
      </c>
      <c r="L820" s="77">
        <v>43193</v>
      </c>
      <c r="M820" s="68"/>
      <c r="N820" s="76"/>
      <c r="O820" s="75" t="s">
        <v>1045</v>
      </c>
      <c r="R820" s="74"/>
    </row>
    <row r="821" spans="2:18" ht="36" hidden="1" customHeight="1" x14ac:dyDescent="0.25">
      <c r="B821" s="84">
        <v>1645</v>
      </c>
      <c r="C821" s="83" t="s">
        <v>23</v>
      </c>
      <c r="D821" s="82" t="s">
        <v>1046</v>
      </c>
      <c r="E821" s="81">
        <v>43193</v>
      </c>
      <c r="F821" s="27">
        <f t="shared" ca="1" si="12"/>
        <v>1280</v>
      </c>
      <c r="G821" s="79" t="s">
        <v>783</v>
      </c>
      <c r="H821" s="80"/>
      <c r="I821" s="80"/>
      <c r="J821" s="79" t="s">
        <v>597</v>
      </c>
      <c r="K821" s="78" t="s">
        <v>580</v>
      </c>
      <c r="L821" s="77">
        <v>43211</v>
      </c>
      <c r="M821" s="68"/>
      <c r="N821" s="76"/>
      <c r="O821" s="75" t="s">
        <v>1047</v>
      </c>
      <c r="R821" s="74"/>
    </row>
    <row r="822" spans="2:18" ht="36" hidden="1" customHeight="1" x14ac:dyDescent="0.25">
      <c r="B822" s="84">
        <v>1817</v>
      </c>
      <c r="C822" s="83" t="s">
        <v>23</v>
      </c>
      <c r="D822" s="82" t="s">
        <v>1552</v>
      </c>
      <c r="E822" s="81">
        <v>43193</v>
      </c>
      <c r="F822" s="27">
        <f t="shared" ca="1" si="12"/>
        <v>1280</v>
      </c>
      <c r="G822" s="79" t="s">
        <v>1553</v>
      </c>
      <c r="H822" s="80"/>
      <c r="I822" s="80"/>
      <c r="J822" s="79" t="s">
        <v>765</v>
      </c>
      <c r="K822" s="78" t="s">
        <v>623</v>
      </c>
      <c r="L822" s="77">
        <v>43197</v>
      </c>
      <c r="M822" s="68"/>
      <c r="N822" s="76"/>
      <c r="O822" s="75" t="s">
        <v>1348</v>
      </c>
      <c r="R822" s="74"/>
    </row>
    <row r="823" spans="2:18" ht="36" hidden="1" customHeight="1" x14ac:dyDescent="0.25">
      <c r="B823" s="84">
        <v>1830</v>
      </c>
      <c r="C823" s="83" t="s">
        <v>23</v>
      </c>
      <c r="D823" s="82" t="s">
        <v>53</v>
      </c>
      <c r="E823" s="81">
        <v>43193</v>
      </c>
      <c r="F823" s="27">
        <f t="shared" ca="1" si="12"/>
        <v>1280</v>
      </c>
      <c r="G823" s="79" t="s">
        <v>1304</v>
      </c>
      <c r="H823" s="80"/>
      <c r="I823" s="80"/>
      <c r="J823" s="79" t="s">
        <v>579</v>
      </c>
      <c r="K823" s="78" t="s">
        <v>623</v>
      </c>
      <c r="L823" s="77">
        <v>43193</v>
      </c>
      <c r="M823" s="68"/>
      <c r="N823" s="76"/>
      <c r="O823" s="75" t="s">
        <v>55</v>
      </c>
      <c r="R823" s="74"/>
    </row>
    <row r="824" spans="2:18" ht="36" hidden="1" customHeight="1" x14ac:dyDescent="0.25">
      <c r="B824" s="84">
        <v>1830</v>
      </c>
      <c r="C824" s="83" t="s">
        <v>23</v>
      </c>
      <c r="D824" s="82" t="s">
        <v>1787</v>
      </c>
      <c r="E824" s="81">
        <v>43193</v>
      </c>
      <c r="F824" s="27">
        <f t="shared" ca="1" si="12"/>
        <v>1280</v>
      </c>
      <c r="G824" s="79" t="s">
        <v>1304</v>
      </c>
      <c r="H824" s="80"/>
      <c r="I824" s="80"/>
      <c r="J824" s="79" t="s">
        <v>579</v>
      </c>
      <c r="K824" s="78" t="s">
        <v>623</v>
      </c>
      <c r="L824" s="77">
        <v>43193</v>
      </c>
      <c r="M824" s="68"/>
      <c r="N824" s="76"/>
      <c r="O824" s="75" t="s">
        <v>3938</v>
      </c>
      <c r="R824" s="74"/>
    </row>
    <row r="825" spans="2:18" ht="36" hidden="1" customHeight="1" x14ac:dyDescent="0.25">
      <c r="B825" s="84">
        <v>1641</v>
      </c>
      <c r="C825" s="83" t="s">
        <v>40</v>
      </c>
      <c r="D825" s="82" t="s">
        <v>638</v>
      </c>
      <c r="E825" s="81">
        <v>43194</v>
      </c>
      <c r="F825" s="27">
        <f t="shared" ca="1" si="12"/>
        <v>1279</v>
      </c>
      <c r="G825" s="79" t="s">
        <v>634</v>
      </c>
      <c r="H825" s="80"/>
      <c r="I825" s="80"/>
      <c r="J825" s="79" t="s">
        <v>597</v>
      </c>
      <c r="K825" s="78" t="s">
        <v>580</v>
      </c>
      <c r="L825" s="77">
        <v>43202</v>
      </c>
      <c r="M825" s="68"/>
      <c r="N825" s="76"/>
      <c r="O825" s="75" t="s">
        <v>639</v>
      </c>
      <c r="R825" s="74"/>
    </row>
    <row r="826" spans="2:18" ht="36" hidden="1" customHeight="1" x14ac:dyDescent="0.25">
      <c r="B826" s="84">
        <v>1819</v>
      </c>
      <c r="C826" s="83" t="s">
        <v>40</v>
      </c>
      <c r="D826" s="82" t="s">
        <v>1926</v>
      </c>
      <c r="E826" s="81">
        <v>43194</v>
      </c>
      <c r="F826" s="27">
        <f t="shared" ca="1" si="12"/>
        <v>1279</v>
      </c>
      <c r="G826" s="79" t="s">
        <v>1927</v>
      </c>
      <c r="H826" s="80"/>
      <c r="I826" s="80"/>
      <c r="J826" s="79" t="s">
        <v>579</v>
      </c>
      <c r="K826" s="78" t="s">
        <v>623</v>
      </c>
      <c r="L826" s="77">
        <v>43253</v>
      </c>
      <c r="M826" s="68"/>
      <c r="N826" s="76" t="s">
        <v>1920</v>
      </c>
      <c r="O826" s="75" t="s">
        <v>1928</v>
      </c>
      <c r="R826" s="74"/>
    </row>
    <row r="827" spans="2:18" ht="36" hidden="1" customHeight="1" x14ac:dyDescent="0.25">
      <c r="B827" s="84">
        <v>1830</v>
      </c>
      <c r="C827" s="83" t="s">
        <v>16</v>
      </c>
      <c r="D827" s="82" t="s">
        <v>3939</v>
      </c>
      <c r="E827" s="81">
        <v>43194</v>
      </c>
      <c r="F827" s="27">
        <f t="shared" ca="1" si="12"/>
        <v>1279</v>
      </c>
      <c r="G827" s="79" t="s">
        <v>1304</v>
      </c>
      <c r="H827" s="80"/>
      <c r="I827" s="80"/>
      <c r="J827" s="79" t="s">
        <v>579</v>
      </c>
      <c r="K827" s="78" t="s">
        <v>623</v>
      </c>
      <c r="L827" s="77">
        <v>43196</v>
      </c>
      <c r="M827" s="68"/>
      <c r="N827" s="76"/>
      <c r="O827" s="75" t="s">
        <v>3940</v>
      </c>
      <c r="R827" s="74"/>
    </row>
    <row r="828" spans="2:18" ht="36" hidden="1" customHeight="1" x14ac:dyDescent="0.25">
      <c r="B828" s="84">
        <v>1818</v>
      </c>
      <c r="C828" s="83" t="s">
        <v>40</v>
      </c>
      <c r="D828" s="82" t="s">
        <v>1707</v>
      </c>
      <c r="E828" s="81">
        <v>43195</v>
      </c>
      <c r="F828" s="27">
        <f t="shared" ca="1" si="12"/>
        <v>1278</v>
      </c>
      <c r="G828" s="79" t="s">
        <v>1708</v>
      </c>
      <c r="H828" s="80"/>
      <c r="I828" s="80"/>
      <c r="J828" s="79" t="s">
        <v>765</v>
      </c>
      <c r="K828" s="78" t="s">
        <v>623</v>
      </c>
      <c r="L828" s="77">
        <v>43159</v>
      </c>
      <c r="M828" s="68"/>
      <c r="N828" s="76" t="s">
        <v>1709</v>
      </c>
      <c r="O828" s="75" t="s">
        <v>1710</v>
      </c>
      <c r="R828" s="74"/>
    </row>
    <row r="829" spans="2:18" ht="36" hidden="1" customHeight="1" x14ac:dyDescent="0.25">
      <c r="B829" s="84">
        <v>1818</v>
      </c>
      <c r="C829" s="83" t="s">
        <v>39</v>
      </c>
      <c r="D829" s="82" t="s">
        <v>1718</v>
      </c>
      <c r="E829" s="81">
        <v>43195</v>
      </c>
      <c r="F829" s="27">
        <f t="shared" ca="1" si="12"/>
        <v>1278</v>
      </c>
      <c r="G829" s="79" t="s">
        <v>1553</v>
      </c>
      <c r="H829" s="80"/>
      <c r="I829" s="80"/>
      <c r="J829" s="79" t="s">
        <v>765</v>
      </c>
      <c r="K829" s="78" t="s">
        <v>623</v>
      </c>
      <c r="L829" s="77">
        <v>43197</v>
      </c>
      <c r="M829" s="68"/>
      <c r="N829" s="76"/>
      <c r="O829" s="75" t="s">
        <v>1719</v>
      </c>
      <c r="R829" s="74"/>
    </row>
    <row r="830" spans="2:18" ht="36" hidden="1" customHeight="1" x14ac:dyDescent="0.25">
      <c r="B830" s="84">
        <v>1824</v>
      </c>
      <c r="C830" s="83" t="s">
        <v>11</v>
      </c>
      <c r="D830" s="82" t="s">
        <v>2774</v>
      </c>
      <c r="E830" s="81">
        <v>43195</v>
      </c>
      <c r="F830" s="27">
        <f t="shared" ca="1" si="12"/>
        <v>1278</v>
      </c>
      <c r="G830" s="79" t="s">
        <v>1553</v>
      </c>
      <c r="H830" s="80"/>
      <c r="I830" s="80"/>
      <c r="J830" s="79" t="s">
        <v>765</v>
      </c>
      <c r="K830" s="78" t="s">
        <v>623</v>
      </c>
      <c r="L830" s="77">
        <v>43197</v>
      </c>
      <c r="M830" s="68"/>
      <c r="N830" s="76"/>
      <c r="O830" s="75" t="s">
        <v>2775</v>
      </c>
      <c r="R830" s="74"/>
    </row>
    <row r="831" spans="2:18" ht="36" hidden="1" customHeight="1" x14ac:dyDescent="0.25">
      <c r="B831" s="84">
        <v>1825</v>
      </c>
      <c r="C831" s="83" t="s">
        <v>40</v>
      </c>
      <c r="D831" s="82" t="s">
        <v>3037</v>
      </c>
      <c r="E831" s="81">
        <v>43195</v>
      </c>
      <c r="F831" s="27">
        <f t="shared" ca="1" si="12"/>
        <v>1278</v>
      </c>
      <c r="G831" s="79"/>
      <c r="H831" s="80"/>
      <c r="I831" s="80"/>
      <c r="J831" s="79"/>
      <c r="K831" s="78"/>
      <c r="L831" s="77">
        <v>43203</v>
      </c>
      <c r="M831" s="68"/>
      <c r="N831" s="76"/>
      <c r="O831" s="75"/>
      <c r="R831" s="74"/>
    </row>
    <row r="832" spans="2:18" ht="36" hidden="1" customHeight="1" x14ac:dyDescent="0.25">
      <c r="B832" s="84">
        <v>1826</v>
      </c>
      <c r="C832" s="83" t="s">
        <v>40</v>
      </c>
      <c r="D832" s="82" t="s">
        <v>3037</v>
      </c>
      <c r="E832" s="81">
        <v>43195</v>
      </c>
      <c r="F832" s="27">
        <f t="shared" ca="1" si="12"/>
        <v>1278</v>
      </c>
      <c r="G832" s="79" t="s">
        <v>1325</v>
      </c>
      <c r="H832" s="80"/>
      <c r="I832" s="80"/>
      <c r="J832" s="79" t="s">
        <v>597</v>
      </c>
      <c r="K832" s="78" t="s">
        <v>623</v>
      </c>
      <c r="L832" s="77">
        <v>43210</v>
      </c>
      <c r="M832" s="68"/>
      <c r="N832" s="76"/>
      <c r="O832" s="75" t="s">
        <v>3226</v>
      </c>
      <c r="R832" s="74"/>
    </row>
    <row r="833" spans="2:18" ht="36" hidden="1" customHeight="1" x14ac:dyDescent="0.25">
      <c r="B833" s="84">
        <v>1828</v>
      </c>
      <c r="C833" s="83" t="s">
        <v>40</v>
      </c>
      <c r="D833" s="82" t="s">
        <v>3037</v>
      </c>
      <c r="E833" s="81">
        <v>43195</v>
      </c>
      <c r="F833" s="27">
        <f t="shared" ca="1" si="12"/>
        <v>1278</v>
      </c>
      <c r="G833" s="79" t="s">
        <v>2779</v>
      </c>
      <c r="H833" s="80"/>
      <c r="I833" s="80"/>
      <c r="J833" s="79" t="s">
        <v>765</v>
      </c>
      <c r="K833" s="78" t="s">
        <v>623</v>
      </c>
      <c r="L833" s="77">
        <v>43204</v>
      </c>
      <c r="M833" s="68"/>
      <c r="N833" s="76"/>
      <c r="O833" s="75" t="s">
        <v>477</v>
      </c>
      <c r="R833" s="74"/>
    </row>
    <row r="834" spans="2:18" ht="36" hidden="1" customHeight="1" x14ac:dyDescent="0.25">
      <c r="B834" s="84">
        <v>1830</v>
      </c>
      <c r="C834" s="83" t="s">
        <v>40</v>
      </c>
      <c r="D834" s="82" t="s">
        <v>3037</v>
      </c>
      <c r="E834" s="81">
        <v>43195</v>
      </c>
      <c r="F834" s="27">
        <f t="shared" ca="1" si="12"/>
        <v>1278</v>
      </c>
      <c r="G834" s="79" t="s">
        <v>1325</v>
      </c>
      <c r="H834" s="80"/>
      <c r="I834" s="80"/>
      <c r="J834" s="79" t="s">
        <v>592</v>
      </c>
      <c r="K834" s="78"/>
      <c r="L834" s="77">
        <v>43199</v>
      </c>
      <c r="M834" s="68"/>
      <c r="N834" s="76"/>
      <c r="O834" s="75"/>
      <c r="R834" s="74"/>
    </row>
    <row r="835" spans="2:18" ht="36" hidden="1" customHeight="1" x14ac:dyDescent="0.25">
      <c r="B835" s="84">
        <v>1822</v>
      </c>
      <c r="C835" s="83" t="s">
        <v>40</v>
      </c>
      <c r="D835" s="82" t="s">
        <v>2434</v>
      </c>
      <c r="E835" s="81">
        <v>43196</v>
      </c>
      <c r="F835" s="27">
        <f t="shared" ca="1" si="12"/>
        <v>1277</v>
      </c>
      <c r="G835" s="79" t="s">
        <v>1553</v>
      </c>
      <c r="H835" s="80"/>
      <c r="I835" s="80"/>
      <c r="J835" s="79" t="s">
        <v>765</v>
      </c>
      <c r="K835" s="78" t="s">
        <v>623</v>
      </c>
      <c r="L835" s="77">
        <v>43197</v>
      </c>
      <c r="M835" s="68"/>
      <c r="N835" s="76"/>
      <c r="O835" s="75" t="s">
        <v>2435</v>
      </c>
      <c r="R835" s="74"/>
    </row>
    <row r="836" spans="2:18" ht="36" hidden="1" customHeight="1" x14ac:dyDescent="0.25">
      <c r="B836" s="84">
        <v>1825</v>
      </c>
      <c r="C836" s="83" t="s">
        <v>40</v>
      </c>
      <c r="D836" s="82" t="s">
        <v>3036</v>
      </c>
      <c r="E836" s="81">
        <v>43196</v>
      </c>
      <c r="F836" s="27">
        <f t="shared" ca="1" si="12"/>
        <v>1277</v>
      </c>
      <c r="G836" s="79" t="s">
        <v>578</v>
      </c>
      <c r="H836" s="80"/>
      <c r="I836" s="80"/>
      <c r="J836" s="79" t="s">
        <v>597</v>
      </c>
      <c r="K836" s="78" t="s">
        <v>623</v>
      </c>
      <c r="L836" s="77">
        <v>43202</v>
      </c>
      <c r="M836" s="68"/>
      <c r="N836" s="76"/>
      <c r="O836" s="75"/>
      <c r="R836" s="74"/>
    </row>
    <row r="837" spans="2:18" ht="36" hidden="1" customHeight="1" x14ac:dyDescent="0.25">
      <c r="B837" s="84">
        <v>1821</v>
      </c>
      <c r="C837" s="83" t="s">
        <v>23</v>
      </c>
      <c r="D837" s="82" t="s">
        <v>2310</v>
      </c>
      <c r="E837" s="81">
        <v>43197</v>
      </c>
      <c r="F837" s="27">
        <f t="shared" ca="1" si="12"/>
        <v>1276</v>
      </c>
      <c r="G837" s="79"/>
      <c r="H837" s="80"/>
      <c r="I837" s="80"/>
      <c r="J837" s="79"/>
      <c r="K837" s="78"/>
      <c r="L837" s="77">
        <v>43197</v>
      </c>
      <c r="M837" s="68"/>
      <c r="N837" s="76" t="s">
        <v>2311</v>
      </c>
      <c r="O837" s="75" t="s">
        <v>2312</v>
      </c>
      <c r="R837" s="74"/>
    </row>
    <row r="838" spans="2:18" ht="36" hidden="1" customHeight="1" x14ac:dyDescent="0.25">
      <c r="B838" s="84">
        <v>1821</v>
      </c>
      <c r="C838" s="83" t="s">
        <v>12</v>
      </c>
      <c r="D838" s="82" t="s">
        <v>1857</v>
      </c>
      <c r="E838" s="81">
        <v>43197</v>
      </c>
      <c r="F838" s="27">
        <f t="shared" ca="1" si="12"/>
        <v>1276</v>
      </c>
      <c r="G838" s="79"/>
      <c r="H838" s="80"/>
      <c r="I838" s="80"/>
      <c r="J838" s="79"/>
      <c r="K838" s="78"/>
      <c r="L838" s="77">
        <v>43197</v>
      </c>
      <c r="M838" s="68"/>
      <c r="N838" s="76" t="s">
        <v>2311</v>
      </c>
      <c r="O838" s="75" t="s">
        <v>2313</v>
      </c>
      <c r="R838" s="74"/>
    </row>
    <row r="839" spans="2:18" ht="36" hidden="1" customHeight="1" x14ac:dyDescent="0.25">
      <c r="B839" s="84">
        <v>1824</v>
      </c>
      <c r="C839" s="83" t="s">
        <v>40</v>
      </c>
      <c r="D839" s="82" t="s">
        <v>2776</v>
      </c>
      <c r="E839" s="81">
        <v>43197</v>
      </c>
      <c r="F839" s="27">
        <f t="shared" ca="1" si="12"/>
        <v>1276</v>
      </c>
      <c r="G839" s="79"/>
      <c r="H839" s="80"/>
      <c r="I839" s="80"/>
      <c r="J839" s="79"/>
      <c r="K839" s="78"/>
      <c r="L839" s="77">
        <v>43197</v>
      </c>
      <c r="M839" s="68"/>
      <c r="N839" s="76" t="s">
        <v>2311</v>
      </c>
      <c r="O839" s="75" t="s">
        <v>2777</v>
      </c>
      <c r="R839" s="74"/>
    </row>
    <row r="840" spans="2:18" ht="36" hidden="1" customHeight="1" x14ac:dyDescent="0.25">
      <c r="B840" s="84">
        <v>1825</v>
      </c>
      <c r="C840" s="83" t="s">
        <v>15</v>
      </c>
      <c r="D840" s="82" t="s">
        <v>1956</v>
      </c>
      <c r="E840" s="81">
        <v>43197</v>
      </c>
      <c r="F840" s="27">
        <f t="shared" ca="1" si="12"/>
        <v>1276</v>
      </c>
      <c r="G840" s="79"/>
      <c r="H840" s="80"/>
      <c r="I840" s="80"/>
      <c r="J840" s="79"/>
      <c r="K840" s="78"/>
      <c r="L840" s="77">
        <v>43197</v>
      </c>
      <c r="M840" s="68"/>
      <c r="N840" s="76" t="s">
        <v>2311</v>
      </c>
      <c r="O840" s="75" t="s">
        <v>3035</v>
      </c>
      <c r="R840" s="74"/>
    </row>
    <row r="841" spans="2:18" ht="36" hidden="1" customHeight="1" x14ac:dyDescent="0.25">
      <c r="B841" s="84">
        <v>1830</v>
      </c>
      <c r="C841" s="83" t="s">
        <v>23</v>
      </c>
      <c r="D841" s="82" t="s">
        <v>3941</v>
      </c>
      <c r="E841" s="81">
        <v>43197</v>
      </c>
      <c r="F841" s="27">
        <f t="shared" ca="1" si="12"/>
        <v>1276</v>
      </c>
      <c r="G841" s="79"/>
      <c r="H841" s="80"/>
      <c r="I841" s="80"/>
      <c r="J841" s="79" t="s">
        <v>579</v>
      </c>
      <c r="K841" s="78"/>
      <c r="L841" s="77">
        <v>43197</v>
      </c>
      <c r="M841" s="68"/>
      <c r="N841" s="76" t="s">
        <v>2311</v>
      </c>
      <c r="O841" s="75" t="s">
        <v>3942</v>
      </c>
      <c r="R841" s="74"/>
    </row>
    <row r="842" spans="2:18" ht="36" hidden="1" customHeight="1" x14ac:dyDescent="0.25">
      <c r="B842" s="84">
        <v>1824</v>
      </c>
      <c r="C842" s="83" t="s">
        <v>23</v>
      </c>
      <c r="D842" s="82" t="s">
        <v>2781</v>
      </c>
      <c r="E842" s="81">
        <v>43199</v>
      </c>
      <c r="F842" s="27">
        <f t="shared" ca="1" si="12"/>
        <v>1274</v>
      </c>
      <c r="G842" s="79" t="s">
        <v>2779</v>
      </c>
      <c r="H842" s="80"/>
      <c r="I842" s="80"/>
      <c r="J842" s="79" t="s">
        <v>765</v>
      </c>
      <c r="K842" s="78" t="s">
        <v>623</v>
      </c>
      <c r="L842" s="77">
        <v>43206</v>
      </c>
      <c r="M842" s="68"/>
      <c r="N842" s="76"/>
      <c r="O842" s="75" t="s">
        <v>55</v>
      </c>
      <c r="R842" s="74"/>
    </row>
    <row r="843" spans="2:18" ht="36" hidden="1" customHeight="1" x14ac:dyDescent="0.25">
      <c r="B843" s="84">
        <v>1828</v>
      </c>
      <c r="C843" s="83" t="s">
        <v>19</v>
      </c>
      <c r="D843" s="82" t="s">
        <v>3544</v>
      </c>
      <c r="E843" s="81">
        <v>43199</v>
      </c>
      <c r="F843" s="27">
        <f t="shared" ca="1" si="12"/>
        <v>1274</v>
      </c>
      <c r="G843" s="79" t="s">
        <v>2779</v>
      </c>
      <c r="H843" s="80"/>
      <c r="I843" s="80"/>
      <c r="J843" s="79" t="s">
        <v>765</v>
      </c>
      <c r="K843" s="78" t="s">
        <v>623</v>
      </c>
      <c r="L843" s="77">
        <v>43204</v>
      </c>
      <c r="M843" s="68"/>
      <c r="N843" s="76"/>
      <c r="O843" s="75" t="s">
        <v>2597</v>
      </c>
      <c r="R843" s="74"/>
    </row>
    <row r="844" spans="2:18" ht="36" hidden="1" customHeight="1" x14ac:dyDescent="0.25">
      <c r="B844" s="84">
        <v>1830</v>
      </c>
      <c r="C844" s="83" t="s">
        <v>12</v>
      </c>
      <c r="D844" s="82" t="s">
        <v>3943</v>
      </c>
      <c r="E844" s="81">
        <v>43200</v>
      </c>
      <c r="F844" s="27">
        <f t="shared" ca="1" si="12"/>
        <v>1273</v>
      </c>
      <c r="G844" s="79" t="s">
        <v>1304</v>
      </c>
      <c r="H844" s="80"/>
      <c r="I844" s="80"/>
      <c r="J844" s="79" t="s">
        <v>579</v>
      </c>
      <c r="K844" s="78" t="s">
        <v>623</v>
      </c>
      <c r="L844" s="77">
        <v>43201</v>
      </c>
      <c r="M844" s="68"/>
      <c r="N844" s="76"/>
      <c r="O844" s="75" t="s">
        <v>3944</v>
      </c>
      <c r="R844" s="74"/>
    </row>
    <row r="845" spans="2:18" ht="36" hidden="1" customHeight="1" x14ac:dyDescent="0.25">
      <c r="B845" s="84">
        <v>1830</v>
      </c>
      <c r="C845" s="83" t="s">
        <v>11</v>
      </c>
      <c r="D845" s="82" t="s">
        <v>3945</v>
      </c>
      <c r="E845" s="81">
        <v>43200</v>
      </c>
      <c r="F845" s="27">
        <f t="shared" ca="1" si="12"/>
        <v>1273</v>
      </c>
      <c r="G845" s="79" t="s">
        <v>1304</v>
      </c>
      <c r="H845" s="80"/>
      <c r="I845" s="80"/>
      <c r="J845" s="79" t="s">
        <v>579</v>
      </c>
      <c r="K845" s="78" t="s">
        <v>623</v>
      </c>
      <c r="L845" s="77">
        <v>43201</v>
      </c>
      <c r="M845" s="68"/>
      <c r="N845" s="76"/>
      <c r="O845" s="75" t="s">
        <v>3946</v>
      </c>
      <c r="R845" s="74"/>
    </row>
    <row r="846" spans="2:18" ht="36" hidden="1" customHeight="1" x14ac:dyDescent="0.25">
      <c r="B846" s="84">
        <v>1830</v>
      </c>
      <c r="C846" s="83" t="s">
        <v>19</v>
      </c>
      <c r="D846" s="82" t="s">
        <v>967</v>
      </c>
      <c r="E846" s="81">
        <v>43200</v>
      </c>
      <c r="F846" s="27">
        <f t="shared" ca="1" si="12"/>
        <v>1273</v>
      </c>
      <c r="G846" s="79" t="s">
        <v>1325</v>
      </c>
      <c r="H846" s="80"/>
      <c r="I846" s="80"/>
      <c r="J846" s="79" t="s">
        <v>579</v>
      </c>
      <c r="K846" s="78" t="s">
        <v>623</v>
      </c>
      <c r="L846" s="77">
        <v>43201</v>
      </c>
      <c r="M846" s="68"/>
      <c r="N846" s="76"/>
      <c r="O846" s="75" t="s">
        <v>3947</v>
      </c>
      <c r="R846" s="74"/>
    </row>
    <row r="847" spans="2:18" ht="36" hidden="1" customHeight="1" x14ac:dyDescent="0.25">
      <c r="B847" s="84">
        <v>1830</v>
      </c>
      <c r="C847" s="83" t="s">
        <v>19</v>
      </c>
      <c r="D847" s="82" t="s">
        <v>3948</v>
      </c>
      <c r="E847" s="81">
        <v>43200</v>
      </c>
      <c r="F847" s="27">
        <f t="shared" ca="1" si="12"/>
        <v>1273</v>
      </c>
      <c r="G847" s="79" t="s">
        <v>1325</v>
      </c>
      <c r="H847" s="80"/>
      <c r="I847" s="80"/>
      <c r="J847" s="79" t="s">
        <v>579</v>
      </c>
      <c r="K847" s="78" t="s">
        <v>623</v>
      </c>
      <c r="L847" s="77">
        <v>43201</v>
      </c>
      <c r="M847" s="68"/>
      <c r="N847" s="76"/>
      <c r="O847" s="75" t="s">
        <v>3947</v>
      </c>
      <c r="R847" s="74"/>
    </row>
    <row r="848" spans="2:18" ht="36" hidden="1" customHeight="1" x14ac:dyDescent="0.25">
      <c r="B848" s="84">
        <v>1821</v>
      </c>
      <c r="C848" s="83" t="s">
        <v>16</v>
      </c>
      <c r="D848" s="82" t="s">
        <v>2314</v>
      </c>
      <c r="E848" s="81">
        <v>43202</v>
      </c>
      <c r="F848" s="27">
        <f t="shared" ref="F848:F911" ca="1" si="13">IF(E848&lt;&gt;"",TODAY()-E848,"")</f>
        <v>1271</v>
      </c>
      <c r="G848" s="79" t="s">
        <v>578</v>
      </c>
      <c r="H848" s="80"/>
      <c r="I848" s="80"/>
      <c r="J848" s="79" t="s">
        <v>597</v>
      </c>
      <c r="K848" s="78" t="s">
        <v>623</v>
      </c>
      <c r="L848" s="77">
        <v>43202</v>
      </c>
      <c r="M848" s="68"/>
      <c r="N848" s="76"/>
      <c r="O848" s="75"/>
      <c r="R848" s="74"/>
    </row>
    <row r="849" spans="2:18" ht="36" hidden="1" customHeight="1" x14ac:dyDescent="0.25">
      <c r="B849" s="84">
        <v>1824</v>
      </c>
      <c r="C849" s="83" t="s">
        <v>40</v>
      </c>
      <c r="D849" s="82" t="s">
        <v>2782</v>
      </c>
      <c r="E849" s="81">
        <v>43202</v>
      </c>
      <c r="F849" s="27">
        <f t="shared" ca="1" si="13"/>
        <v>1271</v>
      </c>
      <c r="G849" s="79" t="s">
        <v>2779</v>
      </c>
      <c r="H849" s="80"/>
      <c r="I849" s="80"/>
      <c r="J849" s="79" t="s">
        <v>765</v>
      </c>
      <c r="K849" s="78" t="s">
        <v>623</v>
      </c>
      <c r="L849" s="77">
        <v>43206</v>
      </c>
      <c r="M849" s="68"/>
      <c r="N849" s="76"/>
      <c r="O849" s="75" t="s">
        <v>1589</v>
      </c>
      <c r="R849" s="74"/>
    </row>
    <row r="850" spans="2:18" ht="36" hidden="1" customHeight="1" x14ac:dyDescent="0.25">
      <c r="B850" s="84">
        <v>1823</v>
      </c>
      <c r="C850" s="83" t="s">
        <v>40</v>
      </c>
      <c r="D850" s="82" t="s">
        <v>2420</v>
      </c>
      <c r="E850" s="81">
        <v>43203</v>
      </c>
      <c r="F850" s="27">
        <f t="shared" ca="1" si="13"/>
        <v>1270</v>
      </c>
      <c r="G850" s="79" t="s">
        <v>578</v>
      </c>
      <c r="H850" s="80"/>
      <c r="I850" s="80"/>
      <c r="J850" s="79" t="s">
        <v>597</v>
      </c>
      <c r="K850" s="78" t="s">
        <v>623</v>
      </c>
      <c r="L850" s="77">
        <v>43207</v>
      </c>
      <c r="M850" s="68"/>
      <c r="N850" s="76"/>
      <c r="O850" s="75" t="s">
        <v>2597</v>
      </c>
      <c r="R850" s="74"/>
    </row>
    <row r="851" spans="2:18" ht="36" hidden="1" customHeight="1" x14ac:dyDescent="0.25">
      <c r="B851" s="84">
        <v>1646</v>
      </c>
      <c r="C851" s="83" t="s">
        <v>19</v>
      </c>
      <c r="D851" s="82" t="s">
        <v>1122</v>
      </c>
      <c r="E851" s="81">
        <v>43206</v>
      </c>
      <c r="F851" s="27">
        <f t="shared" ca="1" si="13"/>
        <v>1267</v>
      </c>
      <c r="G851" s="79" t="s">
        <v>783</v>
      </c>
      <c r="H851" s="80"/>
      <c r="I851" s="80"/>
      <c r="J851" s="79" t="s">
        <v>597</v>
      </c>
      <c r="K851" s="78" t="s">
        <v>580</v>
      </c>
      <c r="L851" s="77">
        <v>43211</v>
      </c>
      <c r="M851" s="68"/>
      <c r="N851" s="76"/>
      <c r="O851" s="75" t="s">
        <v>1123</v>
      </c>
      <c r="R851" s="74"/>
    </row>
    <row r="852" spans="2:18" ht="36" hidden="1" customHeight="1" x14ac:dyDescent="0.25">
      <c r="B852" s="84">
        <v>1818</v>
      </c>
      <c r="C852" s="83" t="s">
        <v>11</v>
      </c>
      <c r="D852" s="82" t="s">
        <v>1720</v>
      </c>
      <c r="E852" s="81">
        <v>43206</v>
      </c>
      <c r="F852" s="27">
        <f t="shared" ca="1" si="13"/>
        <v>1267</v>
      </c>
      <c r="G852" s="79" t="s">
        <v>578</v>
      </c>
      <c r="H852" s="80"/>
      <c r="I852" s="80"/>
      <c r="J852" s="79" t="s">
        <v>597</v>
      </c>
      <c r="K852" s="78" t="s">
        <v>623</v>
      </c>
      <c r="L852" s="77">
        <v>43210</v>
      </c>
      <c r="M852" s="68"/>
      <c r="N852" s="76"/>
      <c r="O852" s="75" t="s">
        <v>1721</v>
      </c>
      <c r="R852" s="74"/>
    </row>
    <row r="853" spans="2:18" ht="36" hidden="1" customHeight="1" x14ac:dyDescent="0.25">
      <c r="B853" s="84">
        <v>1820</v>
      </c>
      <c r="C853" s="83" t="s">
        <v>23</v>
      </c>
      <c r="D853" s="82" t="s">
        <v>2122</v>
      </c>
      <c r="E853" s="81">
        <v>43206</v>
      </c>
      <c r="F853" s="27">
        <f t="shared" ca="1" si="13"/>
        <v>1267</v>
      </c>
      <c r="G853" s="79" t="s">
        <v>578</v>
      </c>
      <c r="H853" s="80"/>
      <c r="I853" s="80"/>
      <c r="J853" s="79" t="s">
        <v>597</v>
      </c>
      <c r="K853" s="78" t="s">
        <v>623</v>
      </c>
      <c r="L853" s="77">
        <v>43211</v>
      </c>
      <c r="M853" s="68"/>
      <c r="N853" s="76"/>
      <c r="O853" s="75" t="s">
        <v>2123</v>
      </c>
      <c r="R853" s="74"/>
    </row>
    <row r="854" spans="2:18" ht="36" hidden="1" customHeight="1" x14ac:dyDescent="0.25">
      <c r="B854" s="84">
        <v>1824</v>
      </c>
      <c r="C854" s="83" t="s">
        <v>40</v>
      </c>
      <c r="D854" s="82" t="s">
        <v>2786</v>
      </c>
      <c r="E854" s="81">
        <v>43207</v>
      </c>
      <c r="F854" s="27">
        <f t="shared" ca="1" si="13"/>
        <v>1266</v>
      </c>
      <c r="G854" s="79" t="s">
        <v>1730</v>
      </c>
      <c r="H854" s="80"/>
      <c r="I854" s="80"/>
      <c r="J854" s="79" t="s">
        <v>791</v>
      </c>
      <c r="K854" s="78" t="s">
        <v>623</v>
      </c>
      <c r="L854" s="77">
        <v>43239</v>
      </c>
      <c r="M854" s="68"/>
      <c r="N854" s="76"/>
      <c r="O854" s="75" t="s">
        <v>2787</v>
      </c>
      <c r="R854" s="74"/>
    </row>
    <row r="855" spans="2:18" ht="36" hidden="1" customHeight="1" x14ac:dyDescent="0.25">
      <c r="B855" s="84">
        <v>1642</v>
      </c>
      <c r="C855" s="83" t="s">
        <v>17</v>
      </c>
      <c r="D855" s="82" t="s">
        <v>782</v>
      </c>
      <c r="E855" s="81">
        <v>43208</v>
      </c>
      <c r="F855" s="27">
        <f t="shared" ca="1" si="13"/>
        <v>1265</v>
      </c>
      <c r="G855" s="79" t="s">
        <v>783</v>
      </c>
      <c r="H855" s="80"/>
      <c r="I855" s="80"/>
      <c r="J855" s="79" t="s">
        <v>597</v>
      </c>
      <c r="K855" s="78" t="s">
        <v>580</v>
      </c>
      <c r="L855" s="77">
        <v>43211</v>
      </c>
      <c r="M855" s="68"/>
      <c r="N855" s="76"/>
      <c r="O855" s="75" t="s">
        <v>784</v>
      </c>
      <c r="R855" s="74"/>
    </row>
    <row r="856" spans="2:18" ht="36" hidden="1" customHeight="1" x14ac:dyDescent="0.25">
      <c r="B856" s="84">
        <v>1642</v>
      </c>
      <c r="C856" s="83" t="s">
        <v>40</v>
      </c>
      <c r="D856" s="82" t="s">
        <v>785</v>
      </c>
      <c r="E856" s="81">
        <v>43208</v>
      </c>
      <c r="F856" s="27">
        <f t="shared" ca="1" si="13"/>
        <v>1265</v>
      </c>
      <c r="G856" s="79" t="s">
        <v>783</v>
      </c>
      <c r="H856" s="80"/>
      <c r="I856" s="80"/>
      <c r="J856" s="79" t="s">
        <v>597</v>
      </c>
      <c r="K856" s="78" t="s">
        <v>580</v>
      </c>
      <c r="L856" s="77">
        <v>43211</v>
      </c>
      <c r="M856" s="68"/>
      <c r="N856" s="76"/>
      <c r="O856" s="75" t="s">
        <v>786</v>
      </c>
      <c r="R856" s="74"/>
    </row>
    <row r="857" spans="2:18" ht="36" hidden="1" customHeight="1" x14ac:dyDescent="0.25">
      <c r="B857" s="84">
        <v>1642</v>
      </c>
      <c r="C857" s="83" t="s">
        <v>40</v>
      </c>
      <c r="D857" s="82" t="s">
        <v>787</v>
      </c>
      <c r="E857" s="81">
        <v>43208</v>
      </c>
      <c r="F857" s="27">
        <f t="shared" ca="1" si="13"/>
        <v>1265</v>
      </c>
      <c r="G857" s="79" t="s">
        <v>783</v>
      </c>
      <c r="H857" s="80"/>
      <c r="I857" s="80"/>
      <c r="J857" s="79" t="s">
        <v>597</v>
      </c>
      <c r="K857" s="78" t="s">
        <v>580</v>
      </c>
      <c r="L857" s="77">
        <v>43211</v>
      </c>
      <c r="M857" s="68"/>
      <c r="N857" s="76"/>
      <c r="O857" s="75" t="s">
        <v>788</v>
      </c>
      <c r="R857" s="74"/>
    </row>
    <row r="858" spans="2:18" ht="36" hidden="1" customHeight="1" x14ac:dyDescent="0.25">
      <c r="B858" s="84">
        <v>1818</v>
      </c>
      <c r="C858" s="83" t="s">
        <v>23</v>
      </c>
      <c r="D858" s="82" t="s">
        <v>346</v>
      </c>
      <c r="E858" s="81">
        <v>43209</v>
      </c>
      <c r="F858" s="27">
        <f t="shared" ca="1" si="13"/>
        <v>1264</v>
      </c>
      <c r="G858" s="79" t="s">
        <v>578</v>
      </c>
      <c r="H858" s="80"/>
      <c r="I858" s="80"/>
      <c r="J858" s="79" t="s">
        <v>597</v>
      </c>
      <c r="K858" s="78" t="s">
        <v>623</v>
      </c>
      <c r="L858" s="77">
        <v>43211</v>
      </c>
      <c r="M858" s="68"/>
      <c r="N858" s="76"/>
      <c r="O858" s="75" t="s">
        <v>1348</v>
      </c>
      <c r="R858" s="74"/>
    </row>
    <row r="859" spans="2:18" ht="36" hidden="1" customHeight="1" x14ac:dyDescent="0.25">
      <c r="B859" s="84">
        <v>1828</v>
      </c>
      <c r="C859" s="83" t="s">
        <v>23</v>
      </c>
      <c r="D859" s="82" t="s">
        <v>346</v>
      </c>
      <c r="E859" s="81">
        <v>43209</v>
      </c>
      <c r="F859" s="27">
        <f t="shared" ca="1" si="13"/>
        <v>1264</v>
      </c>
      <c r="G859" s="79" t="s">
        <v>578</v>
      </c>
      <c r="H859" s="80"/>
      <c r="I859" s="80"/>
      <c r="J859" s="79" t="s">
        <v>597</v>
      </c>
      <c r="K859" s="78" t="s">
        <v>623</v>
      </c>
      <c r="L859" s="77">
        <v>43211</v>
      </c>
      <c r="M859" s="68"/>
      <c r="N859" s="76"/>
      <c r="O859" s="75" t="s">
        <v>1348</v>
      </c>
      <c r="R859" s="74"/>
    </row>
    <row r="860" spans="2:18" ht="36" hidden="1" customHeight="1" x14ac:dyDescent="0.25">
      <c r="B860" s="84">
        <v>1825</v>
      </c>
      <c r="C860" s="83" t="s">
        <v>40</v>
      </c>
      <c r="D860" s="82" t="s">
        <v>3038</v>
      </c>
      <c r="E860" s="81">
        <v>43210</v>
      </c>
      <c r="F860" s="27">
        <f t="shared" ca="1" si="13"/>
        <v>1263</v>
      </c>
      <c r="G860" s="79">
        <v>43210</v>
      </c>
      <c r="H860" s="80"/>
      <c r="I860" s="80"/>
      <c r="J860" s="79">
        <v>43213</v>
      </c>
      <c r="K860" s="78">
        <v>0.16666666666666666</v>
      </c>
      <c r="L860" s="77">
        <v>43211</v>
      </c>
      <c r="M860" s="68"/>
      <c r="N860" s="76"/>
      <c r="O860" s="75" t="s">
        <v>3039</v>
      </c>
      <c r="R860" s="74"/>
    </row>
    <row r="861" spans="2:18" ht="36" hidden="1" customHeight="1" x14ac:dyDescent="0.25">
      <c r="B861" s="84">
        <v>1820</v>
      </c>
      <c r="C861" s="83" t="s">
        <v>23</v>
      </c>
      <c r="D861" s="82" t="s">
        <v>2124</v>
      </c>
      <c r="E861" s="81">
        <v>43213</v>
      </c>
      <c r="F861" s="27">
        <f t="shared" ca="1" si="13"/>
        <v>1260</v>
      </c>
      <c r="G861" s="79" t="s">
        <v>2125</v>
      </c>
      <c r="H861" s="80"/>
      <c r="I861" s="80"/>
      <c r="J861" s="79" t="s">
        <v>597</v>
      </c>
      <c r="K861" s="78" t="s">
        <v>623</v>
      </c>
      <c r="L861" s="77">
        <v>43231</v>
      </c>
      <c r="M861" s="68"/>
      <c r="N861" s="76"/>
      <c r="O861" s="75" t="s">
        <v>2126</v>
      </c>
      <c r="R861" s="74"/>
    </row>
    <row r="862" spans="2:18" ht="36" hidden="1" customHeight="1" x14ac:dyDescent="0.25">
      <c r="B862" s="84">
        <v>1824</v>
      </c>
      <c r="C862" s="83" t="s">
        <v>11</v>
      </c>
      <c r="D862" s="82" t="s">
        <v>2783</v>
      </c>
      <c r="E862" s="81">
        <v>43213</v>
      </c>
      <c r="F862" s="27">
        <f t="shared" ca="1" si="13"/>
        <v>1260</v>
      </c>
      <c r="G862" s="79" t="s">
        <v>578</v>
      </c>
      <c r="H862" s="80"/>
      <c r="I862" s="80"/>
      <c r="J862" s="79" t="s">
        <v>597</v>
      </c>
      <c r="K862" s="78" t="s">
        <v>623</v>
      </c>
      <c r="L862" s="77">
        <v>43230</v>
      </c>
      <c r="M862" s="68"/>
      <c r="N862" s="76"/>
      <c r="O862" s="75" t="s">
        <v>2570</v>
      </c>
      <c r="R862" s="74"/>
    </row>
    <row r="863" spans="2:18" ht="36" hidden="1" customHeight="1" x14ac:dyDescent="0.25">
      <c r="B863" s="84">
        <v>1825</v>
      </c>
      <c r="C863" s="83" t="s">
        <v>16</v>
      </c>
      <c r="D863" s="82" t="s">
        <v>3042</v>
      </c>
      <c r="E863" s="81">
        <v>43213</v>
      </c>
      <c r="F863" s="27">
        <f t="shared" ca="1" si="13"/>
        <v>1260</v>
      </c>
      <c r="G863" s="79" t="s">
        <v>578</v>
      </c>
      <c r="H863" s="80"/>
      <c r="I863" s="80"/>
      <c r="J863" s="79" t="s">
        <v>597</v>
      </c>
      <c r="K863" s="78" t="s">
        <v>623</v>
      </c>
      <c r="L863" s="77">
        <v>43230</v>
      </c>
      <c r="M863" s="68"/>
      <c r="N863" s="76"/>
      <c r="O863" s="75" t="s">
        <v>3043</v>
      </c>
      <c r="R863" s="74"/>
    </row>
    <row r="864" spans="2:18" ht="36" hidden="1" customHeight="1" x14ac:dyDescent="0.25">
      <c r="B864" s="84">
        <v>1818</v>
      </c>
      <c r="C864" s="83" t="s">
        <v>23</v>
      </c>
      <c r="D864" s="82" t="s">
        <v>1722</v>
      </c>
      <c r="E864" s="81">
        <v>43214</v>
      </c>
      <c r="F864" s="27">
        <f t="shared" ca="1" si="13"/>
        <v>1259</v>
      </c>
      <c r="G864" s="79" t="s">
        <v>1723</v>
      </c>
      <c r="H864" s="80"/>
      <c r="I864" s="80"/>
      <c r="J864" s="79" t="s">
        <v>597</v>
      </c>
      <c r="K864" s="78" t="s">
        <v>623</v>
      </c>
      <c r="L864" s="77">
        <v>43224</v>
      </c>
      <c r="M864" s="68"/>
      <c r="N864" s="76"/>
      <c r="O864" s="75" t="s">
        <v>1724</v>
      </c>
      <c r="R864" s="74"/>
    </row>
    <row r="865" spans="2:18" ht="36" hidden="1" customHeight="1" x14ac:dyDescent="0.25">
      <c r="B865" s="84">
        <v>1825</v>
      </c>
      <c r="C865" s="83" t="s">
        <v>40</v>
      </c>
      <c r="D865" s="82" t="s">
        <v>3040</v>
      </c>
      <c r="E865" s="81">
        <v>43214</v>
      </c>
      <c r="F865" s="27">
        <f t="shared" ca="1" si="13"/>
        <v>1259</v>
      </c>
      <c r="G865" s="79" t="s">
        <v>578</v>
      </c>
      <c r="H865" s="80"/>
      <c r="I865" s="80"/>
      <c r="J865" s="79" t="s">
        <v>597</v>
      </c>
      <c r="K865" s="78" t="s">
        <v>623</v>
      </c>
      <c r="L865" s="77">
        <v>43230</v>
      </c>
      <c r="M865" s="68"/>
      <c r="N865" s="76"/>
      <c r="O865" s="75" t="s">
        <v>3041</v>
      </c>
      <c r="R865" s="74"/>
    </row>
    <row r="866" spans="2:18" ht="36" hidden="1" customHeight="1" x14ac:dyDescent="0.25">
      <c r="B866" s="84">
        <v>1827</v>
      </c>
      <c r="C866" s="83" t="s">
        <v>23</v>
      </c>
      <c r="D866" s="82" t="s">
        <v>458</v>
      </c>
      <c r="E866" s="81">
        <v>43214</v>
      </c>
      <c r="F866" s="27">
        <f t="shared" ca="1" si="13"/>
        <v>1259</v>
      </c>
      <c r="G866" s="79" t="s">
        <v>1328</v>
      </c>
      <c r="H866" s="80"/>
      <c r="I866" s="80"/>
      <c r="J866" s="79" t="s">
        <v>597</v>
      </c>
      <c r="K866" s="78" t="s">
        <v>623</v>
      </c>
      <c r="L866" s="77">
        <v>43230</v>
      </c>
      <c r="M866" s="68"/>
      <c r="N866" s="76"/>
      <c r="O866" s="75" t="s">
        <v>3351</v>
      </c>
      <c r="R866" s="74"/>
    </row>
    <row r="867" spans="2:18" ht="36" hidden="1" customHeight="1" x14ac:dyDescent="0.25">
      <c r="B867" s="84">
        <v>1825</v>
      </c>
      <c r="C867" s="83" t="s">
        <v>39</v>
      </c>
      <c r="D867" s="82" t="s">
        <v>3044</v>
      </c>
      <c r="E867" s="81">
        <v>43215</v>
      </c>
      <c r="F867" s="27">
        <f t="shared" ca="1" si="13"/>
        <v>1258</v>
      </c>
      <c r="G867" s="79" t="s">
        <v>578</v>
      </c>
      <c r="H867" s="80"/>
      <c r="I867" s="80"/>
      <c r="J867" s="79" t="s">
        <v>597</v>
      </c>
      <c r="K867" s="78" t="s">
        <v>623</v>
      </c>
      <c r="L867" s="77">
        <v>43230</v>
      </c>
      <c r="M867" s="68"/>
      <c r="N867" s="76"/>
      <c r="O867" s="75" t="s">
        <v>3045</v>
      </c>
      <c r="R867" s="74"/>
    </row>
    <row r="868" spans="2:18" ht="36" hidden="1" customHeight="1" x14ac:dyDescent="0.25">
      <c r="B868" s="84">
        <v>1830</v>
      </c>
      <c r="C868" s="83" t="s">
        <v>11</v>
      </c>
      <c r="D868" s="82" t="s">
        <v>3952</v>
      </c>
      <c r="E868" s="81">
        <v>43215</v>
      </c>
      <c r="F868" s="27">
        <f t="shared" ca="1" si="13"/>
        <v>1258</v>
      </c>
      <c r="G868" s="79" t="s">
        <v>1708</v>
      </c>
      <c r="H868" s="80"/>
      <c r="I868" s="80"/>
      <c r="J868" s="79" t="s">
        <v>579</v>
      </c>
      <c r="K868" s="78" t="s">
        <v>623</v>
      </c>
      <c r="L868" s="77">
        <v>43251</v>
      </c>
      <c r="M868" s="68"/>
      <c r="N868" s="76"/>
      <c r="O868" s="75" t="s">
        <v>3953</v>
      </c>
      <c r="R868" s="74"/>
    </row>
    <row r="869" spans="2:18" ht="36" hidden="1" customHeight="1" x14ac:dyDescent="0.25">
      <c r="B869" s="84">
        <v>1818</v>
      </c>
      <c r="C869" s="83" t="s">
        <v>23</v>
      </c>
      <c r="D869" s="82" t="s">
        <v>1725</v>
      </c>
      <c r="E869" s="81">
        <v>43216</v>
      </c>
      <c r="F869" s="27">
        <f t="shared" ca="1" si="13"/>
        <v>1257</v>
      </c>
      <c r="G869" s="79" t="s">
        <v>1261</v>
      </c>
      <c r="H869" s="80"/>
      <c r="I869" s="80"/>
      <c r="J869" s="79" t="s">
        <v>765</v>
      </c>
      <c r="K869" s="78" t="s">
        <v>623</v>
      </c>
      <c r="L869" s="77">
        <v>43232</v>
      </c>
      <c r="M869" s="68"/>
      <c r="N869" s="76"/>
      <c r="O869" s="75" t="s">
        <v>1726</v>
      </c>
      <c r="R869" s="74"/>
    </row>
    <row r="870" spans="2:18" ht="36" hidden="1" customHeight="1" x14ac:dyDescent="0.25">
      <c r="B870" s="84">
        <v>1818</v>
      </c>
      <c r="C870" s="83" t="s">
        <v>20</v>
      </c>
      <c r="D870" s="82" t="s">
        <v>1727</v>
      </c>
      <c r="E870" s="81">
        <v>43217</v>
      </c>
      <c r="F870" s="27">
        <f t="shared" ca="1" si="13"/>
        <v>1256</v>
      </c>
      <c r="G870" s="79" t="s">
        <v>1261</v>
      </c>
      <c r="H870" s="80"/>
      <c r="I870" s="80"/>
      <c r="J870" s="79" t="s">
        <v>765</v>
      </c>
      <c r="K870" s="78" t="s">
        <v>623</v>
      </c>
      <c r="L870" s="77">
        <v>43232</v>
      </c>
      <c r="M870" s="68"/>
      <c r="N870" s="76"/>
      <c r="O870" s="75" t="s">
        <v>1728</v>
      </c>
      <c r="R870" s="74"/>
    </row>
    <row r="871" spans="2:18" ht="36" hidden="1" customHeight="1" x14ac:dyDescent="0.25">
      <c r="B871" s="84">
        <v>1828</v>
      </c>
      <c r="C871" s="83" t="s">
        <v>23</v>
      </c>
      <c r="D871" s="82" t="s">
        <v>3545</v>
      </c>
      <c r="E871" s="81">
        <v>43217</v>
      </c>
      <c r="F871" s="27">
        <f t="shared" ca="1" si="13"/>
        <v>1256</v>
      </c>
      <c r="G871" s="79" t="s">
        <v>3546</v>
      </c>
      <c r="H871" s="80"/>
      <c r="I871" s="80"/>
      <c r="J871" s="79" t="s">
        <v>597</v>
      </c>
      <c r="K871" s="78" t="s">
        <v>623</v>
      </c>
      <c r="L871" s="77">
        <v>43230</v>
      </c>
      <c r="M871" s="68"/>
      <c r="N871" s="76"/>
      <c r="O871" s="75" t="s">
        <v>3547</v>
      </c>
      <c r="R871" s="74"/>
    </row>
    <row r="872" spans="2:18" ht="36" hidden="1" customHeight="1" x14ac:dyDescent="0.25">
      <c r="B872" s="84">
        <v>1645</v>
      </c>
      <c r="C872" s="83" t="s">
        <v>36</v>
      </c>
      <c r="D872" s="82" t="s">
        <v>1048</v>
      </c>
      <c r="E872" s="81">
        <v>43222</v>
      </c>
      <c r="F872" s="27">
        <f t="shared" ca="1" si="13"/>
        <v>1251</v>
      </c>
      <c r="G872" s="79" t="s">
        <v>790</v>
      </c>
      <c r="H872" s="80"/>
      <c r="I872" s="80"/>
      <c r="J872" s="79" t="s">
        <v>791</v>
      </c>
      <c r="K872" s="78" t="s">
        <v>580</v>
      </c>
      <c r="L872" s="77">
        <v>43230</v>
      </c>
      <c r="M872" s="68"/>
      <c r="N872" s="76"/>
      <c r="O872" s="75" t="s">
        <v>645</v>
      </c>
      <c r="R872" s="74"/>
    </row>
    <row r="873" spans="2:18" ht="36" hidden="1" customHeight="1" x14ac:dyDescent="0.25">
      <c r="B873" s="84">
        <v>1647</v>
      </c>
      <c r="C873" s="83" t="s">
        <v>8</v>
      </c>
      <c r="D873" s="82" t="s">
        <v>1200</v>
      </c>
      <c r="E873" s="81">
        <v>43222</v>
      </c>
      <c r="F873" s="27">
        <f t="shared" ca="1" si="13"/>
        <v>1251</v>
      </c>
      <c r="G873" s="79" t="s">
        <v>790</v>
      </c>
      <c r="H873" s="80"/>
      <c r="I873" s="80"/>
      <c r="J873" s="79" t="s">
        <v>791</v>
      </c>
      <c r="K873" s="78" t="s">
        <v>580</v>
      </c>
      <c r="L873" s="77">
        <v>43235</v>
      </c>
      <c r="M873" s="68"/>
      <c r="N873" s="76"/>
      <c r="O873" s="75" t="s">
        <v>1201</v>
      </c>
      <c r="R873" s="74"/>
    </row>
    <row r="874" spans="2:18" ht="36" hidden="1" customHeight="1" x14ac:dyDescent="0.25">
      <c r="B874" s="84">
        <v>1819</v>
      </c>
      <c r="C874" s="83" t="s">
        <v>19</v>
      </c>
      <c r="D874" s="82" t="s">
        <v>1919</v>
      </c>
      <c r="E874" s="81">
        <v>43222</v>
      </c>
      <c r="F874" s="27">
        <f t="shared" ca="1" si="13"/>
        <v>1251</v>
      </c>
      <c r="G874" s="79" t="s">
        <v>578</v>
      </c>
      <c r="H874" s="80"/>
      <c r="I874" s="80"/>
      <c r="J874" s="79" t="s">
        <v>597</v>
      </c>
      <c r="K874" s="78" t="s">
        <v>623</v>
      </c>
      <c r="L874" s="77">
        <v>43230</v>
      </c>
      <c r="M874" s="68"/>
      <c r="N874" s="76" t="s">
        <v>1920</v>
      </c>
      <c r="O874" s="75" t="s">
        <v>1921</v>
      </c>
      <c r="R874" s="74"/>
    </row>
    <row r="875" spans="2:18" ht="36" hidden="1" customHeight="1" x14ac:dyDescent="0.25">
      <c r="B875" s="84">
        <v>1820</v>
      </c>
      <c r="C875" s="83" t="s">
        <v>23</v>
      </c>
      <c r="D875" s="82" t="s">
        <v>2127</v>
      </c>
      <c r="E875" s="81">
        <v>43222</v>
      </c>
      <c r="F875" s="27">
        <f t="shared" ca="1" si="13"/>
        <v>1251</v>
      </c>
      <c r="G875" s="79" t="s">
        <v>2125</v>
      </c>
      <c r="H875" s="80"/>
      <c r="I875" s="80"/>
      <c r="J875" s="79" t="s">
        <v>597</v>
      </c>
      <c r="K875" s="78" t="s">
        <v>623</v>
      </c>
      <c r="L875" s="77">
        <v>43231</v>
      </c>
      <c r="M875" s="68"/>
      <c r="N875" s="76"/>
      <c r="O875" s="75" t="s">
        <v>2128</v>
      </c>
      <c r="R875" s="74"/>
    </row>
    <row r="876" spans="2:18" ht="36" hidden="1" customHeight="1" x14ac:dyDescent="0.25">
      <c r="B876" s="84">
        <v>1827</v>
      </c>
      <c r="C876" s="83" t="s">
        <v>23</v>
      </c>
      <c r="D876" s="82" t="s">
        <v>346</v>
      </c>
      <c r="E876" s="81">
        <v>43222</v>
      </c>
      <c r="F876" s="27">
        <f t="shared" ca="1" si="13"/>
        <v>1251</v>
      </c>
      <c r="G876" s="79" t="s">
        <v>1328</v>
      </c>
      <c r="H876" s="80"/>
      <c r="I876" s="80"/>
      <c r="J876" s="79" t="s">
        <v>597</v>
      </c>
      <c r="K876" s="78" t="s">
        <v>623</v>
      </c>
      <c r="L876" s="77">
        <v>43230</v>
      </c>
      <c r="M876" s="68"/>
      <c r="N876" s="76"/>
      <c r="O876" s="75" t="s">
        <v>1724</v>
      </c>
      <c r="R876" s="74"/>
    </row>
    <row r="877" spans="2:18" ht="36" hidden="1" customHeight="1" x14ac:dyDescent="0.25">
      <c r="B877" s="84">
        <v>1828</v>
      </c>
      <c r="C877" s="83" t="s">
        <v>23</v>
      </c>
      <c r="D877" s="82" t="s">
        <v>346</v>
      </c>
      <c r="E877" s="81">
        <v>43222</v>
      </c>
      <c r="F877" s="27">
        <f t="shared" ca="1" si="13"/>
        <v>1251</v>
      </c>
      <c r="G877" s="79" t="s">
        <v>1261</v>
      </c>
      <c r="H877" s="80"/>
      <c r="I877" s="80"/>
      <c r="J877" s="79" t="s">
        <v>765</v>
      </c>
      <c r="K877" s="78" t="s">
        <v>623</v>
      </c>
      <c r="L877" s="77">
        <v>43232</v>
      </c>
      <c r="M877" s="68"/>
      <c r="N877" s="76"/>
      <c r="O877" s="75" t="s">
        <v>1348</v>
      </c>
      <c r="R877" s="74"/>
    </row>
    <row r="878" spans="2:18" ht="36" hidden="1" customHeight="1" x14ac:dyDescent="0.25">
      <c r="B878" s="84">
        <v>1826</v>
      </c>
      <c r="C878" s="83" t="s">
        <v>23</v>
      </c>
      <c r="D878" s="82" t="s">
        <v>346</v>
      </c>
      <c r="E878" s="81">
        <v>43223</v>
      </c>
      <c r="F878" s="27">
        <f t="shared" ca="1" si="13"/>
        <v>1250</v>
      </c>
      <c r="G878" s="79" t="s">
        <v>1261</v>
      </c>
      <c r="H878" s="80"/>
      <c r="I878" s="80"/>
      <c r="J878" s="79" t="s">
        <v>765</v>
      </c>
      <c r="K878" s="78" t="s">
        <v>623</v>
      </c>
      <c r="L878" s="77">
        <v>43232</v>
      </c>
      <c r="M878" s="68"/>
      <c r="N878" s="76"/>
      <c r="O878" s="75" t="s">
        <v>2123</v>
      </c>
      <c r="R878" s="74"/>
    </row>
    <row r="879" spans="2:18" ht="36" hidden="1" customHeight="1" x14ac:dyDescent="0.25">
      <c r="B879" s="84">
        <v>1826</v>
      </c>
      <c r="C879" s="83" t="s">
        <v>11</v>
      </c>
      <c r="D879" s="82" t="s">
        <v>3227</v>
      </c>
      <c r="E879" s="81">
        <v>43223</v>
      </c>
      <c r="F879" s="27">
        <f t="shared" ca="1" si="13"/>
        <v>1250</v>
      </c>
      <c r="G879" s="79" t="s">
        <v>1708</v>
      </c>
      <c r="H879" s="80"/>
      <c r="I879" s="80"/>
      <c r="J879" s="79" t="s">
        <v>765</v>
      </c>
      <c r="K879" s="78" t="s">
        <v>623</v>
      </c>
      <c r="L879" s="77">
        <v>43246</v>
      </c>
      <c r="M879" s="68"/>
      <c r="N879" s="76"/>
      <c r="O879" s="75" t="s">
        <v>3228</v>
      </c>
      <c r="R879" s="74"/>
    </row>
    <row r="880" spans="2:18" ht="36" hidden="1" customHeight="1" x14ac:dyDescent="0.25">
      <c r="B880" s="84">
        <v>1827</v>
      </c>
      <c r="C880" s="83" t="s">
        <v>40</v>
      </c>
      <c r="D880" s="82" t="s">
        <v>3352</v>
      </c>
      <c r="E880" s="81">
        <v>43223</v>
      </c>
      <c r="F880" s="27">
        <f t="shared" ca="1" si="13"/>
        <v>1250</v>
      </c>
      <c r="G880" s="79" t="s">
        <v>1328</v>
      </c>
      <c r="H880" s="80"/>
      <c r="I880" s="80"/>
      <c r="J880" s="79" t="s">
        <v>597</v>
      </c>
      <c r="K880" s="78" t="s">
        <v>623</v>
      </c>
      <c r="L880" s="77">
        <v>43230</v>
      </c>
      <c r="M880" s="68"/>
      <c r="N880" s="76"/>
      <c r="O880" s="75" t="s">
        <v>3353</v>
      </c>
      <c r="R880" s="74"/>
    </row>
    <row r="881" spans="2:18" ht="36" hidden="1" customHeight="1" x14ac:dyDescent="0.25">
      <c r="B881" s="84">
        <v>1827</v>
      </c>
      <c r="C881" s="83" t="s">
        <v>11</v>
      </c>
      <c r="D881" s="82" t="s">
        <v>3354</v>
      </c>
      <c r="E881" s="81">
        <v>43223</v>
      </c>
      <c r="F881" s="27">
        <f t="shared" ca="1" si="13"/>
        <v>1250</v>
      </c>
      <c r="G881" s="79" t="s">
        <v>1730</v>
      </c>
      <c r="H881" s="80"/>
      <c r="I881" s="80"/>
      <c r="J881" s="79" t="s">
        <v>791</v>
      </c>
      <c r="K881" s="78" t="s">
        <v>623</v>
      </c>
      <c r="L881" s="77">
        <v>43239</v>
      </c>
      <c r="M881" s="68"/>
      <c r="N881" s="76"/>
      <c r="O881" s="75" t="s">
        <v>3355</v>
      </c>
      <c r="R881" s="74"/>
    </row>
    <row r="882" spans="2:18" ht="36" hidden="1" customHeight="1" x14ac:dyDescent="0.25">
      <c r="B882" s="84">
        <v>1641</v>
      </c>
      <c r="C882" s="83" t="s">
        <v>40</v>
      </c>
      <c r="D882" s="82" t="s">
        <v>640</v>
      </c>
      <c r="E882" s="81">
        <v>43224</v>
      </c>
      <c r="F882" s="27">
        <f t="shared" ca="1" si="13"/>
        <v>1249</v>
      </c>
      <c r="G882" s="79" t="s">
        <v>641</v>
      </c>
      <c r="H882" s="80"/>
      <c r="I882" s="80"/>
      <c r="J882" s="79" t="s">
        <v>579</v>
      </c>
      <c r="K882" s="78" t="s">
        <v>580</v>
      </c>
      <c r="L882" s="77">
        <v>43253</v>
      </c>
      <c r="M882" s="68"/>
      <c r="N882" s="76"/>
      <c r="O882" s="75" t="s">
        <v>642</v>
      </c>
      <c r="R882" s="74"/>
    </row>
    <row r="883" spans="2:18" ht="36" hidden="1" customHeight="1" x14ac:dyDescent="0.25">
      <c r="B883" s="84">
        <v>1827</v>
      </c>
      <c r="C883" s="83" t="s">
        <v>16</v>
      </c>
      <c r="D883" s="82" t="s">
        <v>3366</v>
      </c>
      <c r="E883" s="81">
        <v>43226</v>
      </c>
      <c r="F883" s="27">
        <f t="shared" ca="1" si="13"/>
        <v>1247</v>
      </c>
      <c r="G883" s="79" t="s">
        <v>578</v>
      </c>
      <c r="H883" s="80"/>
      <c r="I883" s="80"/>
      <c r="J883" s="79" t="s">
        <v>579</v>
      </c>
      <c r="K883" s="78" t="s">
        <v>623</v>
      </c>
      <c r="L883" s="77">
        <v>43260</v>
      </c>
      <c r="M883" s="68"/>
      <c r="N883" s="76"/>
      <c r="O883" s="75" t="s">
        <v>3367</v>
      </c>
      <c r="R883" s="74"/>
    </row>
    <row r="884" spans="2:18" ht="36" hidden="1" customHeight="1" x14ac:dyDescent="0.25">
      <c r="B884" s="84">
        <v>1816</v>
      </c>
      <c r="C884" s="83" t="s">
        <v>23</v>
      </c>
      <c r="D884" s="82" t="s">
        <v>346</v>
      </c>
      <c r="E884" s="81">
        <v>43227</v>
      </c>
      <c r="F884" s="27">
        <f t="shared" ca="1" si="13"/>
        <v>1246</v>
      </c>
      <c r="G884" s="79" t="s">
        <v>1325</v>
      </c>
      <c r="H884" s="80"/>
      <c r="I884" s="80"/>
      <c r="J884" s="79" t="s">
        <v>597</v>
      </c>
      <c r="K884" s="78" t="s">
        <v>623</v>
      </c>
      <c r="L884" s="77">
        <v>43231</v>
      </c>
      <c r="M884" s="68"/>
      <c r="N884" s="76"/>
      <c r="O884" s="75" t="s">
        <v>1348</v>
      </c>
      <c r="R884" s="74"/>
    </row>
    <row r="885" spans="2:18" ht="36" hidden="1" customHeight="1" x14ac:dyDescent="0.25">
      <c r="B885" s="84">
        <v>1816</v>
      </c>
      <c r="C885" s="83" t="s">
        <v>23</v>
      </c>
      <c r="D885" s="82" t="s">
        <v>1349</v>
      </c>
      <c r="E885" s="81">
        <v>43227</v>
      </c>
      <c r="F885" s="27">
        <f t="shared" ca="1" si="13"/>
        <v>1246</v>
      </c>
      <c r="G885" s="79" t="s">
        <v>1325</v>
      </c>
      <c r="H885" s="80"/>
      <c r="I885" s="80"/>
      <c r="J885" s="79" t="s">
        <v>597</v>
      </c>
      <c r="K885" s="78" t="s">
        <v>623</v>
      </c>
      <c r="L885" s="77">
        <v>43231</v>
      </c>
      <c r="M885" s="68"/>
      <c r="N885" s="76"/>
      <c r="O885" s="75" t="s">
        <v>1350</v>
      </c>
      <c r="R885" s="74"/>
    </row>
    <row r="886" spans="2:18" ht="36" hidden="1" customHeight="1" x14ac:dyDescent="0.25">
      <c r="B886" s="84">
        <v>1824</v>
      </c>
      <c r="C886" s="83" t="s">
        <v>23</v>
      </c>
      <c r="D886" s="82" t="s">
        <v>2784</v>
      </c>
      <c r="E886" s="81">
        <v>43228</v>
      </c>
      <c r="F886" s="27">
        <f t="shared" ca="1" si="13"/>
        <v>1245</v>
      </c>
      <c r="G886" s="79" t="s">
        <v>1261</v>
      </c>
      <c r="H886" s="80"/>
      <c r="I886" s="80"/>
      <c r="J886" s="79" t="s">
        <v>765</v>
      </c>
      <c r="K886" s="78" t="s">
        <v>623</v>
      </c>
      <c r="L886" s="77">
        <v>43232</v>
      </c>
      <c r="M886" s="68"/>
      <c r="N886" s="76"/>
      <c r="O886" s="75" t="s">
        <v>2785</v>
      </c>
      <c r="R886" s="74"/>
    </row>
    <row r="887" spans="2:18" ht="36" hidden="1" customHeight="1" x14ac:dyDescent="0.25">
      <c r="B887" s="84">
        <v>1817</v>
      </c>
      <c r="C887" s="83" t="s">
        <v>40</v>
      </c>
      <c r="D887" s="82" t="s">
        <v>1556</v>
      </c>
      <c r="E887" s="81">
        <v>43229</v>
      </c>
      <c r="F887" s="27">
        <f t="shared" ca="1" si="13"/>
        <v>1244</v>
      </c>
      <c r="G887" s="79" t="s">
        <v>1557</v>
      </c>
      <c r="H887" s="80"/>
      <c r="I887" s="80"/>
      <c r="J887" s="79" t="s">
        <v>597</v>
      </c>
      <c r="K887" s="78" t="s">
        <v>623</v>
      </c>
      <c r="L887" s="77">
        <v>43231</v>
      </c>
      <c r="M887" s="68"/>
      <c r="N887" s="76"/>
      <c r="O887" s="75" t="s">
        <v>1558</v>
      </c>
      <c r="R887" s="74"/>
    </row>
    <row r="888" spans="2:18" ht="36" hidden="1" customHeight="1" x14ac:dyDescent="0.25">
      <c r="B888" s="84">
        <v>1822</v>
      </c>
      <c r="C888" s="83" t="s">
        <v>16</v>
      </c>
      <c r="D888" s="82" t="s">
        <v>2436</v>
      </c>
      <c r="E888" s="81">
        <v>43229</v>
      </c>
      <c r="F888" s="27">
        <f t="shared" ca="1" si="13"/>
        <v>1244</v>
      </c>
      <c r="G888" s="79" t="s">
        <v>578</v>
      </c>
      <c r="H888" s="80"/>
      <c r="I888" s="80"/>
      <c r="J888" s="79" t="s">
        <v>597</v>
      </c>
      <c r="K888" s="78" t="s">
        <v>623</v>
      </c>
      <c r="L888" s="77">
        <v>43230</v>
      </c>
      <c r="M888" s="68"/>
      <c r="N888" s="76"/>
      <c r="O888" s="75" t="s">
        <v>2437</v>
      </c>
      <c r="R888" s="74"/>
    </row>
    <row r="889" spans="2:18" ht="36" hidden="1" customHeight="1" x14ac:dyDescent="0.25">
      <c r="B889" s="84">
        <v>1817</v>
      </c>
      <c r="C889" s="83" t="s">
        <v>38</v>
      </c>
      <c r="D889" s="82" t="s">
        <v>1554</v>
      </c>
      <c r="E889" s="81">
        <v>43230</v>
      </c>
      <c r="F889" s="27">
        <f t="shared" ca="1" si="13"/>
        <v>1243</v>
      </c>
      <c r="G889" s="79"/>
      <c r="H889" s="80"/>
      <c r="I889" s="80"/>
      <c r="J889" s="79"/>
      <c r="K889" s="78"/>
      <c r="L889" s="77">
        <v>43231</v>
      </c>
      <c r="M889" s="68"/>
      <c r="N889" s="76" t="s">
        <v>1555</v>
      </c>
      <c r="O889" s="75"/>
      <c r="R889" s="74"/>
    </row>
    <row r="890" spans="2:18" ht="36" hidden="1" customHeight="1" x14ac:dyDescent="0.25">
      <c r="B890" s="84">
        <v>1817</v>
      </c>
      <c r="C890" s="83" t="s">
        <v>18</v>
      </c>
      <c r="D890" s="82" t="s">
        <v>1559</v>
      </c>
      <c r="E890" s="81">
        <v>43230</v>
      </c>
      <c r="F890" s="27">
        <f t="shared" ca="1" si="13"/>
        <v>1243</v>
      </c>
      <c r="G890" s="79" t="s">
        <v>1557</v>
      </c>
      <c r="H890" s="80"/>
      <c r="I890" s="80"/>
      <c r="J890" s="79" t="s">
        <v>597</v>
      </c>
      <c r="K890" s="78" t="s">
        <v>623</v>
      </c>
      <c r="L890" s="77">
        <v>43231</v>
      </c>
      <c r="M890" s="68"/>
      <c r="N890" s="76" t="s">
        <v>1560</v>
      </c>
      <c r="O890" s="75" t="s">
        <v>1561</v>
      </c>
      <c r="R890" s="74"/>
    </row>
    <row r="891" spans="2:18" ht="36" hidden="1" customHeight="1" x14ac:dyDescent="0.25">
      <c r="B891" s="84">
        <v>1822</v>
      </c>
      <c r="C891" s="83" t="s">
        <v>19</v>
      </c>
      <c r="D891" s="82" t="s">
        <v>2438</v>
      </c>
      <c r="E891" s="81">
        <v>43230</v>
      </c>
      <c r="F891" s="27">
        <f t="shared" ca="1" si="13"/>
        <v>1243</v>
      </c>
      <c r="G891" s="79" t="s">
        <v>578</v>
      </c>
      <c r="H891" s="80"/>
      <c r="I891" s="80"/>
      <c r="J891" s="79" t="s">
        <v>597</v>
      </c>
      <c r="K891" s="78" t="s">
        <v>623</v>
      </c>
      <c r="L891" s="77">
        <v>43230</v>
      </c>
      <c r="M891" s="68"/>
      <c r="N891" s="76"/>
      <c r="O891" s="75" t="s">
        <v>2439</v>
      </c>
      <c r="R891" s="74"/>
    </row>
    <row r="892" spans="2:18" ht="36" hidden="1" customHeight="1" x14ac:dyDescent="0.25">
      <c r="B892" s="84">
        <v>1822</v>
      </c>
      <c r="C892" s="83" t="s">
        <v>11</v>
      </c>
      <c r="D892" s="82" t="s">
        <v>2440</v>
      </c>
      <c r="E892" s="81">
        <v>43230</v>
      </c>
      <c r="F892" s="27">
        <f t="shared" ca="1" si="13"/>
        <v>1243</v>
      </c>
      <c r="G892" s="79"/>
      <c r="H892" s="80"/>
      <c r="I892" s="80"/>
      <c r="J892" s="79"/>
      <c r="K892" s="78"/>
      <c r="L892" s="77">
        <v>43231</v>
      </c>
      <c r="M892" s="68"/>
      <c r="N892" s="76"/>
      <c r="O892" s="75" t="s">
        <v>2441</v>
      </c>
      <c r="R892" s="74"/>
    </row>
    <row r="893" spans="2:18" ht="36" hidden="1" customHeight="1" x14ac:dyDescent="0.25">
      <c r="B893" s="84">
        <v>1822</v>
      </c>
      <c r="C893" s="83" t="s">
        <v>39</v>
      </c>
      <c r="D893" s="82" t="s">
        <v>2442</v>
      </c>
      <c r="E893" s="81">
        <v>43230</v>
      </c>
      <c r="F893" s="27">
        <f t="shared" ca="1" si="13"/>
        <v>1243</v>
      </c>
      <c r="G893" s="79"/>
      <c r="H893" s="80"/>
      <c r="I893" s="80"/>
      <c r="J893" s="79"/>
      <c r="K893" s="78"/>
      <c r="L893" s="77">
        <v>43231</v>
      </c>
      <c r="M893" s="68"/>
      <c r="N893" s="76"/>
      <c r="O893" s="75" t="s">
        <v>2443</v>
      </c>
      <c r="R893" s="74"/>
    </row>
    <row r="894" spans="2:18" ht="36" hidden="1" customHeight="1" x14ac:dyDescent="0.25">
      <c r="B894" s="84">
        <v>1822</v>
      </c>
      <c r="C894" s="83" t="s">
        <v>40</v>
      </c>
      <c r="D894" s="82" t="s">
        <v>2444</v>
      </c>
      <c r="E894" s="81">
        <v>43230</v>
      </c>
      <c r="F894" s="27">
        <f t="shared" ca="1" si="13"/>
        <v>1243</v>
      </c>
      <c r="G894" s="79"/>
      <c r="H894" s="80"/>
      <c r="I894" s="80"/>
      <c r="J894" s="79"/>
      <c r="K894" s="78"/>
      <c r="L894" s="77">
        <v>43231</v>
      </c>
      <c r="M894" s="68"/>
      <c r="N894" s="76"/>
      <c r="O894" s="75" t="s">
        <v>2445</v>
      </c>
      <c r="R894" s="74"/>
    </row>
    <row r="895" spans="2:18" ht="36" hidden="1" customHeight="1" x14ac:dyDescent="0.25">
      <c r="B895" s="84">
        <v>1827</v>
      </c>
      <c r="C895" s="83" t="s">
        <v>11</v>
      </c>
      <c r="D895" s="82" t="s">
        <v>3356</v>
      </c>
      <c r="E895" s="81">
        <v>43230</v>
      </c>
      <c r="F895" s="27">
        <f t="shared" ca="1" si="13"/>
        <v>1243</v>
      </c>
      <c r="G895" s="79" t="s">
        <v>3357</v>
      </c>
      <c r="H895" s="80"/>
      <c r="I895" s="80"/>
      <c r="J895" s="79" t="s">
        <v>765</v>
      </c>
      <c r="K895" s="78" t="s">
        <v>623</v>
      </c>
      <c r="L895" s="77">
        <v>43245</v>
      </c>
      <c r="M895" s="68"/>
      <c r="N895" s="76" t="s">
        <v>3358</v>
      </c>
      <c r="O895" s="75" t="s">
        <v>3359</v>
      </c>
      <c r="R895" s="74"/>
    </row>
    <row r="896" spans="2:18" ht="36" hidden="1" customHeight="1" x14ac:dyDescent="0.25">
      <c r="B896" s="84">
        <v>1642</v>
      </c>
      <c r="C896" s="83" t="s">
        <v>11</v>
      </c>
      <c r="D896" s="82" t="s">
        <v>789</v>
      </c>
      <c r="E896" s="81">
        <v>43231</v>
      </c>
      <c r="F896" s="27">
        <f t="shared" ca="1" si="13"/>
        <v>1242</v>
      </c>
      <c r="G896" s="79" t="s">
        <v>790</v>
      </c>
      <c r="H896" s="80"/>
      <c r="I896" s="80"/>
      <c r="J896" s="79" t="s">
        <v>791</v>
      </c>
      <c r="K896" s="78" t="s">
        <v>580</v>
      </c>
      <c r="L896" s="77">
        <v>43235</v>
      </c>
      <c r="M896" s="68"/>
      <c r="N896" s="76"/>
      <c r="O896" s="75" t="s">
        <v>792</v>
      </c>
      <c r="R896" s="74"/>
    </row>
    <row r="897" spans="2:18" ht="36" hidden="1" customHeight="1" x14ac:dyDescent="0.25">
      <c r="B897" s="84">
        <v>1642</v>
      </c>
      <c r="C897" s="83" t="s">
        <v>11</v>
      </c>
      <c r="D897" s="82" t="s">
        <v>793</v>
      </c>
      <c r="E897" s="81">
        <v>43231</v>
      </c>
      <c r="F897" s="27">
        <f t="shared" ca="1" si="13"/>
        <v>1242</v>
      </c>
      <c r="G897" s="79" t="s">
        <v>790</v>
      </c>
      <c r="H897" s="80"/>
      <c r="I897" s="80"/>
      <c r="J897" s="79" t="s">
        <v>791</v>
      </c>
      <c r="K897" s="78" t="s">
        <v>580</v>
      </c>
      <c r="L897" s="77">
        <v>43235</v>
      </c>
      <c r="M897" s="68"/>
      <c r="N897" s="76"/>
      <c r="O897" s="75" t="s">
        <v>794</v>
      </c>
      <c r="R897" s="74"/>
    </row>
    <row r="898" spans="2:18" ht="36" hidden="1" customHeight="1" x14ac:dyDescent="0.25">
      <c r="B898" s="84">
        <v>1817</v>
      </c>
      <c r="C898" s="83" t="s">
        <v>36</v>
      </c>
      <c r="D898" s="82" t="s">
        <v>1562</v>
      </c>
      <c r="E898" s="81">
        <v>43234</v>
      </c>
      <c r="F898" s="27">
        <f t="shared" ca="1" si="13"/>
        <v>1239</v>
      </c>
      <c r="G898" s="79"/>
      <c r="H898" s="80"/>
      <c r="I898" s="80"/>
      <c r="J898" s="79"/>
      <c r="K898" s="78"/>
      <c r="L898" s="77">
        <v>43231</v>
      </c>
      <c r="M898" s="68"/>
      <c r="N898" s="76"/>
      <c r="O898" s="75" t="s">
        <v>1563</v>
      </c>
      <c r="R898" s="74"/>
    </row>
    <row r="899" spans="2:18" ht="36" hidden="1" customHeight="1" x14ac:dyDescent="0.25">
      <c r="B899" s="84">
        <v>1828</v>
      </c>
      <c r="C899" s="83" t="s">
        <v>40</v>
      </c>
      <c r="D899" s="82" t="s">
        <v>3548</v>
      </c>
      <c r="E899" s="81">
        <v>43234</v>
      </c>
      <c r="F899" s="27">
        <f t="shared" ca="1" si="13"/>
        <v>1239</v>
      </c>
      <c r="G899" s="79" t="s">
        <v>3549</v>
      </c>
      <c r="H899" s="80"/>
      <c r="I899" s="80"/>
      <c r="J899" s="79" t="s">
        <v>1301</v>
      </c>
      <c r="K899" s="78" t="s">
        <v>1301</v>
      </c>
      <c r="L899" s="77">
        <v>43245</v>
      </c>
      <c r="M899" s="68"/>
      <c r="N899" s="76"/>
      <c r="O899" s="75" t="s">
        <v>3550</v>
      </c>
      <c r="R899" s="74"/>
    </row>
    <row r="900" spans="2:18" ht="36" hidden="1" customHeight="1" x14ac:dyDescent="0.25">
      <c r="B900" s="84">
        <v>1827</v>
      </c>
      <c r="C900" s="83" t="s">
        <v>21</v>
      </c>
      <c r="D900" s="82" t="s">
        <v>3360</v>
      </c>
      <c r="E900" s="81">
        <v>43235</v>
      </c>
      <c r="F900" s="27">
        <f t="shared" ca="1" si="13"/>
        <v>1238</v>
      </c>
      <c r="G900" s="79" t="s">
        <v>3357</v>
      </c>
      <c r="H900" s="80"/>
      <c r="I900" s="80"/>
      <c r="J900" s="79" t="s">
        <v>765</v>
      </c>
      <c r="K900" s="78" t="s">
        <v>623</v>
      </c>
      <c r="L900" s="77">
        <v>43245</v>
      </c>
      <c r="M900" s="68"/>
      <c r="N900" s="76" t="s">
        <v>3358</v>
      </c>
      <c r="O900" s="75" t="s">
        <v>3361</v>
      </c>
      <c r="R900" s="74"/>
    </row>
    <row r="901" spans="2:18" ht="36" hidden="1" customHeight="1" x14ac:dyDescent="0.25">
      <c r="B901" s="84">
        <v>1824</v>
      </c>
      <c r="C901" s="83" t="s">
        <v>40</v>
      </c>
      <c r="D901" s="82" t="s">
        <v>2794</v>
      </c>
      <c r="E901" s="81">
        <v>43236</v>
      </c>
      <c r="F901" s="27">
        <f t="shared" ca="1" si="13"/>
        <v>1237</v>
      </c>
      <c r="G901" s="79" t="s">
        <v>1328</v>
      </c>
      <c r="H901" s="80"/>
      <c r="I901" s="80"/>
      <c r="J901" s="79" t="s">
        <v>579</v>
      </c>
      <c r="K901" s="78" t="s">
        <v>623</v>
      </c>
      <c r="L901" s="77">
        <v>43260</v>
      </c>
      <c r="M901" s="68"/>
      <c r="N901" s="76" t="s">
        <v>2795</v>
      </c>
      <c r="O901" s="75" t="s">
        <v>2796</v>
      </c>
      <c r="R901" s="74"/>
    </row>
    <row r="902" spans="2:18" ht="36" hidden="1" customHeight="1" x14ac:dyDescent="0.25">
      <c r="B902" s="84">
        <v>1824</v>
      </c>
      <c r="C902" s="83" t="s">
        <v>19</v>
      </c>
      <c r="D902" s="82" t="s">
        <v>2788</v>
      </c>
      <c r="E902" s="81">
        <v>43237</v>
      </c>
      <c r="F902" s="27">
        <f t="shared" ca="1" si="13"/>
        <v>1236</v>
      </c>
      <c r="G902" s="79" t="s">
        <v>1730</v>
      </c>
      <c r="H902" s="80"/>
      <c r="I902" s="80"/>
      <c r="J902" s="79" t="s">
        <v>791</v>
      </c>
      <c r="K902" s="78" t="s">
        <v>623</v>
      </c>
      <c r="L902" s="77">
        <v>43239</v>
      </c>
      <c r="M902" s="68"/>
      <c r="N902" s="76"/>
      <c r="O902" s="75" t="s">
        <v>2789</v>
      </c>
      <c r="R902" s="74"/>
    </row>
    <row r="903" spans="2:18" ht="36" hidden="1" customHeight="1" x14ac:dyDescent="0.25">
      <c r="B903" s="84">
        <v>1818</v>
      </c>
      <c r="C903" s="83" t="s">
        <v>23</v>
      </c>
      <c r="D903" s="82" t="s">
        <v>1729</v>
      </c>
      <c r="E903" s="81">
        <v>43238</v>
      </c>
      <c r="F903" s="27">
        <f t="shared" ca="1" si="13"/>
        <v>1235</v>
      </c>
      <c r="G903" s="79" t="s">
        <v>1730</v>
      </c>
      <c r="H903" s="80"/>
      <c r="I903" s="80"/>
      <c r="J903" s="79" t="s">
        <v>791</v>
      </c>
      <c r="K903" s="78" t="s">
        <v>623</v>
      </c>
      <c r="L903" s="77">
        <v>43234</v>
      </c>
      <c r="M903" s="68"/>
      <c r="N903" s="76"/>
      <c r="O903" s="75" t="s">
        <v>1731</v>
      </c>
      <c r="R903" s="74"/>
    </row>
    <row r="904" spans="2:18" ht="36" hidden="1" customHeight="1" x14ac:dyDescent="0.25">
      <c r="B904" s="84">
        <v>1826</v>
      </c>
      <c r="C904" s="83" t="s">
        <v>36</v>
      </c>
      <c r="D904" s="82" t="s">
        <v>3229</v>
      </c>
      <c r="E904" s="81">
        <v>43238</v>
      </c>
      <c r="F904" s="27">
        <f t="shared" ca="1" si="13"/>
        <v>1235</v>
      </c>
      <c r="G904" s="79" t="s">
        <v>1708</v>
      </c>
      <c r="H904" s="80"/>
      <c r="I904" s="80"/>
      <c r="J904" s="79" t="s">
        <v>765</v>
      </c>
      <c r="K904" s="78" t="s">
        <v>623</v>
      </c>
      <c r="L904" s="77">
        <v>43246</v>
      </c>
      <c r="M904" s="68"/>
      <c r="N904" s="76"/>
      <c r="O904" s="75" t="s">
        <v>3230</v>
      </c>
      <c r="R904" s="74"/>
    </row>
    <row r="905" spans="2:18" ht="36" hidden="1" customHeight="1" x14ac:dyDescent="0.25">
      <c r="B905" s="84">
        <v>1828</v>
      </c>
      <c r="C905" s="83" t="s">
        <v>40</v>
      </c>
      <c r="D905" s="82" t="s">
        <v>3551</v>
      </c>
      <c r="E905" s="81">
        <v>43238</v>
      </c>
      <c r="F905" s="27">
        <f t="shared" ca="1" si="13"/>
        <v>1235</v>
      </c>
      <c r="G905" s="79" t="s">
        <v>3549</v>
      </c>
      <c r="H905" s="80"/>
      <c r="I905" s="80"/>
      <c r="J905" s="79" t="s">
        <v>1301</v>
      </c>
      <c r="K905" s="78" t="s">
        <v>1301</v>
      </c>
      <c r="L905" s="77">
        <v>43245</v>
      </c>
      <c r="M905" s="68"/>
      <c r="N905" s="76"/>
      <c r="O905" s="75" t="s">
        <v>3552</v>
      </c>
      <c r="R905" s="74"/>
    </row>
    <row r="906" spans="2:18" ht="36" hidden="1" customHeight="1" x14ac:dyDescent="0.25">
      <c r="B906" s="84">
        <v>1828</v>
      </c>
      <c r="C906" s="83" t="s">
        <v>23</v>
      </c>
      <c r="D906" s="82" t="s">
        <v>1729</v>
      </c>
      <c r="E906" s="81">
        <v>43238</v>
      </c>
      <c r="F906" s="27">
        <f t="shared" ca="1" si="13"/>
        <v>1235</v>
      </c>
      <c r="G906" s="79" t="s">
        <v>3549</v>
      </c>
      <c r="H906" s="80"/>
      <c r="I906" s="80"/>
      <c r="J906" s="79" t="s">
        <v>1301</v>
      </c>
      <c r="K906" s="78" t="s">
        <v>1301</v>
      </c>
      <c r="L906" s="77">
        <v>43245</v>
      </c>
      <c r="M906" s="68"/>
      <c r="N906" s="76"/>
      <c r="O906" s="75" t="s">
        <v>2123</v>
      </c>
      <c r="R906" s="74"/>
    </row>
    <row r="907" spans="2:18" ht="36" hidden="1" customHeight="1" x14ac:dyDescent="0.25">
      <c r="B907" s="84">
        <v>1828</v>
      </c>
      <c r="C907" s="83" t="s">
        <v>11</v>
      </c>
      <c r="D907" s="82" t="s">
        <v>3557</v>
      </c>
      <c r="E907" s="81">
        <v>43238</v>
      </c>
      <c r="F907" s="27">
        <f t="shared" ca="1" si="13"/>
        <v>1235</v>
      </c>
      <c r="G907" s="79" t="s">
        <v>1934</v>
      </c>
      <c r="H907" s="80"/>
      <c r="I907" s="80"/>
      <c r="J907" s="79" t="s">
        <v>579</v>
      </c>
      <c r="K907" s="78" t="s">
        <v>623</v>
      </c>
      <c r="L907" s="77">
        <v>43269</v>
      </c>
      <c r="M907" s="68"/>
      <c r="N907" s="76"/>
      <c r="O907" s="75" t="s">
        <v>3558</v>
      </c>
      <c r="R907" s="74"/>
    </row>
    <row r="908" spans="2:18" ht="36" hidden="1" customHeight="1" x14ac:dyDescent="0.25">
      <c r="B908" s="84">
        <v>1819</v>
      </c>
      <c r="C908" s="83" t="s">
        <v>19</v>
      </c>
      <c r="D908" s="82" t="s">
        <v>1922</v>
      </c>
      <c r="E908" s="81">
        <v>43242</v>
      </c>
      <c r="F908" s="27">
        <f t="shared" ca="1" si="13"/>
        <v>1231</v>
      </c>
      <c r="G908" s="79" t="s">
        <v>578</v>
      </c>
      <c r="H908" s="80"/>
      <c r="I908" s="80"/>
      <c r="J908" s="79" t="s">
        <v>579</v>
      </c>
      <c r="K908" s="78" t="s">
        <v>623</v>
      </c>
      <c r="L908" s="77">
        <v>43245</v>
      </c>
      <c r="M908" s="68"/>
      <c r="N908" s="76"/>
      <c r="O908" s="75" t="s">
        <v>1923</v>
      </c>
      <c r="R908" s="74"/>
    </row>
    <row r="909" spans="2:18" ht="36" hidden="1" customHeight="1" x14ac:dyDescent="0.25">
      <c r="B909" s="84">
        <v>1824</v>
      </c>
      <c r="C909" s="83" t="s">
        <v>23</v>
      </c>
      <c r="D909" s="82" t="s">
        <v>2790</v>
      </c>
      <c r="E909" s="81">
        <v>43243</v>
      </c>
      <c r="F909" s="27">
        <f t="shared" ca="1" si="13"/>
        <v>1230</v>
      </c>
      <c r="G909" s="79" t="s">
        <v>2300</v>
      </c>
      <c r="H909" s="80"/>
      <c r="I909" s="80"/>
      <c r="J909" s="79" t="s">
        <v>579</v>
      </c>
      <c r="K909" s="78" t="s">
        <v>623</v>
      </c>
      <c r="L909" s="77">
        <v>43245</v>
      </c>
      <c r="M909" s="68"/>
      <c r="N909" s="76"/>
      <c r="O909" s="75" t="s">
        <v>2791</v>
      </c>
      <c r="R909" s="74"/>
    </row>
    <row r="910" spans="2:18" ht="36" hidden="1" customHeight="1" x14ac:dyDescent="0.25">
      <c r="B910" s="84">
        <v>1830</v>
      </c>
      <c r="C910" s="83" t="s">
        <v>16</v>
      </c>
      <c r="D910" s="82" t="s">
        <v>3949</v>
      </c>
      <c r="E910" s="81">
        <v>43243</v>
      </c>
      <c r="F910" s="27">
        <f t="shared" ca="1" si="13"/>
        <v>1230</v>
      </c>
      <c r="G910" s="79" t="s">
        <v>578</v>
      </c>
      <c r="H910" s="80"/>
      <c r="I910" s="80"/>
      <c r="J910" s="79" t="s">
        <v>579</v>
      </c>
      <c r="K910" s="78" t="s">
        <v>623</v>
      </c>
      <c r="L910" s="77">
        <v>43245</v>
      </c>
      <c r="M910" s="68"/>
      <c r="N910" s="76"/>
      <c r="O910" s="75" t="s">
        <v>3950</v>
      </c>
      <c r="R910" s="74"/>
    </row>
    <row r="911" spans="2:18" ht="36" hidden="1" customHeight="1" x14ac:dyDescent="0.25">
      <c r="B911" s="84">
        <v>1819</v>
      </c>
      <c r="C911" s="83" t="s">
        <v>38</v>
      </c>
      <c r="D911" s="82" t="s">
        <v>1924</v>
      </c>
      <c r="E911" s="81">
        <v>43244</v>
      </c>
      <c r="F911" s="27">
        <f t="shared" ca="1" si="13"/>
        <v>1229</v>
      </c>
      <c r="G911" s="79" t="s">
        <v>1708</v>
      </c>
      <c r="H911" s="80"/>
      <c r="I911" s="80"/>
      <c r="J911" s="79" t="s">
        <v>765</v>
      </c>
      <c r="K911" s="78" t="s">
        <v>623</v>
      </c>
      <c r="L911" s="77">
        <v>43246</v>
      </c>
      <c r="M911" s="68"/>
      <c r="N911" s="76"/>
      <c r="O911" s="75" t="s">
        <v>1925</v>
      </c>
      <c r="R911" s="74"/>
    </row>
    <row r="912" spans="2:18" ht="36" hidden="1" customHeight="1" x14ac:dyDescent="0.25">
      <c r="B912" s="84">
        <v>1824</v>
      </c>
      <c r="C912" s="83" t="s">
        <v>23</v>
      </c>
      <c r="D912" s="82" t="s">
        <v>2792</v>
      </c>
      <c r="E912" s="81">
        <v>43244</v>
      </c>
      <c r="F912" s="27">
        <f t="shared" ref="F912:F975" ca="1" si="14">IF(E912&lt;&gt;"",TODAY()-E912,"")</f>
        <v>1229</v>
      </c>
      <c r="G912" s="79" t="s">
        <v>1708</v>
      </c>
      <c r="H912" s="80"/>
      <c r="I912" s="80"/>
      <c r="J912" s="79" t="s">
        <v>765</v>
      </c>
      <c r="K912" s="78" t="s">
        <v>623</v>
      </c>
      <c r="L912" s="77">
        <v>43246</v>
      </c>
      <c r="M912" s="68"/>
      <c r="N912" s="76"/>
      <c r="O912" s="75" t="s">
        <v>2793</v>
      </c>
      <c r="R912" s="74"/>
    </row>
    <row r="913" spans="2:18" ht="36" hidden="1" customHeight="1" x14ac:dyDescent="0.25">
      <c r="B913" s="84">
        <v>1826</v>
      </c>
      <c r="C913" s="83" t="s">
        <v>40</v>
      </c>
      <c r="D913" s="82" t="s">
        <v>3231</v>
      </c>
      <c r="E913" s="81">
        <v>43244</v>
      </c>
      <c r="F913" s="27">
        <f t="shared" ca="1" si="14"/>
        <v>1229</v>
      </c>
      <c r="G913" s="79" t="s">
        <v>1708</v>
      </c>
      <c r="H913" s="80"/>
      <c r="I913" s="80"/>
      <c r="J913" s="79" t="s">
        <v>765</v>
      </c>
      <c r="K913" s="78" t="s">
        <v>623</v>
      </c>
      <c r="L913" s="77">
        <v>43246</v>
      </c>
      <c r="M913" s="68"/>
      <c r="N913" s="76"/>
      <c r="O913" s="75" t="s">
        <v>3232</v>
      </c>
      <c r="R913" s="74"/>
    </row>
    <row r="914" spans="2:18" ht="36" hidden="1" customHeight="1" x14ac:dyDescent="0.25">
      <c r="B914" s="84">
        <v>1830</v>
      </c>
      <c r="C914" s="83" t="s">
        <v>19</v>
      </c>
      <c r="D914" s="82" t="s">
        <v>1569</v>
      </c>
      <c r="E914" s="81">
        <v>43244</v>
      </c>
      <c r="F914" s="27">
        <f t="shared" ca="1" si="14"/>
        <v>1229</v>
      </c>
      <c r="G914" s="79" t="s">
        <v>1708</v>
      </c>
      <c r="H914" s="80"/>
      <c r="I914" s="80"/>
      <c r="J914" s="79" t="s">
        <v>579</v>
      </c>
      <c r="K914" s="78" t="s">
        <v>623</v>
      </c>
      <c r="L914" s="77">
        <v>43246</v>
      </c>
      <c r="M914" s="68"/>
      <c r="N914" s="76"/>
      <c r="O914" s="75" t="s">
        <v>3951</v>
      </c>
      <c r="R914" s="74"/>
    </row>
    <row r="915" spans="2:18" ht="36" hidden="1" customHeight="1" x14ac:dyDescent="0.25">
      <c r="B915" s="84">
        <v>1816</v>
      </c>
      <c r="C915" s="83" t="s">
        <v>31</v>
      </c>
      <c r="D915" s="82" t="s">
        <v>1351</v>
      </c>
      <c r="E915" s="81">
        <v>43245</v>
      </c>
      <c r="F915" s="27">
        <f t="shared" ca="1" si="14"/>
        <v>1228</v>
      </c>
      <c r="G915" s="79" t="s">
        <v>578</v>
      </c>
      <c r="H915" s="80"/>
      <c r="I915" s="80"/>
      <c r="J915" s="79" t="s">
        <v>579</v>
      </c>
      <c r="K915" s="78" t="s">
        <v>623</v>
      </c>
      <c r="L915" s="77">
        <v>43245</v>
      </c>
      <c r="M915" s="68"/>
      <c r="N915" s="76" t="s">
        <v>1352</v>
      </c>
      <c r="O915" s="75"/>
      <c r="R915" s="74"/>
    </row>
    <row r="916" spans="2:18" ht="36" hidden="1" customHeight="1" x14ac:dyDescent="0.25">
      <c r="B916" s="84">
        <v>1817</v>
      </c>
      <c r="C916" s="83" t="s">
        <v>23</v>
      </c>
      <c r="D916" s="82" t="s">
        <v>458</v>
      </c>
      <c r="E916" s="81">
        <v>43245</v>
      </c>
      <c r="F916" s="27">
        <f t="shared" ca="1" si="14"/>
        <v>1228</v>
      </c>
      <c r="G916" s="79" t="s">
        <v>1564</v>
      </c>
      <c r="H916" s="80"/>
      <c r="I916" s="80"/>
      <c r="J916" s="79" t="s">
        <v>579</v>
      </c>
      <c r="K916" s="78" t="s">
        <v>623</v>
      </c>
      <c r="L916" s="77">
        <v>43253</v>
      </c>
      <c r="M916" s="68"/>
      <c r="N916" s="76"/>
      <c r="O916" s="75" t="s">
        <v>1565</v>
      </c>
      <c r="R916" s="74"/>
    </row>
    <row r="917" spans="2:18" ht="36" hidden="1" customHeight="1" x14ac:dyDescent="0.25">
      <c r="B917" s="84">
        <v>1829</v>
      </c>
      <c r="C917" s="83" t="s">
        <v>19</v>
      </c>
      <c r="D917" s="82" t="s">
        <v>3768</v>
      </c>
      <c r="E917" s="81">
        <v>43245</v>
      </c>
      <c r="F917" s="27">
        <f t="shared" ca="1" si="14"/>
        <v>1228</v>
      </c>
      <c r="G917" s="79" t="s">
        <v>1325</v>
      </c>
      <c r="H917" s="80"/>
      <c r="I917" s="80"/>
      <c r="J917" s="79" t="s">
        <v>579</v>
      </c>
      <c r="K917" s="78" t="s">
        <v>623</v>
      </c>
      <c r="L917" s="77">
        <v>43246</v>
      </c>
      <c r="M917" s="68"/>
      <c r="N917" s="76" t="s">
        <v>3769</v>
      </c>
      <c r="O917" s="75" t="s">
        <v>3770</v>
      </c>
      <c r="R917" s="74"/>
    </row>
    <row r="918" spans="2:18" ht="36" hidden="1" customHeight="1" x14ac:dyDescent="0.25">
      <c r="B918" s="84">
        <v>1827</v>
      </c>
      <c r="C918" s="83" t="s">
        <v>21</v>
      </c>
      <c r="D918" s="82" t="s">
        <v>3362</v>
      </c>
      <c r="E918" s="81">
        <v>43248</v>
      </c>
      <c r="F918" s="27">
        <f t="shared" ca="1" si="14"/>
        <v>1225</v>
      </c>
      <c r="G918" s="79"/>
      <c r="H918" s="80"/>
      <c r="I918" s="80"/>
      <c r="J918" s="79"/>
      <c r="K918" s="78"/>
      <c r="L918" s="77">
        <v>43248</v>
      </c>
      <c r="M918" s="68"/>
      <c r="N918" s="76" t="s">
        <v>3363</v>
      </c>
      <c r="O918" s="75" t="s">
        <v>3364</v>
      </c>
      <c r="R918" s="74"/>
    </row>
    <row r="919" spans="2:18" ht="36" hidden="1" customHeight="1" x14ac:dyDescent="0.25">
      <c r="B919" s="84">
        <v>1827</v>
      </c>
      <c r="C919" s="83" t="s">
        <v>23</v>
      </c>
      <c r="D919" s="82" t="s">
        <v>1755</v>
      </c>
      <c r="E919" s="81">
        <v>43248</v>
      </c>
      <c r="F919" s="27">
        <f t="shared" ca="1" si="14"/>
        <v>1225</v>
      </c>
      <c r="G919" s="79" t="s">
        <v>1328</v>
      </c>
      <c r="H919" s="80"/>
      <c r="I919" s="80"/>
      <c r="J919" s="79" t="s">
        <v>579</v>
      </c>
      <c r="K919" s="78" t="s">
        <v>623</v>
      </c>
      <c r="L919" s="77">
        <v>43253</v>
      </c>
      <c r="M919" s="68"/>
      <c r="N919" s="76"/>
      <c r="O919" s="75" t="s">
        <v>3365</v>
      </c>
      <c r="R919" s="74"/>
    </row>
    <row r="920" spans="2:18" ht="36" hidden="1" customHeight="1" x14ac:dyDescent="0.25">
      <c r="B920" s="84">
        <v>1829</v>
      </c>
      <c r="C920" s="83" t="s">
        <v>23</v>
      </c>
      <c r="D920" s="82" t="s">
        <v>1269</v>
      </c>
      <c r="E920" s="81">
        <v>43250</v>
      </c>
      <c r="F920" s="27">
        <f t="shared" ca="1" si="14"/>
        <v>1223</v>
      </c>
      <c r="G920" s="79" t="s">
        <v>3771</v>
      </c>
      <c r="H920" s="80"/>
      <c r="I920" s="80"/>
      <c r="J920" s="79" t="s">
        <v>579</v>
      </c>
      <c r="K920" s="78" t="s">
        <v>623</v>
      </c>
      <c r="L920" s="77">
        <v>43260</v>
      </c>
      <c r="M920" s="68"/>
      <c r="N920" s="76"/>
      <c r="O920" s="75" t="s">
        <v>2116</v>
      </c>
      <c r="R920" s="74"/>
    </row>
    <row r="921" spans="2:18" ht="36" hidden="1" customHeight="1" x14ac:dyDescent="0.25">
      <c r="B921" s="84">
        <v>1830</v>
      </c>
      <c r="C921" s="83" t="s">
        <v>19</v>
      </c>
      <c r="D921" s="82" t="s">
        <v>3954</v>
      </c>
      <c r="E921" s="81">
        <v>43250</v>
      </c>
      <c r="F921" s="27">
        <f t="shared" ca="1" si="14"/>
        <v>1223</v>
      </c>
      <c r="G921" s="79" t="s">
        <v>1708</v>
      </c>
      <c r="H921" s="80"/>
      <c r="I921" s="80"/>
      <c r="J921" s="79" t="s">
        <v>592</v>
      </c>
      <c r="K921" s="78" t="s">
        <v>623</v>
      </c>
      <c r="L921" s="77">
        <v>43251</v>
      </c>
      <c r="M921" s="68"/>
      <c r="N921" s="76"/>
      <c r="O921" s="75" t="s">
        <v>3955</v>
      </c>
      <c r="R921" s="74"/>
    </row>
    <row r="922" spans="2:18" ht="36" hidden="1" customHeight="1" x14ac:dyDescent="0.25">
      <c r="B922" s="84">
        <v>1817</v>
      </c>
      <c r="C922" s="83" t="s">
        <v>29</v>
      </c>
      <c r="D922" s="82" t="s">
        <v>1566</v>
      </c>
      <c r="E922" s="81">
        <v>43252</v>
      </c>
      <c r="F922" s="27">
        <f t="shared" ca="1" si="14"/>
        <v>1221</v>
      </c>
      <c r="G922" s="79" t="s">
        <v>1567</v>
      </c>
      <c r="H922" s="80"/>
      <c r="I922" s="80"/>
      <c r="J922" s="79" t="s">
        <v>579</v>
      </c>
      <c r="K922" s="78" t="s">
        <v>623</v>
      </c>
      <c r="L922" s="77">
        <v>43260</v>
      </c>
      <c r="M922" s="68"/>
      <c r="N922" s="76"/>
      <c r="O922" s="75" t="s">
        <v>1568</v>
      </c>
      <c r="R922" s="74"/>
    </row>
    <row r="923" spans="2:18" ht="36" hidden="1" customHeight="1" x14ac:dyDescent="0.25">
      <c r="B923" s="84">
        <v>1830</v>
      </c>
      <c r="C923" s="83" t="s">
        <v>23</v>
      </c>
      <c r="D923" s="82" t="s">
        <v>3956</v>
      </c>
      <c r="E923" s="81">
        <v>43252</v>
      </c>
      <c r="F923" s="27">
        <f t="shared" ca="1" si="14"/>
        <v>1221</v>
      </c>
      <c r="G923" s="79" t="s">
        <v>1708</v>
      </c>
      <c r="H923" s="80"/>
      <c r="I923" s="80"/>
      <c r="J923" s="79" t="s">
        <v>592</v>
      </c>
      <c r="K923" s="78" t="s">
        <v>623</v>
      </c>
      <c r="L923" s="77">
        <v>43253</v>
      </c>
      <c r="M923" s="68"/>
      <c r="N923" s="76"/>
      <c r="O923" s="75" t="s">
        <v>1731</v>
      </c>
      <c r="R923" s="74"/>
    </row>
    <row r="924" spans="2:18" ht="36" hidden="1" customHeight="1" x14ac:dyDescent="0.25">
      <c r="B924" s="84">
        <v>1830</v>
      </c>
      <c r="C924" s="83" t="s">
        <v>19</v>
      </c>
      <c r="D924" s="82" t="s">
        <v>3957</v>
      </c>
      <c r="E924" s="81">
        <v>43252</v>
      </c>
      <c r="F924" s="27">
        <f t="shared" ca="1" si="14"/>
        <v>1221</v>
      </c>
      <c r="G924" s="79" t="s">
        <v>1328</v>
      </c>
      <c r="H924" s="80"/>
      <c r="I924" s="80"/>
      <c r="J924" s="79" t="s">
        <v>592</v>
      </c>
      <c r="K924" s="78" t="s">
        <v>623</v>
      </c>
      <c r="L924" s="77">
        <v>43263</v>
      </c>
      <c r="M924" s="68"/>
      <c r="N924" s="76"/>
      <c r="O924" s="75" t="s">
        <v>3958</v>
      </c>
      <c r="R924" s="74"/>
    </row>
    <row r="925" spans="2:18" ht="36" hidden="1" customHeight="1" x14ac:dyDescent="0.25">
      <c r="B925" s="84">
        <v>1828</v>
      </c>
      <c r="C925" s="83" t="s">
        <v>37</v>
      </c>
      <c r="D925" s="82" t="s">
        <v>3553</v>
      </c>
      <c r="E925" s="81">
        <v>43255</v>
      </c>
      <c r="F925" s="27">
        <f t="shared" ca="1" si="14"/>
        <v>1218</v>
      </c>
      <c r="G925" s="79"/>
      <c r="H925" s="80"/>
      <c r="I925" s="80"/>
      <c r="J925" s="79"/>
      <c r="K925" s="78"/>
      <c r="L925" s="77">
        <v>43255</v>
      </c>
      <c r="M925" s="68"/>
      <c r="N925" s="76" t="s">
        <v>223</v>
      </c>
      <c r="O925" s="75"/>
      <c r="R925" s="74"/>
    </row>
    <row r="926" spans="2:18" ht="36" hidden="1" customHeight="1" x14ac:dyDescent="0.25">
      <c r="B926" s="84">
        <v>1828</v>
      </c>
      <c r="C926" s="83" t="s">
        <v>35</v>
      </c>
      <c r="D926" s="82" t="s">
        <v>3554</v>
      </c>
      <c r="E926" s="81">
        <v>43255</v>
      </c>
      <c r="F926" s="27">
        <f t="shared" ca="1" si="14"/>
        <v>1218</v>
      </c>
      <c r="G926" s="79" t="s">
        <v>578</v>
      </c>
      <c r="H926" s="80"/>
      <c r="I926" s="80"/>
      <c r="J926" s="79" t="s">
        <v>579</v>
      </c>
      <c r="K926" s="78" t="s">
        <v>623</v>
      </c>
      <c r="L926" s="77">
        <v>43260</v>
      </c>
      <c r="M926" s="68"/>
      <c r="N926" s="76" t="s">
        <v>3555</v>
      </c>
      <c r="O926" s="75" t="s">
        <v>3556</v>
      </c>
      <c r="R926" s="74"/>
    </row>
    <row r="927" spans="2:18" ht="36" hidden="1" customHeight="1" x14ac:dyDescent="0.25">
      <c r="B927" s="84">
        <v>1829</v>
      </c>
      <c r="C927" s="83" t="s">
        <v>23</v>
      </c>
      <c r="D927" s="82" t="s">
        <v>3772</v>
      </c>
      <c r="E927" s="81">
        <v>43255</v>
      </c>
      <c r="F927" s="27">
        <f t="shared" ca="1" si="14"/>
        <v>1218</v>
      </c>
      <c r="G927" s="79" t="s">
        <v>3771</v>
      </c>
      <c r="H927" s="80"/>
      <c r="I927" s="80"/>
      <c r="J927" s="79" t="s">
        <v>579</v>
      </c>
      <c r="K927" s="78" t="s">
        <v>623</v>
      </c>
      <c r="L927" s="77">
        <v>43260</v>
      </c>
      <c r="M927" s="68"/>
      <c r="N927" s="76"/>
      <c r="O927" s="75" t="s">
        <v>3773</v>
      </c>
      <c r="R927" s="74"/>
    </row>
    <row r="928" spans="2:18" ht="36" hidden="1" customHeight="1" x14ac:dyDescent="0.25">
      <c r="B928" s="84">
        <v>1819</v>
      </c>
      <c r="C928" s="83" t="s">
        <v>19</v>
      </c>
      <c r="D928" s="82" t="s">
        <v>1929</v>
      </c>
      <c r="E928" s="81">
        <v>43256</v>
      </c>
      <c r="F928" s="27">
        <f t="shared" ca="1" si="14"/>
        <v>1217</v>
      </c>
      <c r="G928" s="79" t="s">
        <v>578</v>
      </c>
      <c r="H928" s="80"/>
      <c r="I928" s="80"/>
      <c r="J928" s="79" t="s">
        <v>579</v>
      </c>
      <c r="K928" s="78" t="s">
        <v>623</v>
      </c>
      <c r="L928" s="77">
        <v>43256</v>
      </c>
      <c r="M928" s="68"/>
      <c r="N928" s="76"/>
      <c r="O928" s="75" t="s">
        <v>1930</v>
      </c>
      <c r="R928" s="74"/>
    </row>
    <row r="929" spans="2:18" ht="36" hidden="1" customHeight="1" x14ac:dyDescent="0.25">
      <c r="B929" s="84">
        <v>1819</v>
      </c>
      <c r="C929" s="83" t="s">
        <v>11</v>
      </c>
      <c r="D929" s="82" t="s">
        <v>1933</v>
      </c>
      <c r="E929" s="81">
        <v>43257</v>
      </c>
      <c r="F929" s="27">
        <f t="shared" ca="1" si="14"/>
        <v>1216</v>
      </c>
      <c r="G929" s="79" t="s">
        <v>1934</v>
      </c>
      <c r="H929" s="80"/>
      <c r="I929" s="80"/>
      <c r="J929" s="79" t="s">
        <v>765</v>
      </c>
      <c r="K929" s="78" t="s">
        <v>623</v>
      </c>
      <c r="L929" s="77">
        <v>43272</v>
      </c>
      <c r="M929" s="68"/>
      <c r="N929" s="76"/>
      <c r="O929" s="75" t="s">
        <v>1935</v>
      </c>
      <c r="R929" s="74"/>
    </row>
    <row r="930" spans="2:18" ht="36" hidden="1" customHeight="1" x14ac:dyDescent="0.25">
      <c r="B930" s="84">
        <v>1818</v>
      </c>
      <c r="C930" s="83" t="s">
        <v>39</v>
      </c>
      <c r="D930" s="82" t="s">
        <v>1732</v>
      </c>
      <c r="E930" s="81">
        <v>43258</v>
      </c>
      <c r="F930" s="27">
        <f t="shared" ca="1" si="14"/>
        <v>1215</v>
      </c>
      <c r="G930" s="79" t="s">
        <v>1328</v>
      </c>
      <c r="H930" s="80"/>
      <c r="I930" s="80"/>
      <c r="J930" s="79" t="s">
        <v>579</v>
      </c>
      <c r="K930" s="78" t="s">
        <v>623</v>
      </c>
      <c r="L930" s="77">
        <v>43260</v>
      </c>
      <c r="M930" s="68"/>
      <c r="N930" s="76"/>
      <c r="O930" s="75" t="s">
        <v>1733</v>
      </c>
      <c r="R930" s="74"/>
    </row>
    <row r="931" spans="2:18" ht="36" hidden="1" customHeight="1" x14ac:dyDescent="0.25">
      <c r="B931" s="84">
        <v>1818</v>
      </c>
      <c r="C931" s="83" t="s">
        <v>23</v>
      </c>
      <c r="D931" s="82" t="s">
        <v>1734</v>
      </c>
      <c r="E931" s="81">
        <v>43259</v>
      </c>
      <c r="F931" s="27">
        <f t="shared" ca="1" si="14"/>
        <v>1214</v>
      </c>
      <c r="G931" s="79" t="s">
        <v>1328</v>
      </c>
      <c r="H931" s="80"/>
      <c r="I931" s="80"/>
      <c r="J931" s="79" t="s">
        <v>579</v>
      </c>
      <c r="K931" s="78" t="s">
        <v>623</v>
      </c>
      <c r="L931" s="77">
        <v>43260</v>
      </c>
      <c r="M931" s="68"/>
      <c r="N931" s="76"/>
      <c r="O931" s="75" t="s">
        <v>1735</v>
      </c>
      <c r="R931" s="74"/>
    </row>
    <row r="932" spans="2:18" ht="36" hidden="1" customHeight="1" x14ac:dyDescent="0.25">
      <c r="B932" s="84">
        <v>1824</v>
      </c>
      <c r="C932" s="83" t="s">
        <v>10</v>
      </c>
      <c r="D932" s="82" t="s">
        <v>2797</v>
      </c>
      <c r="E932" s="81">
        <v>43259</v>
      </c>
      <c r="F932" s="27">
        <f t="shared" ca="1" si="14"/>
        <v>1214</v>
      </c>
      <c r="G932" s="79" t="s">
        <v>1328</v>
      </c>
      <c r="H932" s="80"/>
      <c r="I932" s="80"/>
      <c r="J932" s="79" t="s">
        <v>579</v>
      </c>
      <c r="K932" s="78" t="s">
        <v>623</v>
      </c>
      <c r="L932" s="77">
        <v>43260</v>
      </c>
      <c r="M932" s="68"/>
      <c r="N932" s="76"/>
      <c r="O932" s="75" t="s">
        <v>2798</v>
      </c>
      <c r="R932" s="74"/>
    </row>
    <row r="933" spans="2:18" ht="36" hidden="1" customHeight="1" x14ac:dyDescent="0.25">
      <c r="B933" s="84">
        <v>1829</v>
      </c>
      <c r="C933" s="83" t="s">
        <v>10</v>
      </c>
      <c r="D933" s="82" t="s">
        <v>2797</v>
      </c>
      <c r="E933" s="81">
        <v>43259</v>
      </c>
      <c r="F933" s="27">
        <f t="shared" ca="1" si="14"/>
        <v>1214</v>
      </c>
      <c r="G933" s="79" t="s">
        <v>1328</v>
      </c>
      <c r="H933" s="80"/>
      <c r="I933" s="80"/>
      <c r="J933" s="79" t="s">
        <v>579</v>
      </c>
      <c r="K933" s="78" t="s">
        <v>623</v>
      </c>
      <c r="L933" s="77">
        <v>43260</v>
      </c>
      <c r="M933" s="68"/>
      <c r="N933" s="76"/>
      <c r="O933" s="75" t="s">
        <v>2798</v>
      </c>
      <c r="R933" s="74"/>
    </row>
    <row r="934" spans="2:18" ht="36" hidden="1" customHeight="1" x14ac:dyDescent="0.25">
      <c r="B934" s="84">
        <v>1830</v>
      </c>
      <c r="C934" s="83" t="s">
        <v>9</v>
      </c>
      <c r="D934" s="82" t="s">
        <v>3959</v>
      </c>
      <c r="E934" s="81">
        <v>43259</v>
      </c>
      <c r="F934" s="27">
        <f t="shared" ca="1" si="14"/>
        <v>1214</v>
      </c>
      <c r="G934" s="79" t="s">
        <v>1074</v>
      </c>
      <c r="H934" s="80"/>
      <c r="I934" s="80"/>
      <c r="J934" s="79" t="s">
        <v>592</v>
      </c>
      <c r="K934" s="78" t="s">
        <v>1301</v>
      </c>
      <c r="L934" s="77">
        <v>43278</v>
      </c>
      <c r="M934" s="68"/>
      <c r="N934" s="76"/>
      <c r="O934" s="75" t="s">
        <v>3960</v>
      </c>
      <c r="R934" s="74"/>
    </row>
    <row r="935" spans="2:18" ht="36" hidden="1" customHeight="1" x14ac:dyDescent="0.25">
      <c r="B935" s="84">
        <v>1830</v>
      </c>
      <c r="C935" s="83" t="s">
        <v>21</v>
      </c>
      <c r="D935" s="82" t="s">
        <v>3964</v>
      </c>
      <c r="E935" s="81">
        <v>43259</v>
      </c>
      <c r="F935" s="27">
        <f t="shared" ca="1" si="14"/>
        <v>1214</v>
      </c>
      <c r="G935" s="79" t="s">
        <v>1074</v>
      </c>
      <c r="H935" s="80"/>
      <c r="I935" s="80"/>
      <c r="J935" s="79" t="s">
        <v>592</v>
      </c>
      <c r="K935" s="78" t="s">
        <v>1301</v>
      </c>
      <c r="L935" s="77">
        <v>43304</v>
      </c>
      <c r="M935" s="68"/>
      <c r="N935" s="76"/>
      <c r="O935" s="75" t="s">
        <v>3965</v>
      </c>
      <c r="R935" s="74"/>
    </row>
    <row r="936" spans="2:18" ht="36" hidden="1" customHeight="1" x14ac:dyDescent="0.25">
      <c r="B936" s="84">
        <v>1645</v>
      </c>
      <c r="C936" s="83" t="s">
        <v>40</v>
      </c>
      <c r="D936" s="82" t="s">
        <v>1049</v>
      </c>
      <c r="E936" s="81">
        <v>43262</v>
      </c>
      <c r="F936" s="27">
        <f t="shared" ca="1" si="14"/>
        <v>1211</v>
      </c>
      <c r="G936" s="79" t="s">
        <v>644</v>
      </c>
      <c r="H936" s="80"/>
      <c r="I936" s="80"/>
      <c r="J936" s="79" t="s">
        <v>579</v>
      </c>
      <c r="K936" s="78" t="s">
        <v>580</v>
      </c>
      <c r="L936" s="77">
        <v>43271</v>
      </c>
      <c r="M936" s="68"/>
      <c r="N936" s="76" t="s">
        <v>1050</v>
      </c>
      <c r="O936" s="75"/>
      <c r="R936" s="74"/>
    </row>
    <row r="937" spans="2:18" ht="36" hidden="1" customHeight="1" x14ac:dyDescent="0.25">
      <c r="B937" s="84">
        <v>1825</v>
      </c>
      <c r="C937" s="83" t="s">
        <v>31</v>
      </c>
      <c r="D937" s="82" t="s">
        <v>3046</v>
      </c>
      <c r="E937" s="81">
        <v>43262</v>
      </c>
      <c r="F937" s="27">
        <f t="shared" ca="1" si="14"/>
        <v>1211</v>
      </c>
      <c r="G937" s="79" t="s">
        <v>1934</v>
      </c>
      <c r="H937" s="80"/>
      <c r="I937" s="80"/>
      <c r="J937" s="79" t="s">
        <v>765</v>
      </c>
      <c r="K937" s="78" t="s">
        <v>623</v>
      </c>
      <c r="L937" s="77">
        <v>43263</v>
      </c>
      <c r="M937" s="68"/>
      <c r="N937" s="76" t="s">
        <v>1041</v>
      </c>
      <c r="O937" s="75" t="s">
        <v>3047</v>
      </c>
      <c r="R937" s="74"/>
    </row>
    <row r="938" spans="2:18" ht="36" hidden="1" customHeight="1" x14ac:dyDescent="0.25">
      <c r="B938" s="84">
        <v>1641</v>
      </c>
      <c r="C938" s="83" t="s">
        <v>40</v>
      </c>
      <c r="D938" s="82" t="s">
        <v>643</v>
      </c>
      <c r="E938" s="81">
        <v>43263</v>
      </c>
      <c r="F938" s="27">
        <f t="shared" ca="1" si="14"/>
        <v>1210</v>
      </c>
      <c r="G938" s="79" t="s">
        <v>644</v>
      </c>
      <c r="H938" s="80"/>
      <c r="I938" s="80"/>
      <c r="J938" s="79" t="s">
        <v>579</v>
      </c>
      <c r="K938" s="78" t="s">
        <v>580</v>
      </c>
      <c r="L938" s="77">
        <v>43272</v>
      </c>
      <c r="M938" s="68"/>
      <c r="N938" s="76"/>
      <c r="O938" s="75" t="s">
        <v>645</v>
      </c>
      <c r="R938" s="74"/>
    </row>
    <row r="939" spans="2:18" ht="36" hidden="1" customHeight="1" x14ac:dyDescent="0.25">
      <c r="B939" s="84">
        <v>1829</v>
      </c>
      <c r="C939" s="83" t="s">
        <v>23</v>
      </c>
      <c r="D939" s="82" t="s">
        <v>3774</v>
      </c>
      <c r="E939" s="81">
        <v>43263</v>
      </c>
      <c r="F939" s="27">
        <f t="shared" ca="1" si="14"/>
        <v>1210</v>
      </c>
      <c r="G939" s="79" t="s">
        <v>1934</v>
      </c>
      <c r="H939" s="80"/>
      <c r="I939" s="80"/>
      <c r="J939" s="79" t="s">
        <v>765</v>
      </c>
      <c r="K939" s="78" t="s">
        <v>623</v>
      </c>
      <c r="L939" s="77">
        <v>43274</v>
      </c>
      <c r="M939" s="68"/>
      <c r="N939" s="76"/>
      <c r="O939" s="75" t="s">
        <v>3775</v>
      </c>
      <c r="R939" s="74"/>
    </row>
    <row r="940" spans="2:18" ht="36" hidden="1" customHeight="1" x14ac:dyDescent="0.25">
      <c r="B940" s="84">
        <v>1819</v>
      </c>
      <c r="C940" s="83" t="s">
        <v>16</v>
      </c>
      <c r="D940" s="82" t="s">
        <v>1931</v>
      </c>
      <c r="E940" s="81">
        <v>43264</v>
      </c>
      <c r="F940" s="27">
        <f t="shared" ca="1" si="14"/>
        <v>1209</v>
      </c>
      <c r="G940" s="79"/>
      <c r="H940" s="80"/>
      <c r="I940" s="80"/>
      <c r="J940" s="79"/>
      <c r="K940" s="78"/>
      <c r="L940" s="77">
        <v>43264</v>
      </c>
      <c r="M940" s="68"/>
      <c r="N940" s="76" t="s">
        <v>1932</v>
      </c>
      <c r="O940" s="75"/>
      <c r="R940" s="74"/>
    </row>
    <row r="941" spans="2:18" ht="36" hidden="1" customHeight="1" x14ac:dyDescent="0.25">
      <c r="B941" s="84">
        <v>1644</v>
      </c>
      <c r="C941" s="83" t="s">
        <v>40</v>
      </c>
      <c r="D941" s="82" t="s">
        <v>877</v>
      </c>
      <c r="E941" s="81">
        <v>43266</v>
      </c>
      <c r="F941" s="27">
        <f t="shared" ca="1" si="14"/>
        <v>1207</v>
      </c>
      <c r="G941" s="79" t="s">
        <v>644</v>
      </c>
      <c r="H941" s="80"/>
      <c r="I941" s="80"/>
      <c r="J941" s="79" t="s">
        <v>579</v>
      </c>
      <c r="K941" s="78" t="s">
        <v>580</v>
      </c>
      <c r="L941" s="77">
        <v>43271</v>
      </c>
      <c r="M941" s="68"/>
      <c r="N941" s="76" t="s">
        <v>959</v>
      </c>
      <c r="O941" s="75"/>
      <c r="R941" s="74"/>
    </row>
    <row r="942" spans="2:18" ht="36" hidden="1" customHeight="1" x14ac:dyDescent="0.25">
      <c r="B942" s="84">
        <v>1819</v>
      </c>
      <c r="C942" s="83" t="s">
        <v>19</v>
      </c>
      <c r="D942" s="82" t="s">
        <v>1936</v>
      </c>
      <c r="E942" s="81">
        <v>43266</v>
      </c>
      <c r="F942" s="27">
        <f t="shared" ca="1" si="14"/>
        <v>1207</v>
      </c>
      <c r="G942" s="79" t="s">
        <v>1934</v>
      </c>
      <c r="H942" s="80"/>
      <c r="I942" s="80"/>
      <c r="J942" s="79" t="s">
        <v>765</v>
      </c>
      <c r="K942" s="78" t="s">
        <v>623</v>
      </c>
      <c r="L942" s="77">
        <v>43272</v>
      </c>
      <c r="M942" s="68"/>
      <c r="N942" s="76"/>
      <c r="O942" s="75" t="s">
        <v>1937</v>
      </c>
      <c r="R942" s="74"/>
    </row>
    <row r="943" spans="2:18" ht="36" hidden="1" customHeight="1" x14ac:dyDescent="0.25">
      <c r="B943" s="84">
        <v>1824</v>
      </c>
      <c r="C943" s="83" t="s">
        <v>40</v>
      </c>
      <c r="D943" s="82" t="s">
        <v>2799</v>
      </c>
      <c r="E943" s="81">
        <v>43266</v>
      </c>
      <c r="F943" s="27">
        <f t="shared" ca="1" si="14"/>
        <v>1207</v>
      </c>
      <c r="G943" s="79" t="s">
        <v>1934</v>
      </c>
      <c r="H943" s="80"/>
      <c r="I943" s="80"/>
      <c r="J943" s="79" t="s">
        <v>765</v>
      </c>
      <c r="K943" s="78" t="s">
        <v>623</v>
      </c>
      <c r="L943" s="77">
        <v>43274</v>
      </c>
      <c r="M943" s="68"/>
      <c r="N943" s="76"/>
      <c r="O943" s="75" t="s">
        <v>2800</v>
      </c>
      <c r="R943" s="74"/>
    </row>
    <row r="944" spans="2:18" ht="36" hidden="1" customHeight="1" x14ac:dyDescent="0.25">
      <c r="B944" s="84">
        <v>1827</v>
      </c>
      <c r="C944" s="83" t="s">
        <v>19</v>
      </c>
      <c r="D944" s="82" t="s">
        <v>3368</v>
      </c>
      <c r="E944" s="81">
        <v>43266</v>
      </c>
      <c r="F944" s="27">
        <f t="shared" ca="1" si="14"/>
        <v>1207</v>
      </c>
      <c r="G944" s="79" t="s">
        <v>1934</v>
      </c>
      <c r="H944" s="80"/>
      <c r="I944" s="80"/>
      <c r="J944" s="79" t="s">
        <v>765</v>
      </c>
      <c r="K944" s="78" t="s">
        <v>623</v>
      </c>
      <c r="L944" s="77">
        <v>43274</v>
      </c>
      <c r="M944" s="68"/>
      <c r="N944" s="76"/>
      <c r="O944" s="75" t="s">
        <v>3369</v>
      </c>
      <c r="R944" s="74"/>
    </row>
    <row r="945" spans="2:18" ht="36" hidden="1" customHeight="1" x14ac:dyDescent="0.25">
      <c r="B945" s="84">
        <v>1829</v>
      </c>
      <c r="C945" s="83" t="s">
        <v>19</v>
      </c>
      <c r="D945" s="82" t="s">
        <v>3776</v>
      </c>
      <c r="E945" s="81">
        <v>43266</v>
      </c>
      <c r="F945" s="27">
        <f t="shared" ca="1" si="14"/>
        <v>1207</v>
      </c>
      <c r="G945" s="79" t="s">
        <v>1934</v>
      </c>
      <c r="H945" s="80"/>
      <c r="I945" s="80"/>
      <c r="J945" s="79" t="s">
        <v>765</v>
      </c>
      <c r="K945" s="78" t="s">
        <v>623</v>
      </c>
      <c r="L945" s="77">
        <v>43274</v>
      </c>
      <c r="M945" s="68"/>
      <c r="N945" s="76"/>
      <c r="O945" s="75" t="s">
        <v>3777</v>
      </c>
      <c r="R945" s="74"/>
    </row>
    <row r="946" spans="2:18" ht="36" hidden="1" customHeight="1" x14ac:dyDescent="0.25">
      <c r="B946" s="84">
        <v>1643</v>
      </c>
      <c r="C946" s="83" t="s">
        <v>40</v>
      </c>
      <c r="D946" s="82" t="s">
        <v>877</v>
      </c>
      <c r="E946" s="81">
        <v>43270</v>
      </c>
      <c r="F946" s="27">
        <f t="shared" ca="1" si="14"/>
        <v>1203</v>
      </c>
      <c r="G946" s="79" t="s">
        <v>644</v>
      </c>
      <c r="H946" s="80"/>
      <c r="I946" s="80"/>
      <c r="J946" s="79" t="s">
        <v>579</v>
      </c>
      <c r="K946" s="78" t="s">
        <v>580</v>
      </c>
      <c r="L946" s="77">
        <v>43271</v>
      </c>
      <c r="M946" s="68"/>
      <c r="N946" s="76" t="s">
        <v>878</v>
      </c>
      <c r="O946" s="75"/>
      <c r="R946" s="74"/>
    </row>
    <row r="947" spans="2:18" ht="36" hidden="1" customHeight="1" x14ac:dyDescent="0.25">
      <c r="B947" s="84">
        <v>1818</v>
      </c>
      <c r="C947" s="83" t="s">
        <v>23</v>
      </c>
      <c r="D947" s="82" t="s">
        <v>1736</v>
      </c>
      <c r="E947" s="81">
        <v>43271</v>
      </c>
      <c r="F947" s="27">
        <f t="shared" ca="1" si="14"/>
        <v>1202</v>
      </c>
      <c r="G947" s="79"/>
      <c r="H947" s="80"/>
      <c r="I947" s="80"/>
      <c r="J947" s="79"/>
      <c r="K947" s="78"/>
      <c r="L947" s="77">
        <v>43271</v>
      </c>
      <c r="M947" s="68"/>
      <c r="N947" s="76" t="s">
        <v>1737</v>
      </c>
      <c r="O947" s="75"/>
      <c r="R947" s="74"/>
    </row>
    <row r="948" spans="2:18" ht="36" hidden="1" customHeight="1" x14ac:dyDescent="0.25">
      <c r="B948" s="84">
        <v>1824</v>
      </c>
      <c r="C948" s="83" t="s">
        <v>11</v>
      </c>
      <c r="D948" s="82" t="s">
        <v>2801</v>
      </c>
      <c r="E948" s="81">
        <v>43271</v>
      </c>
      <c r="F948" s="27">
        <f t="shared" ca="1" si="14"/>
        <v>1202</v>
      </c>
      <c r="G948" s="79" t="s">
        <v>1934</v>
      </c>
      <c r="H948" s="80"/>
      <c r="I948" s="80"/>
      <c r="J948" s="79" t="s">
        <v>765</v>
      </c>
      <c r="K948" s="78" t="s">
        <v>623</v>
      </c>
      <c r="L948" s="77">
        <v>43274</v>
      </c>
      <c r="M948" s="68"/>
      <c r="N948" s="76"/>
      <c r="O948" s="75" t="s">
        <v>2802</v>
      </c>
      <c r="R948" s="74"/>
    </row>
    <row r="949" spans="2:18" ht="36" hidden="1" customHeight="1" x14ac:dyDescent="0.25">
      <c r="B949" s="84">
        <v>1824</v>
      </c>
      <c r="C949" s="83" t="s">
        <v>23</v>
      </c>
      <c r="D949" s="82" t="s">
        <v>2803</v>
      </c>
      <c r="E949" s="81">
        <v>43273</v>
      </c>
      <c r="F949" s="27">
        <f t="shared" ca="1" si="14"/>
        <v>1200</v>
      </c>
      <c r="G949" s="79" t="s">
        <v>1934</v>
      </c>
      <c r="H949" s="80"/>
      <c r="I949" s="80"/>
      <c r="J949" s="79" t="s">
        <v>765</v>
      </c>
      <c r="K949" s="78" t="s">
        <v>623</v>
      </c>
      <c r="L949" s="77">
        <v>43274</v>
      </c>
      <c r="M949" s="68"/>
      <c r="N949" s="76"/>
      <c r="O949" s="75" t="s">
        <v>2804</v>
      </c>
      <c r="R949" s="74"/>
    </row>
    <row r="950" spans="2:18" ht="36" hidden="1" customHeight="1" x14ac:dyDescent="0.25">
      <c r="B950" s="84">
        <v>1828</v>
      </c>
      <c r="C950" s="83" t="s">
        <v>27</v>
      </c>
      <c r="D950" s="82" t="s">
        <v>3559</v>
      </c>
      <c r="E950" s="81">
        <v>43273</v>
      </c>
      <c r="F950" s="27">
        <f t="shared" ca="1" si="14"/>
        <v>1200</v>
      </c>
      <c r="G950" s="79" t="s">
        <v>1934</v>
      </c>
      <c r="H950" s="80"/>
      <c r="I950" s="80"/>
      <c r="J950" s="79" t="s">
        <v>765</v>
      </c>
      <c r="K950" s="78" t="s">
        <v>623</v>
      </c>
      <c r="L950" s="77">
        <v>43276</v>
      </c>
      <c r="M950" s="68"/>
      <c r="N950" s="76" t="s">
        <v>3560</v>
      </c>
      <c r="O950" s="75" t="s">
        <v>3561</v>
      </c>
      <c r="R950" s="74"/>
    </row>
    <row r="951" spans="2:18" ht="36" hidden="1" customHeight="1" x14ac:dyDescent="0.25">
      <c r="B951" s="84">
        <v>1830</v>
      </c>
      <c r="C951" s="83" t="s">
        <v>19</v>
      </c>
      <c r="D951" s="82" t="s">
        <v>967</v>
      </c>
      <c r="E951" s="81">
        <v>43273</v>
      </c>
      <c r="F951" s="27">
        <f t="shared" ca="1" si="14"/>
        <v>1200</v>
      </c>
      <c r="G951" s="79" t="s">
        <v>1074</v>
      </c>
      <c r="H951" s="80"/>
      <c r="I951" s="80"/>
      <c r="J951" s="79" t="s">
        <v>592</v>
      </c>
      <c r="K951" s="78" t="s">
        <v>1301</v>
      </c>
      <c r="L951" s="77">
        <v>43278</v>
      </c>
      <c r="M951" s="68"/>
      <c r="N951" s="76"/>
      <c r="O951" s="75" t="s">
        <v>3961</v>
      </c>
      <c r="R951" s="74"/>
    </row>
    <row r="952" spans="2:18" ht="36" hidden="1" customHeight="1" x14ac:dyDescent="0.25">
      <c r="B952" s="84">
        <v>1816</v>
      </c>
      <c r="C952" s="83" t="s">
        <v>23</v>
      </c>
      <c r="D952" s="82" t="s">
        <v>1353</v>
      </c>
      <c r="E952" s="81">
        <v>43276</v>
      </c>
      <c r="F952" s="27">
        <f t="shared" ca="1" si="14"/>
        <v>1197</v>
      </c>
      <c r="G952" s="79" t="s">
        <v>1354</v>
      </c>
      <c r="H952" s="80"/>
      <c r="I952" s="80"/>
      <c r="J952" s="79" t="s">
        <v>765</v>
      </c>
      <c r="K952" s="78" t="s">
        <v>623</v>
      </c>
      <c r="L952" s="77">
        <v>43295</v>
      </c>
      <c r="M952" s="68"/>
      <c r="N952" s="76"/>
      <c r="O952" s="75" t="s">
        <v>1355</v>
      </c>
      <c r="R952" s="74"/>
    </row>
    <row r="953" spans="2:18" ht="36" hidden="1" customHeight="1" x14ac:dyDescent="0.25">
      <c r="B953" s="84">
        <v>1818</v>
      </c>
      <c r="C953" s="83" t="s">
        <v>40</v>
      </c>
      <c r="D953" s="82" t="s">
        <v>1742</v>
      </c>
      <c r="E953" s="81">
        <v>43276</v>
      </c>
      <c r="F953" s="27">
        <f t="shared" ca="1" si="14"/>
        <v>1197</v>
      </c>
      <c r="G953" s="79" t="s">
        <v>1261</v>
      </c>
      <c r="H953" s="80" t="s">
        <v>1575</v>
      </c>
      <c r="I953" s="80"/>
      <c r="J953" s="79" t="s">
        <v>597</v>
      </c>
      <c r="K953" s="78" t="s">
        <v>623</v>
      </c>
      <c r="L953" s="77">
        <v>43334</v>
      </c>
      <c r="M953" s="68"/>
      <c r="N953" s="76"/>
      <c r="O953" s="75"/>
      <c r="R953" s="74"/>
    </row>
    <row r="954" spans="2:18" ht="36" hidden="1" customHeight="1" x14ac:dyDescent="0.25">
      <c r="B954" s="84">
        <v>1820</v>
      </c>
      <c r="C954" s="83" t="s">
        <v>19</v>
      </c>
      <c r="D954" s="82" t="s">
        <v>2129</v>
      </c>
      <c r="E954" s="81">
        <v>43276</v>
      </c>
      <c r="F954" s="27">
        <f t="shared" ca="1" si="14"/>
        <v>1197</v>
      </c>
      <c r="G954" s="79"/>
      <c r="H954" s="80"/>
      <c r="I954" s="80"/>
      <c r="J954" s="79"/>
      <c r="K954" s="78"/>
      <c r="L954" s="77">
        <v>43276</v>
      </c>
      <c r="M954" s="68"/>
      <c r="N954" s="76" t="s">
        <v>2130</v>
      </c>
      <c r="O954" s="75"/>
      <c r="R954" s="74"/>
    </row>
    <row r="955" spans="2:18" ht="36" hidden="1" customHeight="1" x14ac:dyDescent="0.25">
      <c r="B955" s="84">
        <v>1820</v>
      </c>
      <c r="C955" s="83" t="s">
        <v>11</v>
      </c>
      <c r="D955" s="82" t="s">
        <v>2133</v>
      </c>
      <c r="E955" s="81">
        <v>43276</v>
      </c>
      <c r="F955" s="27">
        <f t="shared" ca="1" si="14"/>
        <v>1197</v>
      </c>
      <c r="G955" s="79" t="s">
        <v>1354</v>
      </c>
      <c r="H955" s="80"/>
      <c r="I955" s="80"/>
      <c r="J955" s="79" t="s">
        <v>765</v>
      </c>
      <c r="K955" s="78" t="s">
        <v>623</v>
      </c>
      <c r="L955" s="77">
        <v>43295</v>
      </c>
      <c r="M955" s="68"/>
      <c r="N955" s="76"/>
      <c r="O955" s="75" t="s">
        <v>2134</v>
      </c>
      <c r="R955" s="74"/>
    </row>
    <row r="956" spans="2:18" ht="36" hidden="1" customHeight="1" x14ac:dyDescent="0.25">
      <c r="B956" s="84">
        <v>1828</v>
      </c>
      <c r="C956" s="83" t="s">
        <v>27</v>
      </c>
      <c r="D956" s="82" t="s">
        <v>3562</v>
      </c>
      <c r="E956" s="81">
        <v>43277</v>
      </c>
      <c r="F956" s="27">
        <f t="shared" ca="1" si="14"/>
        <v>1196</v>
      </c>
      <c r="G956" s="79" t="s">
        <v>619</v>
      </c>
      <c r="H956" s="80"/>
      <c r="I956" s="80"/>
      <c r="J956" s="79" t="s">
        <v>592</v>
      </c>
      <c r="K956" s="78" t="s">
        <v>623</v>
      </c>
      <c r="L956" s="77">
        <v>43280</v>
      </c>
      <c r="M956" s="68"/>
      <c r="N956" s="76"/>
      <c r="O956" s="75" t="s">
        <v>3563</v>
      </c>
      <c r="R956" s="74"/>
    </row>
    <row r="957" spans="2:18" ht="36" hidden="1" customHeight="1" x14ac:dyDescent="0.25">
      <c r="B957" s="84">
        <v>1824</v>
      </c>
      <c r="C957" s="83" t="s">
        <v>19</v>
      </c>
      <c r="D957" s="82" t="s">
        <v>1282</v>
      </c>
      <c r="E957" s="81">
        <v>43278</v>
      </c>
      <c r="F957" s="27">
        <f t="shared" ca="1" si="14"/>
        <v>1195</v>
      </c>
      <c r="G957" s="79" t="s">
        <v>2700</v>
      </c>
      <c r="H957" s="80"/>
      <c r="I957" s="80"/>
      <c r="J957" s="79" t="s">
        <v>579</v>
      </c>
      <c r="K957" s="78" t="s">
        <v>623</v>
      </c>
      <c r="L957" s="77">
        <v>43278</v>
      </c>
      <c r="M957" s="68"/>
      <c r="N957" s="76" t="s">
        <v>2805</v>
      </c>
      <c r="O957" s="75"/>
      <c r="R957" s="74"/>
    </row>
    <row r="958" spans="2:18" ht="36" hidden="1" customHeight="1" x14ac:dyDescent="0.25">
      <c r="B958" s="84">
        <v>1643</v>
      </c>
      <c r="C958" s="83" t="s">
        <v>40</v>
      </c>
      <c r="D958" s="82" t="s">
        <v>879</v>
      </c>
      <c r="E958" s="81">
        <v>43279</v>
      </c>
      <c r="F958" s="27">
        <f t="shared" ca="1" si="14"/>
        <v>1194</v>
      </c>
      <c r="G958" s="79" t="s">
        <v>880</v>
      </c>
      <c r="H958" s="80"/>
      <c r="I958" s="80"/>
      <c r="J958" s="79" t="s">
        <v>592</v>
      </c>
      <c r="K958" s="78" t="s">
        <v>580</v>
      </c>
      <c r="L958" s="77">
        <v>43298</v>
      </c>
      <c r="M958" s="68"/>
      <c r="N958" s="76" t="s">
        <v>881</v>
      </c>
      <c r="O958" s="75" t="s">
        <v>882</v>
      </c>
      <c r="R958" s="74"/>
    </row>
    <row r="959" spans="2:18" ht="36" hidden="1" customHeight="1" x14ac:dyDescent="0.25">
      <c r="B959" s="84">
        <v>1824</v>
      </c>
      <c r="C959" s="83" t="s">
        <v>23</v>
      </c>
      <c r="D959" s="82" t="s">
        <v>2806</v>
      </c>
      <c r="E959" s="81">
        <v>43279</v>
      </c>
      <c r="F959" s="27">
        <f t="shared" ca="1" si="14"/>
        <v>1194</v>
      </c>
      <c r="G959" s="79" t="s">
        <v>1354</v>
      </c>
      <c r="H959" s="80"/>
      <c r="I959" s="80"/>
      <c r="J959" s="79" t="s">
        <v>765</v>
      </c>
      <c r="K959" s="78" t="s">
        <v>623</v>
      </c>
      <c r="L959" s="77">
        <v>43295</v>
      </c>
      <c r="M959" s="68"/>
      <c r="N959" s="76"/>
      <c r="O959" s="75" t="s">
        <v>2807</v>
      </c>
      <c r="R959" s="74"/>
    </row>
    <row r="960" spans="2:18" ht="36" hidden="1" customHeight="1" x14ac:dyDescent="0.25">
      <c r="B960" s="84">
        <v>1828</v>
      </c>
      <c r="C960" s="83" t="s">
        <v>40</v>
      </c>
      <c r="D960" s="82" t="s">
        <v>3564</v>
      </c>
      <c r="E960" s="81">
        <v>43279</v>
      </c>
      <c r="F960" s="27">
        <f t="shared" ca="1" si="14"/>
        <v>1194</v>
      </c>
      <c r="G960" s="79" t="s">
        <v>619</v>
      </c>
      <c r="H960" s="80"/>
      <c r="I960" s="80"/>
      <c r="J960" s="79" t="s">
        <v>592</v>
      </c>
      <c r="K960" s="78" t="s">
        <v>623</v>
      </c>
      <c r="L960" s="77">
        <v>43280</v>
      </c>
      <c r="M960" s="68"/>
      <c r="N960" s="76"/>
      <c r="O960" s="75" t="s">
        <v>3565</v>
      </c>
      <c r="R960" s="74"/>
    </row>
    <row r="961" spans="2:18" ht="36" hidden="1" customHeight="1" x14ac:dyDescent="0.25">
      <c r="B961" s="84">
        <v>1818</v>
      </c>
      <c r="C961" s="83" t="s">
        <v>17</v>
      </c>
      <c r="D961" s="82" t="s">
        <v>1738</v>
      </c>
      <c r="E961" s="81">
        <v>43280</v>
      </c>
      <c r="F961" s="27">
        <f t="shared" ca="1" si="14"/>
        <v>1193</v>
      </c>
      <c r="G961" s="79" t="s">
        <v>619</v>
      </c>
      <c r="H961" s="80"/>
      <c r="I961" s="80"/>
      <c r="J961" s="79" t="s">
        <v>592</v>
      </c>
      <c r="K961" s="78" t="s">
        <v>623</v>
      </c>
      <c r="L961" s="77">
        <v>43281</v>
      </c>
      <c r="M961" s="68"/>
      <c r="N961" s="76"/>
      <c r="O961" s="75" t="s">
        <v>1739</v>
      </c>
      <c r="R961" s="74"/>
    </row>
    <row r="962" spans="2:18" ht="36" hidden="1" customHeight="1" x14ac:dyDescent="0.25">
      <c r="B962" s="84">
        <v>1819</v>
      </c>
      <c r="C962" s="83" t="s">
        <v>40</v>
      </c>
      <c r="D962" s="82" t="s">
        <v>1938</v>
      </c>
      <c r="E962" s="81">
        <v>43284</v>
      </c>
      <c r="F962" s="27">
        <f t="shared" ca="1" si="14"/>
        <v>1189</v>
      </c>
      <c r="G962" s="79" t="s">
        <v>1572</v>
      </c>
      <c r="H962" s="80"/>
      <c r="I962" s="80"/>
      <c r="J962" s="79" t="s">
        <v>765</v>
      </c>
      <c r="K962" s="78" t="s">
        <v>623</v>
      </c>
      <c r="L962" s="77">
        <v>43304</v>
      </c>
      <c r="M962" s="68"/>
      <c r="N962" s="76"/>
      <c r="O962" s="75"/>
      <c r="R962" s="74"/>
    </row>
    <row r="963" spans="2:18" ht="36" hidden="1" customHeight="1" x14ac:dyDescent="0.25">
      <c r="B963" s="84">
        <v>1824</v>
      </c>
      <c r="C963" s="83" t="s">
        <v>21</v>
      </c>
      <c r="D963" s="82" t="s">
        <v>2816</v>
      </c>
      <c r="E963" s="81">
        <v>43284</v>
      </c>
      <c r="F963" s="27">
        <f t="shared" ca="1" si="14"/>
        <v>1189</v>
      </c>
      <c r="G963" s="79"/>
      <c r="H963" s="80"/>
      <c r="I963" s="80"/>
      <c r="J963" s="79" t="s">
        <v>597</v>
      </c>
      <c r="K963" s="78" t="s">
        <v>623</v>
      </c>
      <c r="L963" s="77">
        <v>43329</v>
      </c>
      <c r="M963" s="68"/>
      <c r="N963" s="76"/>
      <c r="O963" s="75" t="s">
        <v>2817</v>
      </c>
      <c r="R963" s="74"/>
    </row>
    <row r="964" spans="2:18" ht="36" hidden="1" customHeight="1" x14ac:dyDescent="0.25">
      <c r="B964" s="84">
        <v>1828</v>
      </c>
      <c r="C964" s="83" t="s">
        <v>40</v>
      </c>
      <c r="D964" s="82" t="s">
        <v>3566</v>
      </c>
      <c r="E964" s="81">
        <v>43285</v>
      </c>
      <c r="F964" s="27">
        <f t="shared" ca="1" si="14"/>
        <v>1188</v>
      </c>
      <c r="G964" s="79" t="s">
        <v>1354</v>
      </c>
      <c r="H964" s="80"/>
      <c r="I964" s="80"/>
      <c r="J964" s="79" t="s">
        <v>765</v>
      </c>
      <c r="K964" s="78" t="s">
        <v>623</v>
      </c>
      <c r="L964" s="77">
        <v>43295</v>
      </c>
      <c r="M964" s="68"/>
      <c r="N964" s="76"/>
      <c r="O964" s="75" t="s">
        <v>3567</v>
      </c>
      <c r="R964" s="74"/>
    </row>
    <row r="965" spans="2:18" ht="36" hidden="1" customHeight="1" x14ac:dyDescent="0.25">
      <c r="B965" s="84">
        <v>1817</v>
      </c>
      <c r="C965" s="83" t="s">
        <v>19</v>
      </c>
      <c r="D965" s="82" t="s">
        <v>1569</v>
      </c>
      <c r="E965" s="81">
        <v>43287</v>
      </c>
      <c r="F965" s="27">
        <f t="shared" ca="1" si="14"/>
        <v>1186</v>
      </c>
      <c r="G965" s="79" t="s">
        <v>1304</v>
      </c>
      <c r="H965" s="80"/>
      <c r="I965" s="80"/>
      <c r="J965" s="79" t="s">
        <v>1301</v>
      </c>
      <c r="K965" s="78" t="s">
        <v>1301</v>
      </c>
      <c r="L965" s="77">
        <v>43314</v>
      </c>
      <c r="M965" s="68"/>
      <c r="N965" s="76" t="s">
        <v>1570</v>
      </c>
      <c r="O965" s="75"/>
      <c r="R965" s="74"/>
    </row>
    <row r="966" spans="2:18" ht="36" hidden="1" customHeight="1" x14ac:dyDescent="0.25">
      <c r="B966" s="84">
        <v>1818</v>
      </c>
      <c r="C966" s="83" t="s">
        <v>15</v>
      </c>
      <c r="D966" s="82" t="s">
        <v>1740</v>
      </c>
      <c r="E966" s="81">
        <v>43287</v>
      </c>
      <c r="F966" s="27">
        <f t="shared" ca="1" si="14"/>
        <v>1186</v>
      </c>
      <c r="G966" s="79" t="s">
        <v>1273</v>
      </c>
      <c r="H966" s="80" t="s">
        <v>1575</v>
      </c>
      <c r="I966" s="80"/>
      <c r="J966" s="79" t="s">
        <v>579</v>
      </c>
      <c r="K966" s="78" t="s">
        <v>623</v>
      </c>
      <c r="L966" s="77">
        <v>43290</v>
      </c>
      <c r="M966" s="68"/>
      <c r="N966" s="76" t="s">
        <v>1741</v>
      </c>
      <c r="O966" s="75"/>
      <c r="R966" s="74"/>
    </row>
    <row r="967" spans="2:18" ht="36" hidden="1" customHeight="1" x14ac:dyDescent="0.25">
      <c r="B967" s="84">
        <v>1820</v>
      </c>
      <c r="C967" s="83" t="s">
        <v>39</v>
      </c>
      <c r="D967" s="82" t="s">
        <v>2131</v>
      </c>
      <c r="E967" s="81">
        <v>43287</v>
      </c>
      <c r="F967" s="27">
        <f t="shared" ca="1" si="14"/>
        <v>1186</v>
      </c>
      <c r="G967" s="79" t="s">
        <v>1273</v>
      </c>
      <c r="H967" s="80"/>
      <c r="I967" s="80"/>
      <c r="J967" s="79" t="s">
        <v>579</v>
      </c>
      <c r="K967" s="78" t="s">
        <v>623</v>
      </c>
      <c r="L967" s="77">
        <v>43290</v>
      </c>
      <c r="M967" s="68"/>
      <c r="N967" s="76" t="s">
        <v>2132</v>
      </c>
      <c r="O967" s="75"/>
      <c r="R967" s="74"/>
    </row>
    <row r="968" spans="2:18" ht="36" hidden="1" customHeight="1" x14ac:dyDescent="0.25">
      <c r="B968" s="84">
        <v>1820</v>
      </c>
      <c r="C968" s="83" t="s">
        <v>40</v>
      </c>
      <c r="D968" s="82" t="s">
        <v>2135</v>
      </c>
      <c r="E968" s="81">
        <v>43287</v>
      </c>
      <c r="F968" s="27">
        <f t="shared" ca="1" si="14"/>
        <v>1186</v>
      </c>
      <c r="G968" s="79" t="s">
        <v>1354</v>
      </c>
      <c r="H968" s="80"/>
      <c r="I968" s="80"/>
      <c r="J968" s="79" t="s">
        <v>765</v>
      </c>
      <c r="K968" s="78" t="s">
        <v>623</v>
      </c>
      <c r="L968" s="77">
        <v>43295</v>
      </c>
      <c r="M968" s="68"/>
      <c r="N968" s="76"/>
      <c r="O968" s="75" t="s">
        <v>2136</v>
      </c>
      <c r="R968" s="74"/>
    </row>
    <row r="969" spans="2:18" ht="36" hidden="1" customHeight="1" x14ac:dyDescent="0.25">
      <c r="B969" s="84">
        <v>1820</v>
      </c>
      <c r="C969" s="83" t="s">
        <v>18</v>
      </c>
      <c r="D969" s="82" t="s">
        <v>2137</v>
      </c>
      <c r="E969" s="81">
        <v>43287</v>
      </c>
      <c r="F969" s="27">
        <f t="shared" ca="1" si="14"/>
        <v>1186</v>
      </c>
      <c r="G969" s="79" t="s">
        <v>1354</v>
      </c>
      <c r="H969" s="80"/>
      <c r="I969" s="80"/>
      <c r="J969" s="79" t="s">
        <v>765</v>
      </c>
      <c r="K969" s="78" t="s">
        <v>623</v>
      </c>
      <c r="L969" s="77">
        <v>43295</v>
      </c>
      <c r="M969" s="68"/>
      <c r="N969" s="76"/>
      <c r="O969" s="75" t="s">
        <v>2138</v>
      </c>
      <c r="R969" s="74"/>
    </row>
    <row r="970" spans="2:18" ht="36" hidden="1" customHeight="1" x14ac:dyDescent="0.25">
      <c r="B970" s="84">
        <v>1825</v>
      </c>
      <c r="C970" s="83" t="s">
        <v>34</v>
      </c>
      <c r="D970" s="82" t="s">
        <v>3050</v>
      </c>
      <c r="E970" s="81">
        <v>43287</v>
      </c>
      <c r="F970" s="27">
        <f t="shared" ca="1" si="14"/>
        <v>1186</v>
      </c>
      <c r="G970" s="79" t="s">
        <v>1572</v>
      </c>
      <c r="H970" s="80"/>
      <c r="I970" s="80"/>
      <c r="J970" s="79" t="s">
        <v>765</v>
      </c>
      <c r="K970" s="78" t="s">
        <v>623</v>
      </c>
      <c r="L970" s="77">
        <v>43301</v>
      </c>
      <c r="M970" s="68"/>
      <c r="N970" s="76"/>
      <c r="O970" s="75" t="s">
        <v>3051</v>
      </c>
      <c r="R970" s="74"/>
    </row>
    <row r="971" spans="2:18" ht="36" hidden="1" customHeight="1" x14ac:dyDescent="0.25">
      <c r="B971" s="84">
        <v>1830</v>
      </c>
      <c r="C971" s="83" t="s">
        <v>30</v>
      </c>
      <c r="D971" s="82" t="s">
        <v>3962</v>
      </c>
      <c r="E971" s="81">
        <v>43287</v>
      </c>
      <c r="F971" s="27">
        <f t="shared" ca="1" si="14"/>
        <v>1186</v>
      </c>
      <c r="G971" s="79" t="s">
        <v>1074</v>
      </c>
      <c r="H971" s="80"/>
      <c r="I971" s="80"/>
      <c r="J971" s="79" t="s">
        <v>592</v>
      </c>
      <c r="K971" s="78" t="s">
        <v>1301</v>
      </c>
      <c r="L971" s="77">
        <v>43295</v>
      </c>
      <c r="M971" s="68"/>
      <c r="N971" s="76"/>
      <c r="O971" s="75" t="s">
        <v>3963</v>
      </c>
      <c r="R971" s="74"/>
    </row>
    <row r="972" spans="2:18" ht="36" hidden="1" customHeight="1" x14ac:dyDescent="0.25">
      <c r="B972" s="84">
        <v>1816</v>
      </c>
      <c r="C972" s="83" t="s">
        <v>11</v>
      </c>
      <c r="D972" s="82" t="s">
        <v>1356</v>
      </c>
      <c r="E972" s="81">
        <v>43291</v>
      </c>
      <c r="F972" s="27">
        <f t="shared" ca="1" si="14"/>
        <v>1182</v>
      </c>
      <c r="G972" s="79" t="s">
        <v>1354</v>
      </c>
      <c r="H972" s="80"/>
      <c r="I972" s="80"/>
      <c r="J972" s="79" t="s">
        <v>765</v>
      </c>
      <c r="K972" s="78" t="s">
        <v>623</v>
      </c>
      <c r="L972" s="77">
        <v>43295</v>
      </c>
      <c r="M972" s="68"/>
      <c r="N972" s="76"/>
      <c r="O972" s="75" t="s">
        <v>1357</v>
      </c>
      <c r="R972" s="74"/>
    </row>
    <row r="973" spans="2:18" ht="36" hidden="1" customHeight="1" x14ac:dyDescent="0.25">
      <c r="B973" s="84">
        <v>1825</v>
      </c>
      <c r="C973" s="83" t="s">
        <v>40</v>
      </c>
      <c r="D973" s="82" t="s">
        <v>3052</v>
      </c>
      <c r="E973" s="81">
        <v>43291</v>
      </c>
      <c r="F973" s="27">
        <f t="shared" ca="1" si="14"/>
        <v>1182</v>
      </c>
      <c r="G973" s="79" t="s">
        <v>1723</v>
      </c>
      <c r="H973" s="80"/>
      <c r="I973" s="80"/>
      <c r="J973" s="79" t="s">
        <v>579</v>
      </c>
      <c r="K973" s="78" t="s">
        <v>623</v>
      </c>
      <c r="L973" s="77">
        <v>43308</v>
      </c>
      <c r="M973" s="68"/>
      <c r="N973" s="76"/>
      <c r="O973" s="75" t="s">
        <v>3053</v>
      </c>
      <c r="R973" s="74"/>
    </row>
    <row r="974" spans="2:18" ht="36" hidden="1" customHeight="1" x14ac:dyDescent="0.25">
      <c r="B974" s="84">
        <v>1828</v>
      </c>
      <c r="C974" s="83" t="s">
        <v>40</v>
      </c>
      <c r="D974" s="82" t="s">
        <v>3570</v>
      </c>
      <c r="E974" s="81">
        <v>43291</v>
      </c>
      <c r="F974" s="27">
        <f t="shared" ca="1" si="14"/>
        <v>1182</v>
      </c>
      <c r="G974" s="79" t="s">
        <v>1328</v>
      </c>
      <c r="H974" s="80"/>
      <c r="I974" s="80"/>
      <c r="J974" s="79" t="s">
        <v>579</v>
      </c>
      <c r="K974" s="78" t="s">
        <v>623</v>
      </c>
      <c r="L974" s="77">
        <v>43314</v>
      </c>
      <c r="M974" s="68"/>
      <c r="N974" s="76" t="s">
        <v>1570</v>
      </c>
      <c r="O974" s="75" t="s">
        <v>3571</v>
      </c>
      <c r="R974" s="74"/>
    </row>
    <row r="975" spans="2:18" ht="36" hidden="1" customHeight="1" x14ac:dyDescent="0.25">
      <c r="B975" s="84">
        <v>1816</v>
      </c>
      <c r="C975" s="83" t="s">
        <v>31</v>
      </c>
      <c r="D975" s="82" t="s">
        <v>1358</v>
      </c>
      <c r="E975" s="81">
        <v>43292</v>
      </c>
      <c r="F975" s="27">
        <f t="shared" ca="1" si="14"/>
        <v>1181</v>
      </c>
      <c r="G975" s="79" t="s">
        <v>1354</v>
      </c>
      <c r="H975" s="80"/>
      <c r="I975" s="80"/>
      <c r="J975" s="79" t="s">
        <v>765</v>
      </c>
      <c r="K975" s="78" t="s">
        <v>623</v>
      </c>
      <c r="L975" s="77">
        <v>43295</v>
      </c>
      <c r="M975" s="68"/>
      <c r="N975" s="76"/>
      <c r="O975" s="75" t="s">
        <v>1359</v>
      </c>
      <c r="R975" s="74"/>
    </row>
    <row r="976" spans="2:18" ht="36" hidden="1" customHeight="1" x14ac:dyDescent="0.25">
      <c r="B976" s="84">
        <v>1816</v>
      </c>
      <c r="C976" s="83" t="s">
        <v>23</v>
      </c>
      <c r="D976" s="82" t="s">
        <v>1360</v>
      </c>
      <c r="E976" s="81">
        <v>43292</v>
      </c>
      <c r="F976" s="27">
        <f t="shared" ref="F976:F1039" ca="1" si="15">IF(E976&lt;&gt;"",TODAY()-E976,"")</f>
        <v>1181</v>
      </c>
      <c r="G976" s="79" t="s">
        <v>1354</v>
      </c>
      <c r="H976" s="80"/>
      <c r="I976" s="80"/>
      <c r="J976" s="79" t="s">
        <v>765</v>
      </c>
      <c r="K976" s="78" t="s">
        <v>623</v>
      </c>
      <c r="L976" s="77">
        <v>43295</v>
      </c>
      <c r="M976" s="68"/>
      <c r="N976" s="76"/>
      <c r="O976" s="75" t="s">
        <v>168</v>
      </c>
      <c r="R976" s="74"/>
    </row>
    <row r="977" spans="2:18" ht="36" hidden="1" customHeight="1" x14ac:dyDescent="0.25">
      <c r="B977" s="84">
        <v>1816</v>
      </c>
      <c r="C977" s="83" t="s">
        <v>40</v>
      </c>
      <c r="D977" s="82" t="s">
        <v>1361</v>
      </c>
      <c r="E977" s="81">
        <v>43292</v>
      </c>
      <c r="F977" s="27">
        <f t="shared" ca="1" si="15"/>
        <v>1181</v>
      </c>
      <c r="G977" s="79" t="s">
        <v>1354</v>
      </c>
      <c r="H977" s="80"/>
      <c r="I977" s="80"/>
      <c r="J977" s="79" t="s">
        <v>765</v>
      </c>
      <c r="K977" s="78" t="s">
        <v>623</v>
      </c>
      <c r="L977" s="77">
        <v>43295</v>
      </c>
      <c r="M977" s="68"/>
      <c r="N977" s="76"/>
      <c r="O977" s="75" t="s">
        <v>1362</v>
      </c>
      <c r="R977" s="74"/>
    </row>
    <row r="978" spans="2:18" ht="36" hidden="1" customHeight="1" x14ac:dyDescent="0.25">
      <c r="B978" s="84">
        <v>1825</v>
      </c>
      <c r="C978" s="83" t="s">
        <v>24</v>
      </c>
      <c r="D978" s="82" t="s">
        <v>3048</v>
      </c>
      <c r="E978" s="81">
        <v>43292</v>
      </c>
      <c r="F978" s="27">
        <f t="shared" ca="1" si="15"/>
        <v>1181</v>
      </c>
      <c r="G978" s="79" t="s">
        <v>1354</v>
      </c>
      <c r="H978" s="80"/>
      <c r="I978" s="80"/>
      <c r="J978" s="79" t="s">
        <v>765</v>
      </c>
      <c r="K978" s="78" t="s">
        <v>623</v>
      </c>
      <c r="L978" s="77">
        <v>43295</v>
      </c>
      <c r="M978" s="68"/>
      <c r="N978" s="76"/>
      <c r="O978" s="75" t="s">
        <v>3049</v>
      </c>
      <c r="R978" s="74"/>
    </row>
    <row r="979" spans="2:18" ht="36" hidden="1" customHeight="1" x14ac:dyDescent="0.25">
      <c r="B979" s="84">
        <v>1818</v>
      </c>
      <c r="C979" s="83" t="s">
        <v>20</v>
      </c>
      <c r="D979" s="82" t="s">
        <v>1743</v>
      </c>
      <c r="E979" s="81">
        <v>43294</v>
      </c>
      <c r="F979" s="27">
        <f t="shared" ca="1" si="15"/>
        <v>1179</v>
      </c>
      <c r="G979" s="79" t="s">
        <v>1261</v>
      </c>
      <c r="H979" s="80"/>
      <c r="I979" s="80"/>
      <c r="J979" s="79" t="s">
        <v>597</v>
      </c>
      <c r="K979" s="78" t="s">
        <v>623</v>
      </c>
      <c r="L979" s="77">
        <v>43334</v>
      </c>
      <c r="M979" s="68"/>
      <c r="N979" s="76"/>
      <c r="O979" s="75"/>
      <c r="R979" s="74"/>
    </row>
    <row r="980" spans="2:18" ht="36" hidden="1" customHeight="1" x14ac:dyDescent="0.25">
      <c r="B980" s="84">
        <v>1828</v>
      </c>
      <c r="C980" s="83" t="s">
        <v>23</v>
      </c>
      <c r="D980" s="82" t="s">
        <v>3568</v>
      </c>
      <c r="E980" s="81">
        <v>43294</v>
      </c>
      <c r="F980" s="27">
        <f t="shared" ca="1" si="15"/>
        <v>1179</v>
      </c>
      <c r="G980" s="79" t="s">
        <v>1354</v>
      </c>
      <c r="H980" s="80"/>
      <c r="I980" s="80"/>
      <c r="J980" s="79" t="s">
        <v>765</v>
      </c>
      <c r="K980" s="78" t="s">
        <v>623</v>
      </c>
      <c r="L980" s="77">
        <v>43295</v>
      </c>
      <c r="M980" s="68"/>
      <c r="N980" s="76"/>
      <c r="O980" s="75" t="s">
        <v>3569</v>
      </c>
      <c r="R980" s="74"/>
    </row>
    <row r="981" spans="2:18" ht="36" hidden="1" customHeight="1" x14ac:dyDescent="0.25">
      <c r="B981" s="84">
        <v>1646</v>
      </c>
      <c r="C981" s="83" t="s">
        <v>12</v>
      </c>
      <c r="D981" s="82" t="s">
        <v>1124</v>
      </c>
      <c r="E981" s="81">
        <v>43297</v>
      </c>
      <c r="F981" s="27">
        <f t="shared" ca="1" si="15"/>
        <v>1176</v>
      </c>
      <c r="G981" s="79" t="s">
        <v>1125</v>
      </c>
      <c r="H981" s="80"/>
      <c r="I981" s="80"/>
      <c r="J981" s="79" t="s">
        <v>791</v>
      </c>
      <c r="K981" s="78" t="s">
        <v>580</v>
      </c>
      <c r="L981" s="77">
        <v>43308</v>
      </c>
      <c r="M981" s="68"/>
      <c r="N981" s="76"/>
      <c r="O981" s="75" t="s">
        <v>1126</v>
      </c>
      <c r="R981" s="74"/>
    </row>
    <row r="982" spans="2:18" ht="36" hidden="1" customHeight="1" x14ac:dyDescent="0.25">
      <c r="B982" s="84">
        <v>1827</v>
      </c>
      <c r="C982" s="83" t="s">
        <v>19</v>
      </c>
      <c r="D982" s="82" t="s">
        <v>1569</v>
      </c>
      <c r="E982" s="81">
        <v>43297</v>
      </c>
      <c r="F982" s="27">
        <f t="shared" ca="1" si="15"/>
        <v>1176</v>
      </c>
      <c r="G982" s="79" t="s">
        <v>1572</v>
      </c>
      <c r="H982" s="80"/>
      <c r="I982" s="80"/>
      <c r="J982" s="79" t="s">
        <v>765</v>
      </c>
      <c r="K982" s="78" t="s">
        <v>623</v>
      </c>
      <c r="L982" s="77">
        <v>43299</v>
      </c>
      <c r="M982" s="68"/>
      <c r="N982" s="76"/>
      <c r="O982" s="75" t="s">
        <v>3370</v>
      </c>
      <c r="R982" s="74"/>
    </row>
    <row r="983" spans="2:18" ht="36" hidden="1" customHeight="1" x14ac:dyDescent="0.25">
      <c r="B983" s="84">
        <v>1828</v>
      </c>
      <c r="C983" s="83" t="s">
        <v>40</v>
      </c>
      <c r="D983" s="82" t="s">
        <v>3572</v>
      </c>
      <c r="E983" s="81">
        <v>43299</v>
      </c>
      <c r="F983" s="27">
        <f t="shared" ca="1" si="15"/>
        <v>1174</v>
      </c>
      <c r="G983" s="79" t="s">
        <v>1328</v>
      </c>
      <c r="H983" s="80"/>
      <c r="I983" s="80"/>
      <c r="J983" s="79" t="s">
        <v>579</v>
      </c>
      <c r="K983" s="78" t="s">
        <v>623</v>
      </c>
      <c r="L983" s="77">
        <v>43314</v>
      </c>
      <c r="M983" s="68"/>
      <c r="N983" s="76" t="s">
        <v>1570</v>
      </c>
      <c r="O983" s="75" t="s">
        <v>3573</v>
      </c>
      <c r="R983" s="74"/>
    </row>
    <row r="984" spans="2:18" ht="36" hidden="1" customHeight="1" x14ac:dyDescent="0.25">
      <c r="B984" s="84">
        <v>1641</v>
      </c>
      <c r="C984" s="83" t="s">
        <v>17</v>
      </c>
      <c r="D984" s="82" t="s">
        <v>646</v>
      </c>
      <c r="E984" s="81">
        <v>43300</v>
      </c>
      <c r="F984" s="27">
        <f t="shared" ca="1" si="15"/>
        <v>1173</v>
      </c>
      <c r="G984" s="79" t="s">
        <v>647</v>
      </c>
      <c r="H984" s="80"/>
      <c r="I984" s="80"/>
      <c r="J984" s="79" t="s">
        <v>579</v>
      </c>
      <c r="K984" s="78" t="s">
        <v>580</v>
      </c>
      <c r="L984" s="77">
        <v>43308</v>
      </c>
      <c r="M984" s="68"/>
      <c r="N984" s="76"/>
      <c r="O984" s="75" t="s">
        <v>648</v>
      </c>
      <c r="R984" s="74"/>
    </row>
    <row r="985" spans="2:18" ht="36" hidden="1" customHeight="1" x14ac:dyDescent="0.25">
      <c r="B985" s="84">
        <v>1818</v>
      </c>
      <c r="C985" s="83" t="s">
        <v>31</v>
      </c>
      <c r="D985" s="82" t="s">
        <v>1744</v>
      </c>
      <c r="E985" s="81">
        <v>43301</v>
      </c>
      <c r="F985" s="27">
        <f t="shared" ca="1" si="15"/>
        <v>1172</v>
      </c>
      <c r="G985" s="79" t="s">
        <v>1261</v>
      </c>
      <c r="H985" s="80"/>
      <c r="I985" s="80"/>
      <c r="J985" s="79" t="s">
        <v>597</v>
      </c>
      <c r="K985" s="78" t="s">
        <v>623</v>
      </c>
      <c r="L985" s="77">
        <v>43334</v>
      </c>
      <c r="M985" s="68"/>
      <c r="N985" s="76"/>
      <c r="O985" s="75"/>
      <c r="R985" s="74"/>
    </row>
    <row r="986" spans="2:18" ht="36" hidden="1" customHeight="1" x14ac:dyDescent="0.25">
      <c r="B986" s="84">
        <v>1819</v>
      </c>
      <c r="C986" s="83" t="s">
        <v>37</v>
      </c>
      <c r="D986" s="82" t="s">
        <v>1939</v>
      </c>
      <c r="E986" s="81">
        <v>43301</v>
      </c>
      <c r="F986" s="27">
        <f t="shared" ca="1" si="15"/>
        <v>1172</v>
      </c>
      <c r="G986" s="79" t="s">
        <v>1572</v>
      </c>
      <c r="H986" s="80"/>
      <c r="I986" s="80"/>
      <c r="J986" s="79" t="s">
        <v>765</v>
      </c>
      <c r="K986" s="78" t="s">
        <v>623</v>
      </c>
      <c r="L986" s="77">
        <v>43304</v>
      </c>
      <c r="M986" s="68"/>
      <c r="N986" s="76"/>
      <c r="O986" s="75" t="s">
        <v>1940</v>
      </c>
      <c r="R986" s="74"/>
    </row>
    <row r="987" spans="2:18" ht="36" hidden="1" customHeight="1" x14ac:dyDescent="0.25">
      <c r="B987" s="84">
        <v>1825</v>
      </c>
      <c r="C987" s="83" t="s">
        <v>40</v>
      </c>
      <c r="D987" s="82" t="s">
        <v>3058</v>
      </c>
      <c r="E987" s="81">
        <v>43301</v>
      </c>
      <c r="F987" s="27">
        <f t="shared" ca="1" si="15"/>
        <v>1172</v>
      </c>
      <c r="G987" s="79" t="s">
        <v>1261</v>
      </c>
      <c r="H987" s="80"/>
      <c r="I987" s="80"/>
      <c r="J987" s="79" t="s">
        <v>597</v>
      </c>
      <c r="K987" s="78" t="s">
        <v>623</v>
      </c>
      <c r="L987" s="77">
        <v>43338</v>
      </c>
      <c r="M987" s="68"/>
      <c r="N987" s="76"/>
      <c r="O987" s="75" t="s">
        <v>3059</v>
      </c>
      <c r="R987" s="74"/>
    </row>
    <row r="988" spans="2:18" ht="36" hidden="1" customHeight="1" x14ac:dyDescent="0.25">
      <c r="B988" s="84">
        <v>1829</v>
      </c>
      <c r="C988" s="83" t="s">
        <v>12</v>
      </c>
      <c r="D988" s="82" t="s">
        <v>3778</v>
      </c>
      <c r="E988" s="81">
        <v>43301</v>
      </c>
      <c r="F988" s="27">
        <f t="shared" ca="1" si="15"/>
        <v>1172</v>
      </c>
      <c r="G988" s="79" t="s">
        <v>3779</v>
      </c>
      <c r="H988" s="80"/>
      <c r="I988" s="80"/>
      <c r="J988" s="79" t="s">
        <v>579</v>
      </c>
      <c r="K988" s="78" t="s">
        <v>623</v>
      </c>
      <c r="L988" s="77">
        <v>43304</v>
      </c>
      <c r="M988" s="68"/>
      <c r="N988" s="76"/>
      <c r="O988" s="75" t="s">
        <v>3780</v>
      </c>
      <c r="R988" s="74"/>
    </row>
    <row r="989" spans="2:18" ht="36" hidden="1" customHeight="1" x14ac:dyDescent="0.25">
      <c r="B989" s="84">
        <v>1830</v>
      </c>
      <c r="C989" s="83" t="s">
        <v>37</v>
      </c>
      <c r="D989" s="82" t="s">
        <v>3966</v>
      </c>
      <c r="E989" s="81">
        <v>43304</v>
      </c>
      <c r="F989" s="27">
        <f t="shared" ca="1" si="15"/>
        <v>1169</v>
      </c>
      <c r="G989" s="79" t="s">
        <v>578</v>
      </c>
      <c r="H989" s="80"/>
      <c r="I989" s="80"/>
      <c r="J989" s="79" t="s">
        <v>592</v>
      </c>
      <c r="K989" s="78" t="s">
        <v>623</v>
      </c>
      <c r="L989" s="77">
        <v>43305</v>
      </c>
      <c r="M989" s="68"/>
      <c r="N989" s="76"/>
      <c r="O989" s="75" t="s">
        <v>686</v>
      </c>
      <c r="R989" s="74"/>
    </row>
    <row r="990" spans="2:18" ht="36" hidden="1" customHeight="1" x14ac:dyDescent="0.25">
      <c r="B990" s="84">
        <v>1819</v>
      </c>
      <c r="C990" s="83" t="s">
        <v>19</v>
      </c>
      <c r="D990" s="82" t="s">
        <v>1941</v>
      </c>
      <c r="E990" s="81">
        <v>43306</v>
      </c>
      <c r="F990" s="27">
        <f t="shared" ca="1" si="15"/>
        <v>1167</v>
      </c>
      <c r="G990" s="79" t="s">
        <v>578</v>
      </c>
      <c r="H990" s="80"/>
      <c r="I990" s="80"/>
      <c r="J990" s="79" t="s">
        <v>579</v>
      </c>
      <c r="K990" s="78" t="s">
        <v>623</v>
      </c>
      <c r="L990" s="77">
        <v>43314</v>
      </c>
      <c r="M990" s="68"/>
      <c r="N990" s="76" t="s">
        <v>1570</v>
      </c>
      <c r="O990" s="75"/>
      <c r="R990" s="74"/>
    </row>
    <row r="991" spans="2:18" ht="36" hidden="1" customHeight="1" x14ac:dyDescent="0.25">
      <c r="B991" s="84">
        <v>1824</v>
      </c>
      <c r="C991" s="83" t="s">
        <v>16</v>
      </c>
      <c r="D991" s="82" t="s">
        <v>2808</v>
      </c>
      <c r="E991" s="81">
        <v>43306</v>
      </c>
      <c r="F991" s="27">
        <f t="shared" ca="1" si="15"/>
        <v>1167</v>
      </c>
      <c r="G991" s="79" t="s">
        <v>578</v>
      </c>
      <c r="H991" s="80"/>
      <c r="I991" s="80"/>
      <c r="J991" s="79" t="s">
        <v>579</v>
      </c>
      <c r="K991" s="78" t="s">
        <v>623</v>
      </c>
      <c r="L991" s="77">
        <v>43308</v>
      </c>
      <c r="M991" s="68"/>
      <c r="N991" s="76"/>
      <c r="O991" s="75" t="s">
        <v>2809</v>
      </c>
      <c r="R991" s="74"/>
    </row>
    <row r="992" spans="2:18" ht="36" hidden="1" customHeight="1" x14ac:dyDescent="0.25">
      <c r="B992" s="84">
        <v>1642</v>
      </c>
      <c r="C992" s="83" t="s">
        <v>40</v>
      </c>
      <c r="D992" s="82" t="s">
        <v>795</v>
      </c>
      <c r="E992" s="81">
        <v>43307</v>
      </c>
      <c r="F992" s="27">
        <f t="shared" ca="1" si="15"/>
        <v>1166</v>
      </c>
      <c r="G992" s="79" t="s">
        <v>796</v>
      </c>
      <c r="H992" s="80"/>
      <c r="I992" s="80"/>
      <c r="J992" s="79" t="s">
        <v>597</v>
      </c>
      <c r="K992" s="78" t="s">
        <v>580</v>
      </c>
      <c r="L992" s="77">
        <v>43354</v>
      </c>
      <c r="M992" s="68"/>
      <c r="N992" s="76" t="s">
        <v>797</v>
      </c>
      <c r="O992" s="75"/>
      <c r="R992" s="74"/>
    </row>
    <row r="993" spans="2:18" ht="36" hidden="1" customHeight="1" x14ac:dyDescent="0.25">
      <c r="B993" s="84">
        <v>1819</v>
      </c>
      <c r="C993" s="83" t="s">
        <v>40</v>
      </c>
      <c r="D993" s="82" t="s">
        <v>1944</v>
      </c>
      <c r="E993" s="81">
        <v>43307</v>
      </c>
      <c r="F993" s="27">
        <f t="shared" ca="1" si="15"/>
        <v>1166</v>
      </c>
      <c r="G993" s="79" t="s">
        <v>1261</v>
      </c>
      <c r="H993" s="80"/>
      <c r="I993" s="80"/>
      <c r="J993" s="79" t="s">
        <v>597</v>
      </c>
      <c r="K993" s="78" t="s">
        <v>623</v>
      </c>
      <c r="L993" s="77">
        <v>43336</v>
      </c>
      <c r="M993" s="68"/>
      <c r="N993" s="76"/>
      <c r="O993" s="75" t="s">
        <v>1945</v>
      </c>
      <c r="R993" s="74"/>
    </row>
    <row r="994" spans="2:18" ht="36" hidden="1" customHeight="1" x14ac:dyDescent="0.25">
      <c r="B994" s="84">
        <v>1828</v>
      </c>
      <c r="C994" s="83" t="s">
        <v>31</v>
      </c>
      <c r="D994" s="82" t="s">
        <v>3574</v>
      </c>
      <c r="E994" s="81">
        <v>43307</v>
      </c>
      <c r="F994" s="27">
        <f t="shared" ca="1" si="15"/>
        <v>1166</v>
      </c>
      <c r="G994" s="79" t="s">
        <v>1328</v>
      </c>
      <c r="H994" s="80"/>
      <c r="I994" s="80"/>
      <c r="J994" s="79" t="s">
        <v>579</v>
      </c>
      <c r="K994" s="78" t="s">
        <v>623</v>
      </c>
      <c r="L994" s="77">
        <v>43314</v>
      </c>
      <c r="M994" s="68"/>
      <c r="N994" s="76" t="s">
        <v>1570</v>
      </c>
      <c r="O994" s="75" t="s">
        <v>3575</v>
      </c>
      <c r="R994" s="74"/>
    </row>
    <row r="995" spans="2:18" ht="36" hidden="1" customHeight="1" x14ac:dyDescent="0.25">
      <c r="B995" s="84">
        <v>1829</v>
      </c>
      <c r="C995" s="83" t="s">
        <v>23</v>
      </c>
      <c r="D995" s="82" t="s">
        <v>3781</v>
      </c>
      <c r="E995" s="81">
        <v>43307</v>
      </c>
      <c r="F995" s="27">
        <f t="shared" ca="1" si="15"/>
        <v>1166</v>
      </c>
      <c r="G995" s="79" t="s">
        <v>1863</v>
      </c>
      <c r="H995" s="80"/>
      <c r="I995" s="80"/>
      <c r="J995" s="79" t="s">
        <v>579</v>
      </c>
      <c r="K995" s="78" t="s">
        <v>623</v>
      </c>
      <c r="L995" s="77">
        <v>43308</v>
      </c>
      <c r="M995" s="68"/>
      <c r="N995" s="76"/>
      <c r="O995" s="75" t="s">
        <v>3782</v>
      </c>
      <c r="R995" s="74"/>
    </row>
    <row r="996" spans="2:18" ht="36" hidden="1" customHeight="1" x14ac:dyDescent="0.25">
      <c r="B996" s="84">
        <v>1829</v>
      </c>
      <c r="C996" s="83" t="s">
        <v>23</v>
      </c>
      <c r="D996" s="82" t="s">
        <v>3783</v>
      </c>
      <c r="E996" s="81">
        <v>43307</v>
      </c>
      <c r="F996" s="27">
        <f t="shared" ca="1" si="15"/>
        <v>1166</v>
      </c>
      <c r="G996" s="79" t="s">
        <v>1572</v>
      </c>
      <c r="H996" s="80"/>
      <c r="I996" s="80"/>
      <c r="J996" s="79" t="s">
        <v>765</v>
      </c>
      <c r="K996" s="78" t="s">
        <v>623</v>
      </c>
      <c r="L996" s="77">
        <v>43320</v>
      </c>
      <c r="M996" s="68"/>
      <c r="N996" s="76"/>
      <c r="O996" s="75" t="s">
        <v>3784</v>
      </c>
      <c r="R996" s="74"/>
    </row>
    <row r="997" spans="2:18" ht="36" hidden="1" customHeight="1" x14ac:dyDescent="0.25">
      <c r="B997" s="84">
        <v>1824</v>
      </c>
      <c r="C997" s="83" t="s">
        <v>23</v>
      </c>
      <c r="D997" s="82" t="s">
        <v>2810</v>
      </c>
      <c r="E997" s="81">
        <v>43308</v>
      </c>
      <c r="F997" s="27">
        <f t="shared" ca="1" si="15"/>
        <v>1165</v>
      </c>
      <c r="G997" s="79" t="s">
        <v>1325</v>
      </c>
      <c r="H997" s="80"/>
      <c r="I997" s="80"/>
      <c r="J997" s="79" t="s">
        <v>579</v>
      </c>
      <c r="K997" s="78" t="s">
        <v>623</v>
      </c>
      <c r="L997" s="77">
        <v>43314</v>
      </c>
      <c r="M997" s="68"/>
      <c r="N997" s="76" t="s">
        <v>1570</v>
      </c>
      <c r="O997" s="75" t="s">
        <v>2811</v>
      </c>
      <c r="R997" s="74"/>
    </row>
    <row r="998" spans="2:18" ht="36" hidden="1" customHeight="1" x14ac:dyDescent="0.25">
      <c r="B998" s="84">
        <v>1828</v>
      </c>
      <c r="C998" s="83" t="s">
        <v>40</v>
      </c>
      <c r="D998" s="82" t="s">
        <v>2593</v>
      </c>
      <c r="E998" s="81">
        <v>43308</v>
      </c>
      <c r="F998" s="27">
        <f t="shared" ca="1" si="15"/>
        <v>1165</v>
      </c>
      <c r="G998" s="79" t="s">
        <v>1328</v>
      </c>
      <c r="H998" s="80"/>
      <c r="I998" s="80"/>
      <c r="J998" s="79" t="s">
        <v>579</v>
      </c>
      <c r="K998" s="78" t="s">
        <v>623</v>
      </c>
      <c r="L998" s="77">
        <v>43314</v>
      </c>
      <c r="M998" s="68"/>
      <c r="N998" s="76" t="s">
        <v>1570</v>
      </c>
      <c r="O998" s="75" t="s">
        <v>3576</v>
      </c>
      <c r="R998" s="74"/>
    </row>
    <row r="999" spans="2:18" ht="36" hidden="1" customHeight="1" x14ac:dyDescent="0.25">
      <c r="B999" s="84">
        <v>1830</v>
      </c>
      <c r="C999" s="83" t="s">
        <v>19</v>
      </c>
      <c r="D999" s="82" t="s">
        <v>3967</v>
      </c>
      <c r="E999" s="81">
        <v>43311</v>
      </c>
      <c r="F999" s="27">
        <f t="shared" ca="1" si="15"/>
        <v>1162</v>
      </c>
      <c r="G999" s="79" t="s">
        <v>1572</v>
      </c>
      <c r="H999" s="80"/>
      <c r="I999" s="80"/>
      <c r="J999" s="79" t="s">
        <v>592</v>
      </c>
      <c r="K999" s="78" t="s">
        <v>623</v>
      </c>
      <c r="L999" s="77">
        <v>43322</v>
      </c>
      <c r="M999" s="68"/>
      <c r="N999" s="76"/>
      <c r="O999" s="75" t="s">
        <v>3968</v>
      </c>
      <c r="R999" s="74"/>
    </row>
    <row r="1000" spans="2:18" ht="36" hidden="1" customHeight="1" x14ac:dyDescent="0.25">
      <c r="B1000" s="84">
        <v>1826</v>
      </c>
      <c r="C1000" s="83" t="s">
        <v>19</v>
      </c>
      <c r="D1000" s="82" t="s">
        <v>3233</v>
      </c>
      <c r="E1000" s="81">
        <v>43312</v>
      </c>
      <c r="F1000" s="27">
        <f t="shared" ca="1" si="15"/>
        <v>1161</v>
      </c>
      <c r="G1000" s="79" t="s">
        <v>1261</v>
      </c>
      <c r="H1000" s="80"/>
      <c r="I1000" s="80"/>
      <c r="J1000" s="79" t="s">
        <v>597</v>
      </c>
      <c r="K1000" s="78" t="s">
        <v>623</v>
      </c>
      <c r="L1000" s="77">
        <v>43336</v>
      </c>
      <c r="M1000" s="68"/>
      <c r="N1000" s="76"/>
      <c r="O1000" s="75"/>
      <c r="R1000" s="74"/>
    </row>
    <row r="1001" spans="2:18" ht="36" hidden="1" customHeight="1" x14ac:dyDescent="0.25">
      <c r="B1001" s="84">
        <v>1825</v>
      </c>
      <c r="C1001" s="83" t="s">
        <v>40</v>
      </c>
      <c r="D1001" s="82" t="s">
        <v>3054</v>
      </c>
      <c r="E1001" s="81">
        <v>43315</v>
      </c>
      <c r="F1001" s="27">
        <f t="shared" ca="1" si="15"/>
        <v>1158</v>
      </c>
      <c r="G1001" s="79" t="s">
        <v>1572</v>
      </c>
      <c r="H1001" s="80"/>
      <c r="I1001" s="80"/>
      <c r="J1001" s="79" t="s">
        <v>765</v>
      </c>
      <c r="K1001" s="78" t="s">
        <v>623</v>
      </c>
      <c r="L1001" s="77">
        <v>43320</v>
      </c>
      <c r="M1001" s="68"/>
      <c r="N1001" s="76"/>
      <c r="O1001" s="75" t="s">
        <v>3055</v>
      </c>
      <c r="R1001" s="74"/>
    </row>
    <row r="1002" spans="2:18" ht="36" hidden="1" customHeight="1" x14ac:dyDescent="0.25">
      <c r="B1002" s="84">
        <v>1825</v>
      </c>
      <c r="C1002" s="83" t="s">
        <v>15</v>
      </c>
      <c r="D1002" s="82" t="s">
        <v>3056</v>
      </c>
      <c r="E1002" s="81">
        <v>43315</v>
      </c>
      <c r="F1002" s="27">
        <f t="shared" ca="1" si="15"/>
        <v>1158</v>
      </c>
      <c r="G1002" s="79" t="s">
        <v>1572</v>
      </c>
      <c r="H1002" s="80"/>
      <c r="I1002" s="80"/>
      <c r="J1002" s="79" t="s">
        <v>765</v>
      </c>
      <c r="K1002" s="78" t="s">
        <v>623</v>
      </c>
      <c r="L1002" s="77">
        <v>43320</v>
      </c>
      <c r="M1002" s="68"/>
      <c r="N1002" s="76"/>
      <c r="O1002" s="75" t="s">
        <v>3057</v>
      </c>
      <c r="R1002" s="74"/>
    </row>
    <row r="1003" spans="2:18" ht="36" hidden="1" customHeight="1" x14ac:dyDescent="0.25">
      <c r="B1003" s="84">
        <v>1827</v>
      </c>
      <c r="C1003" s="83" t="s">
        <v>11</v>
      </c>
      <c r="D1003" s="82" t="s">
        <v>3371</v>
      </c>
      <c r="E1003" s="81">
        <v>43315</v>
      </c>
      <c r="F1003" s="27">
        <f t="shared" ca="1" si="15"/>
        <v>1158</v>
      </c>
      <c r="G1003" s="79" t="s">
        <v>3372</v>
      </c>
      <c r="H1003" s="80"/>
      <c r="I1003" s="80"/>
      <c r="J1003" s="79" t="s">
        <v>592</v>
      </c>
      <c r="K1003" s="78" t="s">
        <v>623</v>
      </c>
      <c r="L1003" s="77">
        <v>43320</v>
      </c>
      <c r="M1003" s="68"/>
      <c r="N1003" s="76"/>
      <c r="O1003" s="75" t="s">
        <v>3373</v>
      </c>
      <c r="R1003" s="74"/>
    </row>
    <row r="1004" spans="2:18" ht="36" hidden="1" customHeight="1" x14ac:dyDescent="0.25">
      <c r="B1004" s="84">
        <v>1828</v>
      </c>
      <c r="C1004" s="83" t="s">
        <v>11</v>
      </c>
      <c r="D1004" s="82" t="s">
        <v>3577</v>
      </c>
      <c r="E1004" s="81">
        <v>43315</v>
      </c>
      <c r="F1004" s="27">
        <f t="shared" ca="1" si="15"/>
        <v>1158</v>
      </c>
      <c r="G1004" s="79" t="s">
        <v>3372</v>
      </c>
      <c r="H1004" s="80"/>
      <c r="I1004" s="80"/>
      <c r="J1004" s="79" t="s">
        <v>592</v>
      </c>
      <c r="K1004" s="78" t="s">
        <v>623</v>
      </c>
      <c r="L1004" s="77">
        <v>43320</v>
      </c>
      <c r="M1004" s="68"/>
      <c r="N1004" s="76"/>
      <c r="O1004" s="75" t="s">
        <v>3057</v>
      </c>
      <c r="R1004" s="74"/>
    </row>
    <row r="1005" spans="2:18" ht="36" hidden="1" customHeight="1" x14ac:dyDescent="0.25">
      <c r="B1005" s="84">
        <v>1829</v>
      </c>
      <c r="C1005" s="83" t="s">
        <v>19</v>
      </c>
      <c r="D1005" s="82" t="s">
        <v>3785</v>
      </c>
      <c r="E1005" s="81">
        <v>43315</v>
      </c>
      <c r="F1005" s="27">
        <f t="shared" ca="1" si="15"/>
        <v>1158</v>
      </c>
      <c r="G1005" s="79" t="s">
        <v>1572</v>
      </c>
      <c r="H1005" s="80"/>
      <c r="I1005" s="80"/>
      <c r="J1005" s="79" t="s">
        <v>765</v>
      </c>
      <c r="K1005" s="78" t="s">
        <v>623</v>
      </c>
      <c r="L1005" s="77">
        <v>43320</v>
      </c>
      <c r="M1005" s="68"/>
      <c r="N1005" s="76"/>
      <c r="O1005" s="75" t="s">
        <v>3786</v>
      </c>
      <c r="R1005" s="74"/>
    </row>
    <row r="1006" spans="2:18" ht="36" hidden="1" customHeight="1" x14ac:dyDescent="0.25">
      <c r="B1006" s="84">
        <v>1819</v>
      </c>
      <c r="C1006" s="83" t="s">
        <v>11</v>
      </c>
      <c r="D1006" s="82" t="s">
        <v>1942</v>
      </c>
      <c r="E1006" s="81">
        <v>43319</v>
      </c>
      <c r="F1006" s="27">
        <f t="shared" ca="1" si="15"/>
        <v>1154</v>
      </c>
      <c r="G1006" s="79" t="s">
        <v>1261</v>
      </c>
      <c r="H1006" s="80"/>
      <c r="I1006" s="80"/>
      <c r="J1006" s="79" t="s">
        <v>597</v>
      </c>
      <c r="K1006" s="78" t="s">
        <v>623</v>
      </c>
      <c r="L1006" s="77">
        <v>43335</v>
      </c>
      <c r="M1006" s="68"/>
      <c r="N1006" s="76"/>
      <c r="O1006" s="75"/>
      <c r="R1006" s="74"/>
    </row>
    <row r="1007" spans="2:18" ht="36" hidden="1" customHeight="1" x14ac:dyDescent="0.25">
      <c r="B1007" s="84">
        <v>1817</v>
      </c>
      <c r="C1007" s="83" t="s">
        <v>19</v>
      </c>
      <c r="D1007" s="82" t="s">
        <v>1571</v>
      </c>
      <c r="E1007" s="81">
        <v>43320</v>
      </c>
      <c r="F1007" s="27">
        <f t="shared" ca="1" si="15"/>
        <v>1153</v>
      </c>
      <c r="G1007" s="79" t="s">
        <v>1572</v>
      </c>
      <c r="H1007" s="80"/>
      <c r="I1007" s="80"/>
      <c r="J1007" s="79" t="s">
        <v>765</v>
      </c>
      <c r="K1007" s="78" t="s">
        <v>623</v>
      </c>
      <c r="L1007" s="77">
        <v>43325</v>
      </c>
      <c r="M1007" s="68"/>
      <c r="N1007" s="76"/>
      <c r="O1007" s="75" t="s">
        <v>1573</v>
      </c>
      <c r="R1007" s="74"/>
    </row>
    <row r="1008" spans="2:18" ht="36" hidden="1" customHeight="1" x14ac:dyDescent="0.25">
      <c r="B1008" s="84">
        <v>1828</v>
      </c>
      <c r="C1008" s="83" t="s">
        <v>40</v>
      </c>
      <c r="D1008" s="82" t="s">
        <v>3580</v>
      </c>
      <c r="E1008" s="81">
        <v>43320</v>
      </c>
      <c r="F1008" s="27">
        <f t="shared" ca="1" si="15"/>
        <v>1153</v>
      </c>
      <c r="G1008" s="79" t="s">
        <v>1572</v>
      </c>
      <c r="H1008" s="80"/>
      <c r="I1008" s="80"/>
      <c r="J1008" s="79" t="s">
        <v>597</v>
      </c>
      <c r="K1008" s="78" t="s">
        <v>623</v>
      </c>
      <c r="L1008" s="77">
        <v>43354</v>
      </c>
      <c r="M1008" s="68"/>
      <c r="N1008" s="76"/>
      <c r="O1008" s="75" t="s">
        <v>3581</v>
      </c>
      <c r="R1008" s="74"/>
    </row>
    <row r="1009" spans="2:18" ht="36" hidden="1" customHeight="1" x14ac:dyDescent="0.25">
      <c r="B1009" s="84">
        <v>1827</v>
      </c>
      <c r="C1009" s="83" t="s">
        <v>23</v>
      </c>
      <c r="D1009" s="82" t="s">
        <v>1987</v>
      </c>
      <c r="E1009" s="81">
        <v>43321</v>
      </c>
      <c r="F1009" s="27">
        <f t="shared" ca="1" si="15"/>
        <v>1152</v>
      </c>
      <c r="G1009" s="79" t="s">
        <v>1572</v>
      </c>
      <c r="H1009" s="80"/>
      <c r="I1009" s="80"/>
      <c r="J1009" s="79" t="s">
        <v>597</v>
      </c>
      <c r="K1009" s="78" t="s">
        <v>623</v>
      </c>
      <c r="L1009" s="77">
        <v>43354</v>
      </c>
      <c r="M1009" s="68"/>
      <c r="N1009" s="76"/>
      <c r="O1009" s="75" t="s">
        <v>3374</v>
      </c>
      <c r="R1009" s="74"/>
    </row>
    <row r="1010" spans="2:18" ht="36" hidden="1" customHeight="1" x14ac:dyDescent="0.25">
      <c r="B1010" s="84">
        <v>1820</v>
      </c>
      <c r="C1010" s="83" t="s">
        <v>18</v>
      </c>
      <c r="D1010" s="82" t="s">
        <v>2141</v>
      </c>
      <c r="E1010" s="81">
        <v>43322</v>
      </c>
      <c r="F1010" s="27">
        <f t="shared" ca="1" si="15"/>
        <v>1151</v>
      </c>
      <c r="G1010" s="79" t="s">
        <v>1074</v>
      </c>
      <c r="H1010" s="80"/>
      <c r="I1010" s="80"/>
      <c r="J1010" s="79" t="s">
        <v>1301</v>
      </c>
      <c r="K1010" s="78" t="s">
        <v>1301</v>
      </c>
      <c r="L1010" s="77">
        <v>43378</v>
      </c>
      <c r="M1010" s="68"/>
      <c r="N1010" s="76"/>
      <c r="O1010" s="75" t="s">
        <v>2142</v>
      </c>
      <c r="R1010" s="74"/>
    </row>
    <row r="1011" spans="2:18" ht="36" hidden="1" customHeight="1" x14ac:dyDescent="0.25">
      <c r="B1011" s="84">
        <v>1824</v>
      </c>
      <c r="C1011" s="83" t="s">
        <v>12</v>
      </c>
      <c r="D1011" s="82" t="s">
        <v>2812</v>
      </c>
      <c r="E1011" s="81">
        <v>43322</v>
      </c>
      <c r="F1011" s="27">
        <f t="shared" ca="1" si="15"/>
        <v>1151</v>
      </c>
      <c r="G1011" s="79" t="s">
        <v>1572</v>
      </c>
      <c r="H1011" s="80"/>
      <c r="I1011" s="80"/>
      <c r="J1011" s="79" t="s">
        <v>765</v>
      </c>
      <c r="K1011" s="78" t="s">
        <v>623</v>
      </c>
      <c r="L1011" s="77">
        <v>43321</v>
      </c>
      <c r="M1011" s="68"/>
      <c r="N1011" s="76"/>
      <c r="O1011" s="75" t="s">
        <v>2813</v>
      </c>
      <c r="R1011" s="74"/>
    </row>
    <row r="1012" spans="2:18" ht="36" hidden="1" customHeight="1" x14ac:dyDescent="0.25">
      <c r="B1012" s="84">
        <v>1824</v>
      </c>
      <c r="C1012" s="83" t="s">
        <v>24</v>
      </c>
      <c r="D1012" s="82" t="s">
        <v>2814</v>
      </c>
      <c r="E1012" s="81">
        <v>43322</v>
      </c>
      <c r="F1012" s="27">
        <f t="shared" ca="1" si="15"/>
        <v>1151</v>
      </c>
      <c r="G1012" s="79"/>
      <c r="H1012" s="80"/>
      <c r="I1012" s="80"/>
      <c r="J1012" s="79" t="s">
        <v>597</v>
      </c>
      <c r="K1012" s="78" t="s">
        <v>623</v>
      </c>
      <c r="L1012" s="77">
        <v>43328</v>
      </c>
      <c r="M1012" s="68"/>
      <c r="N1012" s="76"/>
      <c r="O1012" s="75" t="s">
        <v>2815</v>
      </c>
      <c r="R1012" s="74"/>
    </row>
    <row r="1013" spans="2:18" ht="36" hidden="1" customHeight="1" x14ac:dyDescent="0.25">
      <c r="B1013" s="84">
        <v>1825</v>
      </c>
      <c r="C1013" s="83" t="s">
        <v>11</v>
      </c>
      <c r="D1013" s="82" t="s">
        <v>3060</v>
      </c>
      <c r="E1013" s="81">
        <v>43322</v>
      </c>
      <c r="F1013" s="27">
        <f t="shared" ca="1" si="15"/>
        <v>1151</v>
      </c>
      <c r="G1013" s="79" t="s">
        <v>1261</v>
      </c>
      <c r="H1013" s="80"/>
      <c r="I1013" s="80"/>
      <c r="J1013" s="79" t="s">
        <v>597</v>
      </c>
      <c r="K1013" s="78" t="s">
        <v>623</v>
      </c>
      <c r="L1013" s="77">
        <v>43338</v>
      </c>
      <c r="M1013" s="68"/>
      <c r="N1013" s="76"/>
      <c r="O1013" s="75"/>
      <c r="R1013" s="74"/>
    </row>
    <row r="1014" spans="2:18" ht="36" hidden="1" customHeight="1" x14ac:dyDescent="0.25">
      <c r="B1014" s="84">
        <v>1823</v>
      </c>
      <c r="C1014" s="83" t="s">
        <v>19</v>
      </c>
      <c r="D1014" s="82" t="s">
        <v>1569</v>
      </c>
      <c r="E1014" s="81">
        <v>43325</v>
      </c>
      <c r="F1014" s="27">
        <f t="shared" ca="1" si="15"/>
        <v>1148</v>
      </c>
      <c r="G1014" s="79"/>
      <c r="H1014" s="80"/>
      <c r="I1014" s="80"/>
      <c r="J1014" s="79" t="s">
        <v>597</v>
      </c>
      <c r="K1014" s="78" t="s">
        <v>623</v>
      </c>
      <c r="L1014" s="77">
        <v>43328</v>
      </c>
      <c r="M1014" s="68"/>
      <c r="N1014" s="76"/>
      <c r="O1014" s="75" t="s">
        <v>2598</v>
      </c>
      <c r="R1014" s="74"/>
    </row>
    <row r="1015" spans="2:18" ht="36" hidden="1" customHeight="1" x14ac:dyDescent="0.25">
      <c r="B1015" s="84">
        <v>1823</v>
      </c>
      <c r="C1015" s="83" t="s">
        <v>12</v>
      </c>
      <c r="D1015" s="82" t="s">
        <v>2599</v>
      </c>
      <c r="E1015" s="81">
        <v>43325</v>
      </c>
      <c r="F1015" s="27">
        <f t="shared" ca="1" si="15"/>
        <v>1148</v>
      </c>
      <c r="G1015" s="79"/>
      <c r="H1015" s="80"/>
      <c r="I1015" s="80"/>
      <c r="J1015" s="79" t="s">
        <v>597</v>
      </c>
      <c r="K1015" s="78" t="s">
        <v>623</v>
      </c>
      <c r="L1015" s="77">
        <v>43328</v>
      </c>
      <c r="M1015" s="68"/>
      <c r="N1015" s="76"/>
      <c r="O1015" s="75" t="s">
        <v>2598</v>
      </c>
      <c r="R1015" s="74"/>
    </row>
    <row r="1016" spans="2:18" ht="36" hidden="1" customHeight="1" x14ac:dyDescent="0.25">
      <c r="B1016" s="84">
        <v>1823</v>
      </c>
      <c r="C1016" s="83" t="s">
        <v>40</v>
      </c>
      <c r="D1016" s="82" t="s">
        <v>2600</v>
      </c>
      <c r="E1016" s="81">
        <v>43325</v>
      </c>
      <c r="F1016" s="27">
        <f t="shared" ca="1" si="15"/>
        <v>1148</v>
      </c>
      <c r="G1016" s="79"/>
      <c r="H1016" s="80"/>
      <c r="I1016" s="80"/>
      <c r="J1016" s="79" t="s">
        <v>597</v>
      </c>
      <c r="K1016" s="78" t="s">
        <v>623</v>
      </c>
      <c r="L1016" s="77">
        <v>43328</v>
      </c>
      <c r="M1016" s="68"/>
      <c r="N1016" s="76"/>
      <c r="O1016" s="75" t="s">
        <v>2601</v>
      </c>
      <c r="R1016" s="74"/>
    </row>
    <row r="1017" spans="2:18" ht="36" hidden="1" customHeight="1" x14ac:dyDescent="0.25">
      <c r="B1017" s="84">
        <v>1641</v>
      </c>
      <c r="C1017" s="83" t="s">
        <v>40</v>
      </c>
      <c r="D1017" s="82" t="s">
        <v>649</v>
      </c>
      <c r="E1017" s="81">
        <v>43326</v>
      </c>
      <c r="F1017" s="27">
        <f t="shared" ca="1" si="15"/>
        <v>1147</v>
      </c>
      <c r="G1017" s="79" t="s">
        <v>650</v>
      </c>
      <c r="H1017" s="80"/>
      <c r="I1017" s="80"/>
      <c r="J1017" s="79" t="s">
        <v>597</v>
      </c>
      <c r="K1017" s="78" t="s">
        <v>580</v>
      </c>
      <c r="L1017" s="77">
        <v>43354</v>
      </c>
      <c r="M1017" s="68"/>
      <c r="N1017" s="76"/>
      <c r="O1017" s="75" t="s">
        <v>651</v>
      </c>
      <c r="R1017" s="74"/>
    </row>
    <row r="1018" spans="2:18" ht="36" hidden="1" customHeight="1" x14ac:dyDescent="0.25">
      <c r="B1018" s="84">
        <v>1817</v>
      </c>
      <c r="C1018" s="83" t="s">
        <v>19</v>
      </c>
      <c r="D1018" s="82" t="s">
        <v>1574</v>
      </c>
      <c r="E1018" s="81">
        <v>43326</v>
      </c>
      <c r="F1018" s="27">
        <f t="shared" ca="1" si="15"/>
        <v>1147</v>
      </c>
      <c r="G1018" s="79"/>
      <c r="H1018" s="80" t="s">
        <v>1575</v>
      </c>
      <c r="I1018" s="80"/>
      <c r="J1018" s="79" t="s">
        <v>597</v>
      </c>
      <c r="K1018" s="78" t="s">
        <v>623</v>
      </c>
      <c r="L1018" s="77">
        <v>43328</v>
      </c>
      <c r="M1018" s="68"/>
      <c r="N1018" s="76" t="s">
        <v>1576</v>
      </c>
      <c r="O1018" s="75" t="s">
        <v>1577</v>
      </c>
      <c r="R1018" s="74"/>
    </row>
    <row r="1019" spans="2:18" ht="36" hidden="1" customHeight="1" x14ac:dyDescent="0.25">
      <c r="B1019" s="84">
        <v>1823</v>
      </c>
      <c r="C1019" s="83" t="s">
        <v>15</v>
      </c>
      <c r="D1019" s="82" t="s">
        <v>2602</v>
      </c>
      <c r="E1019" s="81">
        <v>43326</v>
      </c>
      <c r="F1019" s="27">
        <f t="shared" ca="1" si="15"/>
        <v>1147</v>
      </c>
      <c r="G1019" s="79"/>
      <c r="H1019" s="80"/>
      <c r="I1019" s="80"/>
      <c r="J1019" s="79" t="s">
        <v>597</v>
      </c>
      <c r="K1019" s="78" t="s">
        <v>623</v>
      </c>
      <c r="L1019" s="77">
        <v>43328</v>
      </c>
      <c r="M1019" s="68"/>
      <c r="N1019" s="76"/>
      <c r="O1019" s="75" t="s">
        <v>1281</v>
      </c>
      <c r="R1019" s="74"/>
    </row>
    <row r="1020" spans="2:18" ht="36" hidden="1" customHeight="1" x14ac:dyDescent="0.25">
      <c r="B1020" s="84">
        <v>1830</v>
      </c>
      <c r="C1020" s="83" t="s">
        <v>19</v>
      </c>
      <c r="D1020" s="82" t="s">
        <v>2935</v>
      </c>
      <c r="E1020" s="81">
        <v>43326</v>
      </c>
      <c r="F1020" s="27">
        <f t="shared" ca="1" si="15"/>
        <v>1147</v>
      </c>
      <c r="G1020" s="79" t="s">
        <v>1261</v>
      </c>
      <c r="H1020" s="80"/>
      <c r="I1020" s="80"/>
      <c r="J1020" s="79" t="s">
        <v>592</v>
      </c>
      <c r="K1020" s="78" t="s">
        <v>623</v>
      </c>
      <c r="L1020" s="77">
        <v>43347</v>
      </c>
      <c r="M1020" s="68"/>
      <c r="N1020" s="76"/>
      <c r="O1020" s="75" t="s">
        <v>3969</v>
      </c>
      <c r="R1020" s="74"/>
    </row>
    <row r="1021" spans="2:18" ht="36" hidden="1" customHeight="1" x14ac:dyDescent="0.25">
      <c r="B1021" s="84">
        <v>1823</v>
      </c>
      <c r="C1021" s="83" t="s">
        <v>23</v>
      </c>
      <c r="D1021" s="82" t="s">
        <v>458</v>
      </c>
      <c r="E1021" s="81">
        <v>43328</v>
      </c>
      <c r="F1021" s="27">
        <f t="shared" ca="1" si="15"/>
        <v>1145</v>
      </c>
      <c r="G1021" s="79"/>
      <c r="H1021" s="80"/>
      <c r="I1021" s="80"/>
      <c r="J1021" s="79" t="s">
        <v>597</v>
      </c>
      <c r="K1021" s="78" t="s">
        <v>623</v>
      </c>
      <c r="L1021" s="77">
        <v>43328</v>
      </c>
      <c r="M1021" s="68"/>
      <c r="N1021" s="76"/>
      <c r="O1021" s="75" t="s">
        <v>1806</v>
      </c>
      <c r="R1021" s="74"/>
    </row>
    <row r="1022" spans="2:18" ht="36" hidden="1" customHeight="1" x14ac:dyDescent="0.25">
      <c r="B1022" s="84">
        <v>1825</v>
      </c>
      <c r="C1022" s="83" t="s">
        <v>23</v>
      </c>
      <c r="D1022" s="82" t="s">
        <v>346</v>
      </c>
      <c r="E1022" s="81">
        <v>43328</v>
      </c>
      <c r="F1022" s="27">
        <f t="shared" ca="1" si="15"/>
        <v>1145</v>
      </c>
      <c r="G1022" s="79" t="s">
        <v>1261</v>
      </c>
      <c r="H1022" s="80"/>
      <c r="I1022" s="80"/>
      <c r="J1022" s="79" t="s">
        <v>597</v>
      </c>
      <c r="K1022" s="78" t="s">
        <v>623</v>
      </c>
      <c r="L1022" s="77">
        <v>43338</v>
      </c>
      <c r="M1022" s="68"/>
      <c r="N1022" s="76"/>
      <c r="O1022" s="75"/>
      <c r="R1022" s="74"/>
    </row>
    <row r="1023" spans="2:18" ht="36" hidden="1" customHeight="1" x14ac:dyDescent="0.25">
      <c r="B1023" s="84">
        <v>1829</v>
      </c>
      <c r="C1023" s="83" t="s">
        <v>23</v>
      </c>
      <c r="D1023" s="82" t="s">
        <v>3787</v>
      </c>
      <c r="E1023" s="81">
        <v>43328</v>
      </c>
      <c r="F1023" s="27">
        <f t="shared" ca="1" si="15"/>
        <v>1145</v>
      </c>
      <c r="G1023" s="79"/>
      <c r="H1023" s="80"/>
      <c r="I1023" s="80"/>
      <c r="J1023" s="79" t="s">
        <v>597</v>
      </c>
      <c r="K1023" s="78" t="s">
        <v>623</v>
      </c>
      <c r="L1023" s="77">
        <v>43328</v>
      </c>
      <c r="M1023" s="68"/>
      <c r="N1023" s="76"/>
      <c r="O1023" s="75" t="s">
        <v>1806</v>
      </c>
      <c r="R1023" s="74"/>
    </row>
    <row r="1024" spans="2:18" ht="36" hidden="1" customHeight="1" x14ac:dyDescent="0.25">
      <c r="B1024" s="84">
        <v>1823</v>
      </c>
      <c r="C1024" s="83" t="s">
        <v>40</v>
      </c>
      <c r="D1024" s="82" t="s">
        <v>2607</v>
      </c>
      <c r="E1024" s="81">
        <v>43329</v>
      </c>
      <c r="F1024" s="27">
        <f t="shared" ca="1" si="15"/>
        <v>1144</v>
      </c>
      <c r="G1024" s="79" t="s">
        <v>1261</v>
      </c>
      <c r="H1024" s="80"/>
      <c r="I1024" s="80"/>
      <c r="J1024" s="79" t="s">
        <v>597</v>
      </c>
      <c r="K1024" s="78" t="s">
        <v>623</v>
      </c>
      <c r="L1024" s="77">
        <v>43340</v>
      </c>
      <c r="M1024" s="68"/>
      <c r="N1024" s="76"/>
      <c r="O1024" s="75"/>
      <c r="R1024" s="74"/>
    </row>
    <row r="1025" spans="2:18" ht="36" hidden="1" customHeight="1" x14ac:dyDescent="0.25">
      <c r="B1025" s="84">
        <v>1644</v>
      </c>
      <c r="C1025" s="83" t="s">
        <v>23</v>
      </c>
      <c r="D1025" s="82" t="s">
        <v>960</v>
      </c>
      <c r="E1025" s="81">
        <v>43332</v>
      </c>
      <c r="F1025" s="27">
        <f t="shared" ca="1" si="15"/>
        <v>1141</v>
      </c>
      <c r="G1025" s="79" t="s">
        <v>796</v>
      </c>
      <c r="H1025" s="80"/>
      <c r="I1025" s="80"/>
      <c r="J1025" s="79" t="s">
        <v>597</v>
      </c>
      <c r="K1025" s="78" t="s">
        <v>580</v>
      </c>
      <c r="L1025" s="77">
        <v>43334</v>
      </c>
      <c r="M1025" s="68"/>
      <c r="N1025" s="76"/>
      <c r="O1025" s="75"/>
      <c r="R1025" s="74"/>
    </row>
    <row r="1026" spans="2:18" ht="36" hidden="1" customHeight="1" x14ac:dyDescent="0.25">
      <c r="B1026" s="84">
        <v>1819</v>
      </c>
      <c r="C1026" s="83" t="s">
        <v>40</v>
      </c>
      <c r="D1026" s="82" t="s">
        <v>1946</v>
      </c>
      <c r="E1026" s="81">
        <v>43333</v>
      </c>
      <c r="F1026" s="27">
        <f t="shared" ca="1" si="15"/>
        <v>1140</v>
      </c>
      <c r="G1026" s="79"/>
      <c r="H1026" s="80"/>
      <c r="I1026" s="80"/>
      <c r="J1026" s="79" t="s">
        <v>597</v>
      </c>
      <c r="K1026" s="78" t="s">
        <v>623</v>
      </c>
      <c r="L1026" s="77">
        <v>43348</v>
      </c>
      <c r="M1026" s="68"/>
      <c r="N1026" s="76"/>
      <c r="O1026" s="75" t="s">
        <v>1947</v>
      </c>
      <c r="R1026" s="74"/>
    </row>
    <row r="1027" spans="2:18" ht="36" hidden="1" customHeight="1" x14ac:dyDescent="0.25">
      <c r="B1027" s="84">
        <v>1816</v>
      </c>
      <c r="C1027" s="83" t="s">
        <v>11</v>
      </c>
      <c r="D1027" s="82" t="s">
        <v>1363</v>
      </c>
      <c r="E1027" s="81">
        <v>43336</v>
      </c>
      <c r="F1027" s="27">
        <f t="shared" ca="1" si="15"/>
        <v>1137</v>
      </c>
      <c r="G1027" s="79" t="s">
        <v>1261</v>
      </c>
      <c r="H1027" s="80"/>
      <c r="I1027" s="80"/>
      <c r="J1027" s="79" t="s">
        <v>597</v>
      </c>
      <c r="K1027" s="78" t="s">
        <v>623</v>
      </c>
      <c r="L1027" s="77">
        <v>43336</v>
      </c>
      <c r="M1027" s="68"/>
      <c r="N1027" s="76"/>
      <c r="O1027" s="75"/>
      <c r="R1027" s="74"/>
    </row>
    <row r="1028" spans="2:18" ht="36" hidden="1" customHeight="1" x14ac:dyDescent="0.25">
      <c r="B1028" s="84">
        <v>1823</v>
      </c>
      <c r="C1028" s="83" t="s">
        <v>17</v>
      </c>
      <c r="D1028" s="82" t="s">
        <v>2603</v>
      </c>
      <c r="E1028" s="81">
        <v>43336</v>
      </c>
      <c r="F1028" s="27">
        <f t="shared" ca="1" si="15"/>
        <v>1137</v>
      </c>
      <c r="G1028" s="79" t="s">
        <v>1261</v>
      </c>
      <c r="H1028" s="80"/>
      <c r="I1028" s="80"/>
      <c r="J1028" s="79" t="s">
        <v>597</v>
      </c>
      <c r="K1028" s="78" t="s">
        <v>623</v>
      </c>
      <c r="L1028" s="77">
        <v>43338</v>
      </c>
      <c r="M1028" s="68"/>
      <c r="N1028" s="76"/>
      <c r="O1028" s="75"/>
      <c r="R1028" s="74"/>
    </row>
    <row r="1029" spans="2:18" ht="36" hidden="1" customHeight="1" x14ac:dyDescent="0.25">
      <c r="B1029" s="84">
        <v>1823</v>
      </c>
      <c r="C1029" s="83" t="s">
        <v>11</v>
      </c>
      <c r="D1029" s="82" t="s">
        <v>2604</v>
      </c>
      <c r="E1029" s="81">
        <v>43336</v>
      </c>
      <c r="F1029" s="27">
        <f t="shared" ca="1" si="15"/>
        <v>1137</v>
      </c>
      <c r="G1029" s="79" t="s">
        <v>1261</v>
      </c>
      <c r="H1029" s="80"/>
      <c r="I1029" s="80"/>
      <c r="J1029" s="79" t="s">
        <v>597</v>
      </c>
      <c r="K1029" s="78" t="s">
        <v>623</v>
      </c>
      <c r="L1029" s="77">
        <v>43338</v>
      </c>
      <c r="M1029" s="68"/>
      <c r="N1029" s="76"/>
      <c r="O1029" s="75"/>
      <c r="R1029" s="74"/>
    </row>
    <row r="1030" spans="2:18" ht="36" hidden="1" customHeight="1" x14ac:dyDescent="0.25">
      <c r="B1030" s="84">
        <v>1823</v>
      </c>
      <c r="C1030" s="83" t="s">
        <v>12</v>
      </c>
      <c r="D1030" s="82" t="s">
        <v>2605</v>
      </c>
      <c r="E1030" s="81">
        <v>43336</v>
      </c>
      <c r="F1030" s="27">
        <f t="shared" ca="1" si="15"/>
        <v>1137</v>
      </c>
      <c r="G1030" s="79" t="s">
        <v>1261</v>
      </c>
      <c r="H1030" s="80"/>
      <c r="I1030" s="80"/>
      <c r="J1030" s="79" t="s">
        <v>597</v>
      </c>
      <c r="K1030" s="78" t="s">
        <v>623</v>
      </c>
      <c r="L1030" s="77">
        <v>43338</v>
      </c>
      <c r="M1030" s="68"/>
      <c r="N1030" s="76"/>
      <c r="O1030" s="75"/>
      <c r="R1030" s="74"/>
    </row>
    <row r="1031" spans="2:18" ht="36" hidden="1" customHeight="1" x14ac:dyDescent="0.25">
      <c r="B1031" s="84">
        <v>1823</v>
      </c>
      <c r="C1031" s="83" t="s">
        <v>27</v>
      </c>
      <c r="D1031" s="82" t="s">
        <v>2606</v>
      </c>
      <c r="E1031" s="81">
        <v>43336</v>
      </c>
      <c r="F1031" s="27">
        <f t="shared" ca="1" si="15"/>
        <v>1137</v>
      </c>
      <c r="G1031" s="79" t="s">
        <v>1261</v>
      </c>
      <c r="H1031" s="80"/>
      <c r="I1031" s="80"/>
      <c r="J1031" s="79" t="s">
        <v>597</v>
      </c>
      <c r="K1031" s="78" t="s">
        <v>623</v>
      </c>
      <c r="L1031" s="77">
        <v>43338</v>
      </c>
      <c r="M1031" s="68"/>
      <c r="N1031" s="76"/>
      <c r="O1031" s="75"/>
      <c r="R1031" s="74"/>
    </row>
    <row r="1032" spans="2:18" ht="36" hidden="1" customHeight="1" x14ac:dyDescent="0.25">
      <c r="B1032" s="84">
        <v>1817</v>
      </c>
      <c r="C1032" s="83" t="s">
        <v>9</v>
      </c>
      <c r="D1032" s="82" t="s">
        <v>1578</v>
      </c>
      <c r="E1032" s="81">
        <v>43339</v>
      </c>
      <c r="F1032" s="27">
        <f t="shared" ca="1" si="15"/>
        <v>1134</v>
      </c>
      <c r="G1032" s="79" t="s">
        <v>1261</v>
      </c>
      <c r="H1032" s="80"/>
      <c r="I1032" s="80"/>
      <c r="J1032" s="79" t="s">
        <v>597</v>
      </c>
      <c r="K1032" s="78" t="s">
        <v>623</v>
      </c>
      <c r="L1032" s="77">
        <v>43340</v>
      </c>
      <c r="M1032" s="68"/>
      <c r="N1032" s="76"/>
      <c r="O1032" s="75"/>
      <c r="R1032" s="74"/>
    </row>
    <row r="1033" spans="2:18" ht="36" hidden="1" customHeight="1" x14ac:dyDescent="0.25">
      <c r="B1033" s="84">
        <v>1825</v>
      </c>
      <c r="C1033" s="83" t="s">
        <v>15</v>
      </c>
      <c r="D1033" s="82" t="s">
        <v>3061</v>
      </c>
      <c r="E1033" s="81">
        <v>43339</v>
      </c>
      <c r="F1033" s="27">
        <f t="shared" ca="1" si="15"/>
        <v>1134</v>
      </c>
      <c r="G1033" s="79" t="s">
        <v>1261</v>
      </c>
      <c r="H1033" s="80"/>
      <c r="I1033" s="80"/>
      <c r="J1033" s="79" t="s">
        <v>597</v>
      </c>
      <c r="K1033" s="78" t="s">
        <v>623</v>
      </c>
      <c r="L1033" s="77">
        <v>43347</v>
      </c>
      <c r="M1033" s="68"/>
      <c r="N1033" s="76"/>
      <c r="O1033" s="75" t="s">
        <v>3062</v>
      </c>
      <c r="R1033" s="74"/>
    </row>
    <row r="1034" spans="2:18" ht="36" hidden="1" customHeight="1" x14ac:dyDescent="0.25">
      <c r="B1034" s="84">
        <v>1825</v>
      </c>
      <c r="C1034" s="83" t="s">
        <v>40</v>
      </c>
      <c r="D1034" s="82" t="s">
        <v>3063</v>
      </c>
      <c r="E1034" s="81">
        <v>43339</v>
      </c>
      <c r="F1034" s="27">
        <f t="shared" ca="1" si="15"/>
        <v>1134</v>
      </c>
      <c r="G1034" s="79" t="s">
        <v>1261</v>
      </c>
      <c r="H1034" s="80"/>
      <c r="I1034" s="80"/>
      <c r="J1034" s="79" t="s">
        <v>597</v>
      </c>
      <c r="K1034" s="78" t="s">
        <v>623</v>
      </c>
      <c r="L1034" s="77">
        <v>43347</v>
      </c>
      <c r="M1034" s="68"/>
      <c r="N1034" s="76"/>
      <c r="O1034" s="75" t="s">
        <v>52</v>
      </c>
      <c r="R1034" s="74"/>
    </row>
    <row r="1035" spans="2:18" ht="36" hidden="1" customHeight="1" x14ac:dyDescent="0.25">
      <c r="B1035" s="84">
        <v>1825</v>
      </c>
      <c r="C1035" s="83" t="s">
        <v>31</v>
      </c>
      <c r="D1035" s="82" t="s">
        <v>3064</v>
      </c>
      <c r="E1035" s="81">
        <v>43339</v>
      </c>
      <c r="F1035" s="27">
        <f t="shared" ca="1" si="15"/>
        <v>1134</v>
      </c>
      <c r="G1035" s="79" t="s">
        <v>1261</v>
      </c>
      <c r="H1035" s="80"/>
      <c r="I1035" s="80"/>
      <c r="J1035" s="79" t="s">
        <v>597</v>
      </c>
      <c r="K1035" s="78" t="s">
        <v>623</v>
      </c>
      <c r="L1035" s="77">
        <v>43347</v>
      </c>
      <c r="M1035" s="68"/>
      <c r="N1035" s="76"/>
      <c r="O1035" s="75" t="s">
        <v>3065</v>
      </c>
      <c r="R1035" s="74"/>
    </row>
    <row r="1036" spans="2:18" ht="36" hidden="1" customHeight="1" x14ac:dyDescent="0.25">
      <c r="B1036" s="84">
        <v>1825</v>
      </c>
      <c r="C1036" s="83" t="s">
        <v>40</v>
      </c>
      <c r="D1036" s="82" t="s">
        <v>3066</v>
      </c>
      <c r="E1036" s="81">
        <v>43339</v>
      </c>
      <c r="F1036" s="27">
        <f t="shared" ca="1" si="15"/>
        <v>1134</v>
      </c>
      <c r="G1036" s="79" t="s">
        <v>3067</v>
      </c>
      <c r="H1036" s="80"/>
      <c r="I1036" s="80"/>
      <c r="J1036" s="79" t="s">
        <v>579</v>
      </c>
      <c r="K1036" s="78" t="s">
        <v>623</v>
      </c>
      <c r="L1036" s="77">
        <v>43362</v>
      </c>
      <c r="M1036" s="68"/>
      <c r="N1036" s="76"/>
      <c r="O1036" s="75" t="s">
        <v>3068</v>
      </c>
      <c r="R1036" s="74"/>
    </row>
    <row r="1037" spans="2:18" ht="36" hidden="1" customHeight="1" x14ac:dyDescent="0.25">
      <c r="B1037" s="84">
        <v>1819</v>
      </c>
      <c r="C1037" s="83" t="s">
        <v>21</v>
      </c>
      <c r="D1037" s="82" t="s">
        <v>1948</v>
      </c>
      <c r="E1037" s="81">
        <v>43342</v>
      </c>
      <c r="F1037" s="27">
        <f t="shared" ca="1" si="15"/>
        <v>1131</v>
      </c>
      <c r="G1037" s="79"/>
      <c r="H1037" s="80"/>
      <c r="I1037" s="80"/>
      <c r="J1037" s="79" t="s">
        <v>597</v>
      </c>
      <c r="K1037" s="78" t="s">
        <v>623</v>
      </c>
      <c r="L1037" s="77">
        <v>43348</v>
      </c>
      <c r="M1037" s="68"/>
      <c r="N1037" s="76"/>
      <c r="O1037" s="75" t="s">
        <v>1949</v>
      </c>
      <c r="R1037" s="74"/>
    </row>
    <row r="1038" spans="2:18" ht="36" hidden="1" customHeight="1" x14ac:dyDescent="0.25">
      <c r="B1038" s="84">
        <v>1827</v>
      </c>
      <c r="C1038" s="83" t="s">
        <v>23</v>
      </c>
      <c r="D1038" s="82" t="s">
        <v>2259</v>
      </c>
      <c r="E1038" s="81">
        <v>43342</v>
      </c>
      <c r="F1038" s="27">
        <f t="shared" ca="1" si="15"/>
        <v>1131</v>
      </c>
      <c r="G1038" s="79" t="s">
        <v>1572</v>
      </c>
      <c r="H1038" s="80"/>
      <c r="I1038" s="80"/>
      <c r="J1038" s="79" t="s">
        <v>597</v>
      </c>
      <c r="K1038" s="78" t="s">
        <v>623</v>
      </c>
      <c r="L1038" s="77">
        <v>43354</v>
      </c>
      <c r="M1038" s="68"/>
      <c r="N1038" s="76"/>
      <c r="O1038" s="75" t="s">
        <v>1731</v>
      </c>
      <c r="R1038" s="74"/>
    </row>
    <row r="1039" spans="2:18" ht="36" hidden="1" customHeight="1" x14ac:dyDescent="0.25">
      <c r="B1039" s="84">
        <v>1818</v>
      </c>
      <c r="C1039" s="83" t="s">
        <v>19</v>
      </c>
      <c r="D1039" s="82" t="s">
        <v>1745</v>
      </c>
      <c r="E1039" s="81">
        <v>43347</v>
      </c>
      <c r="F1039" s="27">
        <f t="shared" ca="1" si="15"/>
        <v>1126</v>
      </c>
      <c r="G1039" s="79" t="s">
        <v>1572</v>
      </c>
      <c r="H1039" s="80"/>
      <c r="I1039" s="80"/>
      <c r="J1039" s="79" t="s">
        <v>597</v>
      </c>
      <c r="K1039" s="78" t="s">
        <v>623</v>
      </c>
      <c r="L1039" s="77">
        <v>43351</v>
      </c>
      <c r="M1039" s="68"/>
      <c r="N1039" s="76"/>
      <c r="O1039" s="75" t="s">
        <v>1746</v>
      </c>
      <c r="R1039" s="74"/>
    </row>
    <row r="1040" spans="2:18" ht="36" hidden="1" customHeight="1" x14ac:dyDescent="0.25">
      <c r="B1040" s="84">
        <v>1823</v>
      </c>
      <c r="C1040" s="83" t="s">
        <v>18</v>
      </c>
      <c r="D1040" s="82" t="s">
        <v>2611</v>
      </c>
      <c r="E1040" s="81">
        <v>43347</v>
      </c>
      <c r="F1040" s="27">
        <f t="shared" ref="F1040:F1103" ca="1" si="16">IF(E1040&lt;&gt;"",TODAY()-E1040,"")</f>
        <v>1126</v>
      </c>
      <c r="G1040" s="79" t="s">
        <v>1273</v>
      </c>
      <c r="H1040" s="80"/>
      <c r="I1040" s="80"/>
      <c r="J1040" s="79" t="s">
        <v>765</v>
      </c>
      <c r="K1040" s="78" t="s">
        <v>623</v>
      </c>
      <c r="L1040" s="77">
        <v>43393</v>
      </c>
      <c r="M1040" s="68"/>
      <c r="N1040" s="76"/>
      <c r="O1040" s="75" t="s">
        <v>2612</v>
      </c>
      <c r="R1040" s="74"/>
    </row>
    <row r="1041" spans="2:18" ht="36" hidden="1" customHeight="1" x14ac:dyDescent="0.25">
      <c r="B1041" s="84">
        <v>1825</v>
      </c>
      <c r="C1041" s="83" t="s">
        <v>40</v>
      </c>
      <c r="D1041" s="82" t="s">
        <v>3069</v>
      </c>
      <c r="E1041" s="81">
        <v>43348</v>
      </c>
      <c r="F1041" s="27">
        <f t="shared" ca="1" si="16"/>
        <v>1125</v>
      </c>
      <c r="G1041" s="79" t="s">
        <v>3067</v>
      </c>
      <c r="H1041" s="80"/>
      <c r="I1041" s="80"/>
      <c r="J1041" s="79" t="s">
        <v>579</v>
      </c>
      <c r="K1041" s="78" t="s">
        <v>623</v>
      </c>
      <c r="L1041" s="77">
        <v>43362</v>
      </c>
      <c r="M1041" s="68"/>
      <c r="N1041" s="76"/>
      <c r="O1041" s="75" t="s">
        <v>3070</v>
      </c>
      <c r="R1041" s="74"/>
    </row>
    <row r="1042" spans="2:18" ht="36" hidden="1" customHeight="1" x14ac:dyDescent="0.25">
      <c r="B1042" s="84">
        <v>1828</v>
      </c>
      <c r="C1042" s="83" t="s">
        <v>23</v>
      </c>
      <c r="D1042" s="82" t="s">
        <v>458</v>
      </c>
      <c r="E1042" s="81">
        <v>43348</v>
      </c>
      <c r="F1042" s="27">
        <f t="shared" ca="1" si="16"/>
        <v>1125</v>
      </c>
      <c r="G1042" s="79" t="s">
        <v>1572</v>
      </c>
      <c r="H1042" s="80"/>
      <c r="I1042" s="80"/>
      <c r="J1042" s="79" t="s">
        <v>597</v>
      </c>
      <c r="K1042" s="78" t="s">
        <v>623</v>
      </c>
      <c r="L1042" s="77">
        <v>43354</v>
      </c>
      <c r="M1042" s="68"/>
      <c r="N1042" s="76"/>
      <c r="O1042" s="75" t="s">
        <v>1731</v>
      </c>
      <c r="R1042" s="74"/>
    </row>
    <row r="1043" spans="2:18" ht="36" hidden="1" customHeight="1" x14ac:dyDescent="0.25">
      <c r="B1043" s="84">
        <v>1828</v>
      </c>
      <c r="C1043" s="83" t="s">
        <v>40</v>
      </c>
      <c r="D1043" s="82" t="s">
        <v>3582</v>
      </c>
      <c r="E1043" s="81">
        <v>43348</v>
      </c>
      <c r="F1043" s="27">
        <f t="shared" ca="1" si="16"/>
        <v>1125</v>
      </c>
      <c r="G1043" s="79" t="s">
        <v>578</v>
      </c>
      <c r="H1043" s="80"/>
      <c r="I1043" s="80"/>
      <c r="J1043" s="79" t="s">
        <v>579</v>
      </c>
      <c r="K1043" s="78" t="s">
        <v>623</v>
      </c>
      <c r="L1043" s="77">
        <v>43365</v>
      </c>
      <c r="M1043" s="68"/>
      <c r="N1043" s="76"/>
      <c r="O1043" s="75" t="s">
        <v>3583</v>
      </c>
      <c r="R1043" s="74"/>
    </row>
    <row r="1044" spans="2:18" ht="36" hidden="1" customHeight="1" x14ac:dyDescent="0.25">
      <c r="B1044" s="84">
        <v>1818</v>
      </c>
      <c r="C1044" s="83" t="s">
        <v>39</v>
      </c>
      <c r="D1044" s="82" t="s">
        <v>1747</v>
      </c>
      <c r="E1044" s="81">
        <v>43349</v>
      </c>
      <c r="F1044" s="27">
        <f t="shared" ca="1" si="16"/>
        <v>1124</v>
      </c>
      <c r="G1044" s="79" t="s">
        <v>1572</v>
      </c>
      <c r="H1044" s="80"/>
      <c r="I1044" s="80"/>
      <c r="J1044" s="79" t="s">
        <v>597</v>
      </c>
      <c r="K1044" s="78" t="s">
        <v>623</v>
      </c>
      <c r="L1044" s="77">
        <v>43351</v>
      </c>
      <c r="M1044" s="68"/>
      <c r="N1044" s="76"/>
      <c r="O1044" s="75" t="s">
        <v>1748</v>
      </c>
      <c r="R1044" s="74"/>
    </row>
    <row r="1045" spans="2:18" ht="36" hidden="1" customHeight="1" x14ac:dyDescent="0.25">
      <c r="B1045" s="84">
        <v>1821</v>
      </c>
      <c r="C1045" s="83" t="s">
        <v>40</v>
      </c>
      <c r="D1045" s="82" t="s">
        <v>2315</v>
      </c>
      <c r="E1045" s="81">
        <v>43350</v>
      </c>
      <c r="F1045" s="27">
        <f t="shared" ca="1" si="16"/>
        <v>1123</v>
      </c>
      <c r="G1045" s="79" t="s">
        <v>1304</v>
      </c>
      <c r="H1045" s="80"/>
      <c r="I1045" s="80"/>
      <c r="J1045" s="79" t="s">
        <v>579</v>
      </c>
      <c r="K1045" s="78" t="s">
        <v>623</v>
      </c>
      <c r="L1045" s="77">
        <v>43357</v>
      </c>
      <c r="M1045" s="68"/>
      <c r="N1045" s="76"/>
      <c r="O1045" s="75" t="s">
        <v>2316</v>
      </c>
      <c r="R1045" s="74"/>
    </row>
    <row r="1046" spans="2:18" ht="36" hidden="1" customHeight="1" x14ac:dyDescent="0.25">
      <c r="B1046" s="84">
        <v>1830</v>
      </c>
      <c r="C1046" s="83" t="s">
        <v>23</v>
      </c>
      <c r="D1046" s="82" t="s">
        <v>3970</v>
      </c>
      <c r="E1046" s="81">
        <v>43350</v>
      </c>
      <c r="F1046" s="27">
        <f t="shared" ca="1" si="16"/>
        <v>1123</v>
      </c>
      <c r="G1046" s="79" t="s">
        <v>1354</v>
      </c>
      <c r="H1046" s="80"/>
      <c r="I1046" s="80"/>
      <c r="J1046" s="79" t="s">
        <v>592</v>
      </c>
      <c r="K1046" s="78" t="s">
        <v>623</v>
      </c>
      <c r="L1046" s="77">
        <v>43357</v>
      </c>
      <c r="M1046" s="68"/>
      <c r="N1046" s="76"/>
      <c r="O1046" s="75" t="s">
        <v>3971</v>
      </c>
      <c r="R1046" s="74"/>
    </row>
    <row r="1047" spans="2:18" ht="36" hidden="1" customHeight="1" x14ac:dyDescent="0.25">
      <c r="B1047" s="84">
        <v>1643</v>
      </c>
      <c r="C1047" s="83" t="s">
        <v>36</v>
      </c>
      <c r="D1047" s="82" t="s">
        <v>883</v>
      </c>
      <c r="E1047" s="81">
        <v>43354</v>
      </c>
      <c r="F1047" s="27">
        <f t="shared" ca="1" si="16"/>
        <v>1119</v>
      </c>
      <c r="G1047" s="79" t="s">
        <v>650</v>
      </c>
      <c r="H1047" s="80"/>
      <c r="I1047" s="80"/>
      <c r="J1047" s="79" t="s">
        <v>597</v>
      </c>
      <c r="K1047" s="78" t="s">
        <v>580</v>
      </c>
      <c r="L1047" s="77">
        <v>43354</v>
      </c>
      <c r="M1047" s="68"/>
      <c r="N1047" s="76"/>
      <c r="O1047" s="75" t="s">
        <v>884</v>
      </c>
      <c r="R1047" s="74"/>
    </row>
    <row r="1048" spans="2:18" ht="36" hidden="1" customHeight="1" x14ac:dyDescent="0.25">
      <c r="B1048" s="84">
        <v>1827</v>
      </c>
      <c r="C1048" s="83" t="s">
        <v>12</v>
      </c>
      <c r="D1048" s="82" t="s">
        <v>3375</v>
      </c>
      <c r="E1048" s="81">
        <v>43354</v>
      </c>
      <c r="F1048" s="27">
        <f t="shared" ca="1" si="16"/>
        <v>1119</v>
      </c>
      <c r="G1048" s="79" t="s">
        <v>1863</v>
      </c>
      <c r="H1048" s="80"/>
      <c r="I1048" s="80"/>
      <c r="J1048" s="79" t="s">
        <v>579</v>
      </c>
      <c r="K1048" s="78" t="s">
        <v>623</v>
      </c>
      <c r="L1048" s="77">
        <v>43365</v>
      </c>
      <c r="M1048" s="68"/>
      <c r="N1048" s="76"/>
      <c r="O1048" s="75" t="s">
        <v>3376</v>
      </c>
      <c r="R1048" s="74"/>
    </row>
    <row r="1049" spans="2:18" ht="36" hidden="1" customHeight="1" x14ac:dyDescent="0.25">
      <c r="B1049" s="84">
        <v>1641</v>
      </c>
      <c r="C1049" s="83" t="s">
        <v>17</v>
      </c>
      <c r="D1049" s="82" t="s">
        <v>652</v>
      </c>
      <c r="E1049" s="81">
        <v>43355</v>
      </c>
      <c r="F1049" s="27">
        <f t="shared" ca="1" si="16"/>
        <v>1118</v>
      </c>
      <c r="G1049" s="79" t="s">
        <v>603</v>
      </c>
      <c r="H1049" s="80"/>
      <c r="I1049" s="80"/>
      <c r="J1049" s="79" t="s">
        <v>592</v>
      </c>
      <c r="K1049" s="78" t="s">
        <v>580</v>
      </c>
      <c r="L1049" s="77">
        <v>43361</v>
      </c>
      <c r="M1049" s="68"/>
      <c r="N1049" s="76"/>
      <c r="O1049" s="75" t="s">
        <v>653</v>
      </c>
      <c r="R1049" s="74"/>
    </row>
    <row r="1050" spans="2:18" ht="36" hidden="1" customHeight="1" x14ac:dyDescent="0.25">
      <c r="B1050" s="84">
        <v>1820</v>
      </c>
      <c r="C1050" s="83" t="s">
        <v>21</v>
      </c>
      <c r="D1050" s="82" t="s">
        <v>2143</v>
      </c>
      <c r="E1050" s="81">
        <v>43355</v>
      </c>
      <c r="F1050" s="27">
        <f t="shared" ca="1" si="16"/>
        <v>1118</v>
      </c>
      <c r="G1050" s="79" t="s">
        <v>1074</v>
      </c>
      <c r="H1050" s="80"/>
      <c r="I1050" s="80"/>
      <c r="J1050" s="79" t="s">
        <v>1301</v>
      </c>
      <c r="K1050" s="78" t="s">
        <v>1301</v>
      </c>
      <c r="L1050" s="77">
        <v>43378</v>
      </c>
      <c r="M1050" s="68"/>
      <c r="N1050" s="76"/>
      <c r="O1050" s="75" t="s">
        <v>2144</v>
      </c>
      <c r="R1050" s="74"/>
    </row>
    <row r="1051" spans="2:18" ht="36" hidden="1" customHeight="1" x14ac:dyDescent="0.25">
      <c r="B1051" s="84">
        <v>1820</v>
      </c>
      <c r="C1051" s="83" t="s">
        <v>38</v>
      </c>
      <c r="D1051" s="82" t="s">
        <v>2146</v>
      </c>
      <c r="E1051" s="81">
        <v>43355</v>
      </c>
      <c r="F1051" s="27">
        <f t="shared" ca="1" si="16"/>
        <v>1118</v>
      </c>
      <c r="G1051" s="79" t="s">
        <v>2147</v>
      </c>
      <c r="H1051" s="80"/>
      <c r="I1051" s="80"/>
      <c r="J1051" s="79" t="s">
        <v>579</v>
      </c>
      <c r="K1051" s="78" t="s">
        <v>623</v>
      </c>
      <c r="L1051" s="77">
        <v>43421</v>
      </c>
      <c r="M1051" s="68"/>
      <c r="N1051" s="76"/>
      <c r="O1051" s="75" t="s">
        <v>2148</v>
      </c>
      <c r="R1051" s="74"/>
    </row>
    <row r="1052" spans="2:18" ht="36" hidden="1" customHeight="1" x14ac:dyDescent="0.25">
      <c r="B1052" s="84">
        <v>1824</v>
      </c>
      <c r="C1052" s="83" t="s">
        <v>40</v>
      </c>
      <c r="D1052" s="82" t="s">
        <v>2818</v>
      </c>
      <c r="E1052" s="81">
        <v>43356</v>
      </c>
      <c r="F1052" s="27">
        <f t="shared" ca="1" si="16"/>
        <v>1117</v>
      </c>
      <c r="G1052" s="79" t="s">
        <v>2819</v>
      </c>
      <c r="H1052" s="80"/>
      <c r="I1052" s="80"/>
      <c r="J1052" s="79" t="s">
        <v>579</v>
      </c>
      <c r="K1052" s="78" t="s">
        <v>623</v>
      </c>
      <c r="L1052" s="77">
        <v>43357</v>
      </c>
      <c r="M1052" s="68"/>
      <c r="N1052" s="76"/>
      <c r="O1052" s="75" t="s">
        <v>1804</v>
      </c>
      <c r="R1052" s="74"/>
    </row>
    <row r="1053" spans="2:18" ht="36" hidden="1" customHeight="1" x14ac:dyDescent="0.25">
      <c r="B1053" s="84">
        <v>1826</v>
      </c>
      <c r="C1053" s="83" t="s">
        <v>40</v>
      </c>
      <c r="D1053" s="82" t="s">
        <v>3234</v>
      </c>
      <c r="E1053" s="81">
        <v>43356</v>
      </c>
      <c r="F1053" s="27">
        <f t="shared" ca="1" si="16"/>
        <v>1117</v>
      </c>
      <c r="G1053" s="79" t="s">
        <v>1304</v>
      </c>
      <c r="H1053" s="80"/>
      <c r="I1053" s="80"/>
      <c r="J1053" s="79" t="s">
        <v>579</v>
      </c>
      <c r="K1053" s="78" t="s">
        <v>623</v>
      </c>
      <c r="L1053" s="77">
        <v>43357</v>
      </c>
      <c r="M1053" s="68"/>
      <c r="N1053" s="76"/>
      <c r="O1053" s="75" t="s">
        <v>3235</v>
      </c>
      <c r="R1053" s="74"/>
    </row>
    <row r="1054" spans="2:18" ht="36" hidden="1" customHeight="1" x14ac:dyDescent="0.25">
      <c r="B1054" s="84">
        <v>1829</v>
      </c>
      <c r="C1054" s="83" t="s">
        <v>23</v>
      </c>
      <c r="D1054" s="82" t="s">
        <v>2879</v>
      </c>
      <c r="E1054" s="81">
        <v>43356</v>
      </c>
      <c r="F1054" s="27">
        <f t="shared" ca="1" si="16"/>
        <v>1117</v>
      </c>
      <c r="G1054" s="79" t="s">
        <v>1354</v>
      </c>
      <c r="H1054" s="80"/>
      <c r="I1054" s="80"/>
      <c r="J1054" s="79" t="s">
        <v>765</v>
      </c>
      <c r="K1054" s="78" t="s">
        <v>623</v>
      </c>
      <c r="L1054" s="77">
        <v>43357</v>
      </c>
      <c r="M1054" s="68"/>
      <c r="N1054" s="76"/>
      <c r="O1054" s="75" t="s">
        <v>3789</v>
      </c>
      <c r="R1054" s="74"/>
    </row>
    <row r="1055" spans="2:18" ht="36" hidden="1" customHeight="1" x14ac:dyDescent="0.25">
      <c r="B1055" s="84">
        <v>1816</v>
      </c>
      <c r="C1055" s="83" t="s">
        <v>40</v>
      </c>
      <c r="D1055" s="82" t="s">
        <v>1364</v>
      </c>
      <c r="E1055" s="81">
        <v>43357</v>
      </c>
      <c r="F1055" s="27">
        <f t="shared" ca="1" si="16"/>
        <v>1116</v>
      </c>
      <c r="G1055" s="79" t="s">
        <v>1304</v>
      </c>
      <c r="H1055" s="80"/>
      <c r="I1055" s="80"/>
      <c r="J1055" s="79" t="s">
        <v>579</v>
      </c>
      <c r="K1055" s="78" t="s">
        <v>623</v>
      </c>
      <c r="L1055" s="77">
        <v>43365</v>
      </c>
      <c r="M1055" s="68"/>
      <c r="N1055" s="76"/>
      <c r="O1055" s="75" t="s">
        <v>1365</v>
      </c>
      <c r="R1055" s="74"/>
    </row>
    <row r="1056" spans="2:18" ht="36" hidden="1" customHeight="1" x14ac:dyDescent="0.25">
      <c r="B1056" s="84">
        <v>1816</v>
      </c>
      <c r="C1056" s="83" t="s">
        <v>40</v>
      </c>
      <c r="D1056" s="82" t="s">
        <v>1366</v>
      </c>
      <c r="E1056" s="81">
        <v>43357</v>
      </c>
      <c r="F1056" s="27">
        <f t="shared" ca="1" si="16"/>
        <v>1116</v>
      </c>
      <c r="G1056" s="79" t="s">
        <v>1304</v>
      </c>
      <c r="H1056" s="80"/>
      <c r="I1056" s="80"/>
      <c r="J1056" s="79" t="s">
        <v>579</v>
      </c>
      <c r="K1056" s="78" t="s">
        <v>623</v>
      </c>
      <c r="L1056" s="77">
        <v>43365</v>
      </c>
      <c r="M1056" s="68"/>
      <c r="N1056" s="76"/>
      <c r="O1056" s="75" t="s">
        <v>1367</v>
      </c>
      <c r="R1056" s="74"/>
    </row>
    <row r="1057" spans="2:18" ht="36" hidden="1" customHeight="1" x14ac:dyDescent="0.25">
      <c r="B1057" s="84">
        <v>1824</v>
      </c>
      <c r="C1057" s="83" t="s">
        <v>23</v>
      </c>
      <c r="D1057" s="82" t="s">
        <v>1160</v>
      </c>
      <c r="E1057" s="81">
        <v>43361</v>
      </c>
      <c r="F1057" s="27">
        <f t="shared" ca="1" si="16"/>
        <v>1112</v>
      </c>
      <c r="G1057" s="79"/>
      <c r="H1057" s="80"/>
      <c r="I1057" s="80"/>
      <c r="J1057" s="79" t="s">
        <v>579</v>
      </c>
      <c r="K1057" s="78" t="s">
        <v>623</v>
      </c>
      <c r="L1057" s="77">
        <v>43361</v>
      </c>
      <c r="M1057" s="68"/>
      <c r="N1057" s="76"/>
      <c r="O1057" s="75" t="s">
        <v>2820</v>
      </c>
      <c r="R1057" s="74"/>
    </row>
    <row r="1058" spans="2:18" ht="36" hidden="1" customHeight="1" x14ac:dyDescent="0.25">
      <c r="B1058" s="84">
        <v>1824</v>
      </c>
      <c r="C1058" s="83" t="s">
        <v>11</v>
      </c>
      <c r="D1058" s="82" t="s">
        <v>2821</v>
      </c>
      <c r="E1058" s="81">
        <v>43362</v>
      </c>
      <c r="F1058" s="27">
        <f t="shared" ca="1" si="16"/>
        <v>1111</v>
      </c>
      <c r="G1058" s="79" t="s">
        <v>1273</v>
      </c>
      <c r="H1058" s="80"/>
      <c r="I1058" s="80"/>
      <c r="J1058" s="79" t="s">
        <v>765</v>
      </c>
      <c r="K1058" s="78" t="s">
        <v>623</v>
      </c>
      <c r="L1058" s="77">
        <v>43393</v>
      </c>
      <c r="M1058" s="68"/>
      <c r="N1058" s="76"/>
      <c r="O1058" s="75"/>
      <c r="R1058" s="74"/>
    </row>
    <row r="1059" spans="2:18" ht="36" hidden="1" customHeight="1" x14ac:dyDescent="0.25">
      <c r="B1059" s="84">
        <v>1817</v>
      </c>
      <c r="C1059" s="83" t="s">
        <v>40</v>
      </c>
      <c r="D1059" s="82" t="s">
        <v>1579</v>
      </c>
      <c r="E1059" s="81">
        <v>43364</v>
      </c>
      <c r="F1059" s="27">
        <f t="shared" ca="1" si="16"/>
        <v>1109</v>
      </c>
      <c r="G1059" s="79"/>
      <c r="H1059" s="80"/>
      <c r="I1059" s="80"/>
      <c r="J1059" s="79"/>
      <c r="K1059" s="78"/>
      <c r="L1059" s="77">
        <v>43365</v>
      </c>
      <c r="M1059" s="68"/>
      <c r="N1059" s="76"/>
      <c r="O1059" s="75"/>
      <c r="R1059" s="74"/>
    </row>
    <row r="1060" spans="2:18" ht="36" hidden="1" customHeight="1" x14ac:dyDescent="0.25">
      <c r="B1060" s="84">
        <v>1818</v>
      </c>
      <c r="C1060" s="83" t="s">
        <v>40</v>
      </c>
      <c r="D1060" s="82" t="s">
        <v>1579</v>
      </c>
      <c r="E1060" s="81">
        <v>43364</v>
      </c>
      <c r="F1060" s="27">
        <f t="shared" ca="1" si="16"/>
        <v>1109</v>
      </c>
      <c r="G1060" s="79" t="s">
        <v>1749</v>
      </c>
      <c r="H1060" s="80"/>
      <c r="I1060" s="80"/>
      <c r="J1060" s="79" t="s">
        <v>1301</v>
      </c>
      <c r="K1060" s="78" t="s">
        <v>1301</v>
      </c>
      <c r="L1060" s="77">
        <v>43368</v>
      </c>
      <c r="M1060" s="68"/>
      <c r="N1060" s="76" t="s">
        <v>1750</v>
      </c>
      <c r="O1060" s="75" t="s">
        <v>1751</v>
      </c>
      <c r="R1060" s="74"/>
    </row>
    <row r="1061" spans="2:18" ht="36" hidden="1" customHeight="1" x14ac:dyDescent="0.25">
      <c r="B1061" s="84">
        <v>1819</v>
      </c>
      <c r="C1061" s="83" t="s">
        <v>40</v>
      </c>
      <c r="D1061" s="82" t="s">
        <v>1579</v>
      </c>
      <c r="E1061" s="81">
        <v>43364</v>
      </c>
      <c r="F1061" s="27">
        <f t="shared" ca="1" si="16"/>
        <v>1109</v>
      </c>
      <c r="G1061" s="79" t="s">
        <v>1074</v>
      </c>
      <c r="H1061" s="80"/>
      <c r="I1061" s="80"/>
      <c r="J1061" s="79" t="s">
        <v>1301</v>
      </c>
      <c r="K1061" s="78" t="s">
        <v>1301</v>
      </c>
      <c r="L1061" s="77">
        <v>43370</v>
      </c>
      <c r="M1061" s="68"/>
      <c r="N1061" s="76"/>
      <c r="O1061" s="75"/>
      <c r="R1061" s="74"/>
    </row>
    <row r="1062" spans="2:18" ht="36" hidden="1" customHeight="1" x14ac:dyDescent="0.25">
      <c r="B1062" s="84">
        <v>1828</v>
      </c>
      <c r="C1062" s="83" t="s">
        <v>40</v>
      </c>
      <c r="D1062" s="82" t="s">
        <v>1579</v>
      </c>
      <c r="E1062" s="81">
        <v>43364</v>
      </c>
      <c r="F1062" s="27">
        <f t="shared" ca="1" si="16"/>
        <v>1109</v>
      </c>
      <c r="G1062" s="79" t="s">
        <v>1749</v>
      </c>
      <c r="H1062" s="80"/>
      <c r="I1062" s="80"/>
      <c r="J1062" s="79" t="s">
        <v>1301</v>
      </c>
      <c r="K1062" s="78" t="s">
        <v>1301</v>
      </c>
      <c r="L1062" s="77">
        <v>43371</v>
      </c>
      <c r="M1062" s="68"/>
      <c r="N1062" s="76" t="s">
        <v>3584</v>
      </c>
      <c r="O1062" s="75"/>
      <c r="R1062" s="74"/>
    </row>
    <row r="1063" spans="2:18" ht="36" hidden="1" customHeight="1" x14ac:dyDescent="0.25">
      <c r="B1063" s="84">
        <v>1817</v>
      </c>
      <c r="C1063" s="83" t="s">
        <v>37</v>
      </c>
      <c r="D1063" s="82" t="s">
        <v>158</v>
      </c>
      <c r="E1063" s="81">
        <v>43367</v>
      </c>
      <c r="F1063" s="27">
        <f t="shared" ca="1" si="16"/>
        <v>1106</v>
      </c>
      <c r="G1063" s="79" t="s">
        <v>1580</v>
      </c>
      <c r="H1063" s="80"/>
      <c r="I1063" s="80"/>
      <c r="J1063" s="79" t="s">
        <v>592</v>
      </c>
      <c r="K1063" s="78" t="s">
        <v>623</v>
      </c>
      <c r="L1063" s="77">
        <v>43369</v>
      </c>
      <c r="M1063" s="68"/>
      <c r="N1063" s="76"/>
      <c r="O1063" s="75"/>
      <c r="R1063" s="74"/>
    </row>
    <row r="1064" spans="2:18" ht="36" hidden="1" customHeight="1" x14ac:dyDescent="0.25">
      <c r="B1064" s="84">
        <v>1819</v>
      </c>
      <c r="C1064" s="83" t="s">
        <v>17</v>
      </c>
      <c r="D1064" s="82" t="s">
        <v>1950</v>
      </c>
      <c r="E1064" s="81">
        <v>43367</v>
      </c>
      <c r="F1064" s="27">
        <f t="shared" ca="1" si="16"/>
        <v>1106</v>
      </c>
      <c r="G1064" s="79" t="s">
        <v>1074</v>
      </c>
      <c r="H1064" s="80"/>
      <c r="I1064" s="80"/>
      <c r="J1064" s="79" t="s">
        <v>1301</v>
      </c>
      <c r="K1064" s="78" t="s">
        <v>1301</v>
      </c>
      <c r="L1064" s="77">
        <v>43370</v>
      </c>
      <c r="M1064" s="68"/>
      <c r="N1064" s="76"/>
      <c r="O1064" s="75" t="s">
        <v>481</v>
      </c>
      <c r="R1064" s="74"/>
    </row>
    <row r="1065" spans="2:18" ht="36" hidden="1" customHeight="1" x14ac:dyDescent="0.25">
      <c r="B1065" s="84">
        <v>1823</v>
      </c>
      <c r="C1065" s="83" t="s">
        <v>23</v>
      </c>
      <c r="D1065" s="82" t="s">
        <v>2608</v>
      </c>
      <c r="E1065" s="81">
        <v>43367</v>
      </c>
      <c r="F1065" s="27">
        <f t="shared" ca="1" si="16"/>
        <v>1106</v>
      </c>
      <c r="G1065" s="79"/>
      <c r="H1065" s="80"/>
      <c r="I1065" s="80"/>
      <c r="J1065" s="79"/>
      <c r="K1065" s="78"/>
      <c r="L1065" s="77">
        <v>43367</v>
      </c>
      <c r="M1065" s="68"/>
      <c r="N1065" s="76"/>
      <c r="O1065" s="75"/>
      <c r="R1065" s="74"/>
    </row>
    <row r="1066" spans="2:18" ht="36" hidden="1" customHeight="1" x14ac:dyDescent="0.25">
      <c r="B1066" s="84">
        <v>1823</v>
      </c>
      <c r="C1066" s="83" t="s">
        <v>23</v>
      </c>
      <c r="D1066" s="82" t="s">
        <v>2609</v>
      </c>
      <c r="E1066" s="81">
        <v>43367</v>
      </c>
      <c r="F1066" s="27">
        <f t="shared" ca="1" si="16"/>
        <v>1106</v>
      </c>
      <c r="G1066" s="79" t="s">
        <v>578</v>
      </c>
      <c r="H1066" s="80"/>
      <c r="I1066" s="80"/>
      <c r="J1066" s="79" t="s">
        <v>579</v>
      </c>
      <c r="K1066" s="78" t="s">
        <v>623</v>
      </c>
      <c r="L1066" s="77">
        <v>43386</v>
      </c>
      <c r="M1066" s="68"/>
      <c r="N1066" s="76"/>
      <c r="O1066" s="75" t="s">
        <v>2610</v>
      </c>
      <c r="R1066" s="74"/>
    </row>
    <row r="1067" spans="2:18" ht="36" hidden="1" customHeight="1" x14ac:dyDescent="0.25">
      <c r="B1067" s="84">
        <v>1830</v>
      </c>
      <c r="C1067" s="83" t="s">
        <v>37</v>
      </c>
      <c r="D1067" s="82" t="s">
        <v>3973</v>
      </c>
      <c r="E1067" s="81">
        <v>43367</v>
      </c>
      <c r="F1067" s="27">
        <f t="shared" ca="1" si="16"/>
        <v>1106</v>
      </c>
      <c r="G1067" s="79" t="s">
        <v>1328</v>
      </c>
      <c r="H1067" s="80"/>
      <c r="I1067" s="80"/>
      <c r="J1067" s="79" t="s">
        <v>592</v>
      </c>
      <c r="K1067" s="78" t="s">
        <v>623</v>
      </c>
      <c r="L1067" s="77">
        <v>43390</v>
      </c>
      <c r="M1067" s="68"/>
      <c r="N1067" s="76"/>
      <c r="O1067" s="75"/>
      <c r="R1067" s="74"/>
    </row>
    <row r="1068" spans="2:18" ht="36" hidden="1" customHeight="1" x14ac:dyDescent="0.25">
      <c r="B1068" s="84">
        <v>1816</v>
      </c>
      <c r="C1068" s="83" t="s">
        <v>39</v>
      </c>
      <c r="D1068" s="82" t="s">
        <v>1368</v>
      </c>
      <c r="E1068" s="81">
        <v>43370</v>
      </c>
      <c r="F1068" s="27">
        <f t="shared" ca="1" si="16"/>
        <v>1103</v>
      </c>
      <c r="G1068" s="79" t="s">
        <v>1304</v>
      </c>
      <c r="H1068" s="80"/>
      <c r="I1068" s="80"/>
      <c r="J1068" s="79" t="s">
        <v>579</v>
      </c>
      <c r="K1068" s="78" t="s">
        <v>623</v>
      </c>
      <c r="L1068" s="77">
        <v>43390</v>
      </c>
      <c r="M1068" s="68"/>
      <c r="N1068" s="76"/>
      <c r="O1068" s="75" t="s">
        <v>963</v>
      </c>
      <c r="R1068" s="74"/>
    </row>
    <row r="1069" spans="2:18" ht="36" hidden="1" customHeight="1" x14ac:dyDescent="0.25">
      <c r="B1069" s="84">
        <v>1818</v>
      </c>
      <c r="C1069" s="83" t="s">
        <v>37</v>
      </c>
      <c r="D1069" s="82" t="s">
        <v>158</v>
      </c>
      <c r="E1069" s="81">
        <v>43370</v>
      </c>
      <c r="F1069" s="27">
        <f t="shared" ca="1" si="16"/>
        <v>1103</v>
      </c>
      <c r="G1069" s="79" t="s">
        <v>578</v>
      </c>
      <c r="H1069" s="80"/>
      <c r="I1069" s="80"/>
      <c r="J1069" s="79" t="s">
        <v>579</v>
      </c>
      <c r="K1069" s="78" t="s">
        <v>623</v>
      </c>
      <c r="L1069" s="77">
        <v>43374</v>
      </c>
      <c r="M1069" s="68"/>
      <c r="N1069" s="76" t="s">
        <v>1752</v>
      </c>
      <c r="O1069" s="75"/>
      <c r="R1069" s="74"/>
    </row>
    <row r="1070" spans="2:18" ht="36" hidden="1" customHeight="1" x14ac:dyDescent="0.25">
      <c r="B1070" s="84">
        <v>1819</v>
      </c>
      <c r="C1070" s="83" t="s">
        <v>37</v>
      </c>
      <c r="D1070" s="82" t="s">
        <v>158</v>
      </c>
      <c r="E1070" s="81">
        <v>43370</v>
      </c>
      <c r="F1070" s="27">
        <f t="shared" ca="1" si="16"/>
        <v>1103</v>
      </c>
      <c r="G1070" s="79" t="s">
        <v>1580</v>
      </c>
      <c r="H1070" s="80"/>
      <c r="I1070" s="80"/>
      <c r="J1070" s="79" t="s">
        <v>592</v>
      </c>
      <c r="K1070" s="78" t="s">
        <v>623</v>
      </c>
      <c r="L1070" s="77">
        <v>43370</v>
      </c>
      <c r="M1070" s="68"/>
      <c r="N1070" s="76"/>
      <c r="O1070" s="75"/>
      <c r="R1070" s="74"/>
    </row>
    <row r="1071" spans="2:18" ht="36" hidden="1" customHeight="1" x14ac:dyDescent="0.25">
      <c r="B1071" s="84">
        <v>1825</v>
      </c>
      <c r="C1071" s="83" t="s">
        <v>21</v>
      </c>
      <c r="D1071" s="82" t="s">
        <v>3071</v>
      </c>
      <c r="E1071" s="81">
        <v>43370</v>
      </c>
      <c r="F1071" s="27">
        <f t="shared" ca="1" si="16"/>
        <v>1103</v>
      </c>
      <c r="G1071" s="79" t="s">
        <v>1723</v>
      </c>
      <c r="H1071" s="80"/>
      <c r="I1071" s="80"/>
      <c r="J1071" s="79" t="s">
        <v>765</v>
      </c>
      <c r="K1071" s="78" t="s">
        <v>623</v>
      </c>
      <c r="L1071" s="77">
        <v>43399</v>
      </c>
      <c r="M1071" s="68"/>
      <c r="N1071" s="76"/>
      <c r="O1071" s="75" t="s">
        <v>3072</v>
      </c>
      <c r="R1071" s="74"/>
    </row>
    <row r="1072" spans="2:18" ht="36" hidden="1" customHeight="1" x14ac:dyDescent="0.25">
      <c r="B1072" s="84">
        <v>1825</v>
      </c>
      <c r="C1072" s="83" t="s">
        <v>40</v>
      </c>
      <c r="D1072" s="82" t="s">
        <v>3079</v>
      </c>
      <c r="E1072" s="81">
        <v>43370</v>
      </c>
      <c r="F1072" s="27">
        <f t="shared" ca="1" si="16"/>
        <v>1103</v>
      </c>
      <c r="G1072" s="79" t="s">
        <v>2150</v>
      </c>
      <c r="H1072" s="80"/>
      <c r="I1072" s="80"/>
      <c r="J1072" s="79" t="s">
        <v>765</v>
      </c>
      <c r="K1072" s="78" t="s">
        <v>623</v>
      </c>
      <c r="L1072" s="77">
        <v>43437</v>
      </c>
      <c r="M1072" s="68"/>
      <c r="N1072" s="76"/>
      <c r="O1072" s="75" t="s">
        <v>3080</v>
      </c>
      <c r="R1072" s="74"/>
    </row>
    <row r="1073" spans="2:18" ht="36" hidden="1" customHeight="1" x14ac:dyDescent="0.25">
      <c r="B1073" s="84">
        <v>1829</v>
      </c>
      <c r="C1073" s="83" t="s">
        <v>38</v>
      </c>
      <c r="D1073" s="82" t="s">
        <v>3790</v>
      </c>
      <c r="E1073" s="81">
        <v>43370</v>
      </c>
      <c r="F1073" s="27">
        <f t="shared" ca="1" si="16"/>
        <v>1103</v>
      </c>
      <c r="G1073" s="79" t="s">
        <v>1304</v>
      </c>
      <c r="H1073" s="80"/>
      <c r="I1073" s="80"/>
      <c r="J1073" s="79" t="s">
        <v>1301</v>
      </c>
      <c r="K1073" s="78" t="s">
        <v>1301</v>
      </c>
      <c r="L1073" s="77">
        <v>43378</v>
      </c>
      <c r="M1073" s="68"/>
      <c r="N1073" s="76"/>
      <c r="O1073" s="75" t="s">
        <v>2148</v>
      </c>
      <c r="R1073" s="74"/>
    </row>
    <row r="1074" spans="2:18" ht="36" hidden="1" customHeight="1" x14ac:dyDescent="0.25">
      <c r="B1074" s="84">
        <v>1818</v>
      </c>
      <c r="C1074" s="83" t="s">
        <v>35</v>
      </c>
      <c r="D1074" s="82" t="s">
        <v>1753</v>
      </c>
      <c r="E1074" s="81">
        <v>43374</v>
      </c>
      <c r="F1074" s="27">
        <f t="shared" ca="1" si="16"/>
        <v>1099</v>
      </c>
      <c r="G1074" s="79"/>
      <c r="H1074" s="80"/>
      <c r="I1074" s="80"/>
      <c r="J1074" s="79"/>
      <c r="K1074" s="78"/>
      <c r="L1074" s="77">
        <v>43374</v>
      </c>
      <c r="M1074" s="68"/>
      <c r="N1074" s="76"/>
      <c r="O1074" s="75" t="s">
        <v>1754</v>
      </c>
      <c r="R1074" s="74"/>
    </row>
    <row r="1075" spans="2:18" ht="36" hidden="1" customHeight="1" x14ac:dyDescent="0.25">
      <c r="B1075" s="84">
        <v>1822</v>
      </c>
      <c r="C1075" s="83" t="s">
        <v>40</v>
      </c>
      <c r="D1075" s="82" t="s">
        <v>2447</v>
      </c>
      <c r="E1075" s="81">
        <v>43374</v>
      </c>
      <c r="F1075" s="27">
        <f t="shared" ca="1" si="16"/>
        <v>1099</v>
      </c>
      <c r="G1075" s="79" t="s">
        <v>1723</v>
      </c>
      <c r="H1075" s="80"/>
      <c r="I1075" s="80"/>
      <c r="J1075" s="79" t="s">
        <v>765</v>
      </c>
      <c r="K1075" s="78" t="s">
        <v>623</v>
      </c>
      <c r="L1075" s="77">
        <v>43402</v>
      </c>
      <c r="M1075" s="68"/>
      <c r="N1075" s="76"/>
      <c r="O1075" s="75"/>
      <c r="R1075" s="74"/>
    </row>
    <row r="1076" spans="2:18" ht="36" hidden="1" customHeight="1" x14ac:dyDescent="0.25">
      <c r="B1076" s="84">
        <v>1823</v>
      </c>
      <c r="C1076" s="83" t="s">
        <v>40</v>
      </c>
      <c r="D1076" s="82" t="s">
        <v>2447</v>
      </c>
      <c r="E1076" s="81">
        <v>43374</v>
      </c>
      <c r="F1076" s="27">
        <f t="shared" ca="1" si="16"/>
        <v>1099</v>
      </c>
      <c r="G1076" s="79" t="s">
        <v>1273</v>
      </c>
      <c r="H1076" s="80"/>
      <c r="I1076" s="80"/>
      <c r="J1076" s="79" t="s">
        <v>765</v>
      </c>
      <c r="K1076" s="78" t="s">
        <v>623</v>
      </c>
      <c r="L1076" s="77">
        <v>43393</v>
      </c>
      <c r="M1076" s="68"/>
      <c r="N1076" s="76"/>
      <c r="O1076" s="75"/>
      <c r="R1076" s="74"/>
    </row>
    <row r="1077" spans="2:18" ht="36" hidden="1" customHeight="1" x14ac:dyDescent="0.25">
      <c r="B1077" s="84">
        <v>1827</v>
      </c>
      <c r="C1077" s="83" t="s">
        <v>40</v>
      </c>
      <c r="D1077" s="82" t="s">
        <v>2447</v>
      </c>
      <c r="E1077" s="81">
        <v>43374</v>
      </c>
      <c r="F1077" s="27">
        <f t="shared" ca="1" si="16"/>
        <v>1099</v>
      </c>
      <c r="G1077" s="79" t="s">
        <v>1328</v>
      </c>
      <c r="H1077" s="80"/>
      <c r="I1077" s="80"/>
      <c r="J1077" s="79" t="s">
        <v>579</v>
      </c>
      <c r="K1077" s="78" t="s">
        <v>623</v>
      </c>
      <c r="L1077" s="77">
        <v>43404</v>
      </c>
      <c r="M1077" s="68"/>
      <c r="N1077" s="76"/>
      <c r="O1077" s="75"/>
      <c r="R1077" s="74"/>
    </row>
    <row r="1078" spans="2:18" ht="36" hidden="1" customHeight="1" x14ac:dyDescent="0.25">
      <c r="B1078" s="84">
        <v>1828</v>
      </c>
      <c r="C1078" s="83" t="s">
        <v>37</v>
      </c>
      <c r="D1078" s="82" t="s">
        <v>3585</v>
      </c>
      <c r="E1078" s="81">
        <v>43374</v>
      </c>
      <c r="F1078" s="27">
        <f t="shared" ca="1" si="16"/>
        <v>1099</v>
      </c>
      <c r="G1078" s="79" t="s">
        <v>1580</v>
      </c>
      <c r="H1078" s="80"/>
      <c r="I1078" s="80"/>
      <c r="J1078" s="79" t="s">
        <v>592</v>
      </c>
      <c r="K1078" s="78" t="s">
        <v>623</v>
      </c>
      <c r="L1078" s="77">
        <v>43377</v>
      </c>
      <c r="M1078" s="68"/>
      <c r="N1078" s="76"/>
      <c r="O1078" s="75"/>
      <c r="R1078" s="74"/>
    </row>
    <row r="1079" spans="2:18" ht="36" hidden="1" customHeight="1" x14ac:dyDescent="0.25">
      <c r="B1079" s="84">
        <v>1829</v>
      </c>
      <c r="C1079" s="83" t="s">
        <v>40</v>
      </c>
      <c r="D1079" s="82" t="s">
        <v>2447</v>
      </c>
      <c r="E1079" s="81">
        <v>43374</v>
      </c>
      <c r="F1079" s="27">
        <f t="shared" ca="1" si="16"/>
        <v>1099</v>
      </c>
      <c r="G1079" s="79" t="s">
        <v>1304</v>
      </c>
      <c r="H1079" s="80"/>
      <c r="I1079" s="80"/>
      <c r="J1079" s="79" t="s">
        <v>1301</v>
      </c>
      <c r="K1079" s="78" t="s">
        <v>1301</v>
      </c>
      <c r="L1079" s="77">
        <v>43378</v>
      </c>
      <c r="M1079" s="68"/>
      <c r="N1079" s="76"/>
      <c r="O1079" s="75" t="s">
        <v>477</v>
      </c>
      <c r="R1079" s="74"/>
    </row>
    <row r="1080" spans="2:18" ht="36" hidden="1" customHeight="1" x14ac:dyDescent="0.25">
      <c r="B1080" s="84">
        <v>1829</v>
      </c>
      <c r="C1080" s="83" t="s">
        <v>39</v>
      </c>
      <c r="D1080" s="82" t="s">
        <v>1368</v>
      </c>
      <c r="E1080" s="81">
        <v>43374</v>
      </c>
      <c r="F1080" s="27">
        <f t="shared" ca="1" si="16"/>
        <v>1099</v>
      </c>
      <c r="G1080" s="79" t="s">
        <v>1325</v>
      </c>
      <c r="H1080" s="80"/>
      <c r="I1080" s="80"/>
      <c r="J1080" s="79" t="s">
        <v>579</v>
      </c>
      <c r="K1080" s="78" t="s">
        <v>623</v>
      </c>
      <c r="L1080" s="77">
        <v>43390</v>
      </c>
      <c r="M1080" s="68"/>
      <c r="N1080" s="76"/>
      <c r="O1080" s="75" t="s">
        <v>963</v>
      </c>
      <c r="R1080" s="74"/>
    </row>
    <row r="1081" spans="2:18" ht="36" hidden="1" customHeight="1" x14ac:dyDescent="0.25">
      <c r="B1081" s="84">
        <v>1830</v>
      </c>
      <c r="C1081" s="83" t="s">
        <v>30</v>
      </c>
      <c r="D1081" s="82" t="s">
        <v>3974</v>
      </c>
      <c r="E1081" s="81">
        <v>43374</v>
      </c>
      <c r="F1081" s="27">
        <f t="shared" ca="1" si="16"/>
        <v>1099</v>
      </c>
      <c r="G1081" s="79" t="s">
        <v>1273</v>
      </c>
      <c r="H1081" s="80"/>
      <c r="I1081" s="80"/>
      <c r="J1081" s="79" t="s">
        <v>592</v>
      </c>
      <c r="K1081" s="78" t="s">
        <v>623</v>
      </c>
      <c r="L1081" s="77">
        <v>43393</v>
      </c>
      <c r="M1081" s="68"/>
      <c r="N1081" s="76"/>
      <c r="O1081" s="75" t="s">
        <v>3975</v>
      </c>
      <c r="R1081" s="74"/>
    </row>
    <row r="1082" spans="2:18" ht="36" hidden="1" customHeight="1" x14ac:dyDescent="0.25">
      <c r="B1082" s="84">
        <v>1830</v>
      </c>
      <c r="C1082" s="83" t="s">
        <v>38</v>
      </c>
      <c r="D1082" s="82" t="s">
        <v>3976</v>
      </c>
      <c r="E1082" s="81">
        <v>43374</v>
      </c>
      <c r="F1082" s="27">
        <f t="shared" ca="1" si="16"/>
        <v>1099</v>
      </c>
      <c r="G1082" s="79" t="s">
        <v>1074</v>
      </c>
      <c r="H1082" s="80"/>
      <c r="I1082" s="80"/>
      <c r="J1082" s="79" t="s">
        <v>592</v>
      </c>
      <c r="K1082" s="78" t="s">
        <v>1301</v>
      </c>
      <c r="L1082" s="77">
        <v>43418</v>
      </c>
      <c r="M1082" s="68"/>
      <c r="N1082" s="76" t="s">
        <v>2320</v>
      </c>
      <c r="O1082" s="75"/>
      <c r="R1082" s="74"/>
    </row>
    <row r="1083" spans="2:18" ht="36" hidden="1" customHeight="1" x14ac:dyDescent="0.25">
      <c r="B1083" s="84">
        <v>1642</v>
      </c>
      <c r="C1083" s="83" t="s">
        <v>40</v>
      </c>
      <c r="D1083" s="82" t="s">
        <v>798</v>
      </c>
      <c r="E1083" s="81">
        <v>43375</v>
      </c>
      <c r="F1083" s="27">
        <f t="shared" ca="1" si="16"/>
        <v>1098</v>
      </c>
      <c r="G1083" s="79" t="s">
        <v>799</v>
      </c>
      <c r="H1083" s="80"/>
      <c r="I1083" s="80"/>
      <c r="J1083" s="79" t="s">
        <v>592</v>
      </c>
      <c r="K1083" s="78" t="s">
        <v>580</v>
      </c>
      <c r="L1083" s="77">
        <v>43393</v>
      </c>
      <c r="M1083" s="68"/>
      <c r="N1083" s="76"/>
      <c r="O1083" s="75"/>
      <c r="R1083" s="74"/>
    </row>
    <row r="1084" spans="2:18" ht="36" hidden="1" customHeight="1" x14ac:dyDescent="0.25">
      <c r="B1084" s="84">
        <v>1642</v>
      </c>
      <c r="C1084" s="83" t="s">
        <v>10</v>
      </c>
      <c r="D1084" s="82" t="s">
        <v>800</v>
      </c>
      <c r="E1084" s="81">
        <v>43375</v>
      </c>
      <c r="F1084" s="27">
        <f t="shared" ca="1" si="16"/>
        <v>1098</v>
      </c>
      <c r="G1084" s="79" t="s">
        <v>801</v>
      </c>
      <c r="H1084" s="80"/>
      <c r="I1084" s="80"/>
      <c r="J1084" s="79" t="s">
        <v>592</v>
      </c>
      <c r="K1084" s="78" t="s">
        <v>580</v>
      </c>
      <c r="L1084" s="77">
        <v>43397</v>
      </c>
      <c r="M1084" s="68"/>
      <c r="N1084" s="76"/>
      <c r="O1084" s="75" t="s">
        <v>802</v>
      </c>
      <c r="R1084" s="74"/>
    </row>
    <row r="1085" spans="2:18" ht="36" hidden="1" customHeight="1" x14ac:dyDescent="0.25">
      <c r="B1085" s="84">
        <v>1644</v>
      </c>
      <c r="C1085" s="83" t="s">
        <v>40</v>
      </c>
      <c r="D1085" s="82" t="s">
        <v>961</v>
      </c>
      <c r="E1085" s="81">
        <v>43375</v>
      </c>
      <c r="F1085" s="27">
        <f t="shared" ca="1" si="16"/>
        <v>1098</v>
      </c>
      <c r="G1085" s="79" t="s">
        <v>962</v>
      </c>
      <c r="H1085" s="80"/>
      <c r="I1085" s="80"/>
      <c r="J1085" s="79" t="s">
        <v>579</v>
      </c>
      <c r="K1085" s="78" t="s">
        <v>580</v>
      </c>
      <c r="L1085" s="77">
        <v>43390</v>
      </c>
      <c r="M1085" s="68"/>
      <c r="N1085" s="76"/>
      <c r="O1085" s="75" t="s">
        <v>963</v>
      </c>
      <c r="R1085" s="74"/>
    </row>
    <row r="1086" spans="2:18" ht="36" hidden="1" customHeight="1" x14ac:dyDescent="0.25">
      <c r="B1086" s="84">
        <v>1819</v>
      </c>
      <c r="C1086" s="83" t="s">
        <v>17</v>
      </c>
      <c r="D1086" s="82" t="s">
        <v>1951</v>
      </c>
      <c r="E1086" s="81">
        <v>43375</v>
      </c>
      <c r="F1086" s="27">
        <f t="shared" ca="1" si="16"/>
        <v>1098</v>
      </c>
      <c r="G1086" s="79" t="s">
        <v>1580</v>
      </c>
      <c r="H1086" s="80"/>
      <c r="I1086" s="80"/>
      <c r="J1086" s="79" t="s">
        <v>592</v>
      </c>
      <c r="K1086" s="78" t="s">
        <v>623</v>
      </c>
      <c r="L1086" s="77">
        <v>43377</v>
      </c>
      <c r="M1086" s="68"/>
      <c r="N1086" s="76"/>
      <c r="O1086" s="75"/>
      <c r="R1086" s="74"/>
    </row>
    <row r="1087" spans="2:18" ht="36" hidden="1" customHeight="1" x14ac:dyDescent="0.25">
      <c r="B1087" s="84">
        <v>1825</v>
      </c>
      <c r="C1087" s="83" t="s">
        <v>17</v>
      </c>
      <c r="D1087" s="82" t="s">
        <v>3073</v>
      </c>
      <c r="E1087" s="81">
        <v>43375</v>
      </c>
      <c r="F1087" s="27">
        <f t="shared" ca="1" si="16"/>
        <v>1098</v>
      </c>
      <c r="G1087" s="79" t="s">
        <v>1723</v>
      </c>
      <c r="H1087" s="80"/>
      <c r="I1087" s="80"/>
      <c r="J1087" s="79" t="s">
        <v>765</v>
      </c>
      <c r="K1087" s="78" t="s">
        <v>623</v>
      </c>
      <c r="L1087" s="77">
        <v>43399</v>
      </c>
      <c r="M1087" s="68"/>
      <c r="N1087" s="76"/>
      <c r="O1087" s="75" t="s">
        <v>3074</v>
      </c>
      <c r="R1087" s="74"/>
    </row>
    <row r="1088" spans="2:18" ht="36" hidden="1" customHeight="1" x14ac:dyDescent="0.25">
      <c r="B1088" s="84">
        <v>1819</v>
      </c>
      <c r="C1088" s="83" t="s">
        <v>23</v>
      </c>
      <c r="D1088" s="82" t="s">
        <v>1952</v>
      </c>
      <c r="E1088" s="81">
        <v>43376</v>
      </c>
      <c r="F1088" s="27">
        <f t="shared" ca="1" si="16"/>
        <v>1097</v>
      </c>
      <c r="G1088" s="79" t="s">
        <v>1580</v>
      </c>
      <c r="H1088" s="80"/>
      <c r="I1088" s="80"/>
      <c r="J1088" s="79" t="s">
        <v>592</v>
      </c>
      <c r="K1088" s="78" t="s">
        <v>623</v>
      </c>
      <c r="L1088" s="77">
        <v>43377</v>
      </c>
      <c r="M1088" s="68"/>
      <c r="N1088" s="76"/>
      <c r="O1088" s="75"/>
      <c r="R1088" s="74"/>
    </row>
    <row r="1089" spans="2:18" ht="36" hidden="1" customHeight="1" x14ac:dyDescent="0.25">
      <c r="B1089" s="84">
        <v>1821</v>
      </c>
      <c r="C1089" s="83" t="s">
        <v>17</v>
      </c>
      <c r="D1089" s="82" t="s">
        <v>2321</v>
      </c>
      <c r="E1089" s="81">
        <v>43376</v>
      </c>
      <c r="F1089" s="27">
        <f t="shared" ca="1" si="16"/>
        <v>1097</v>
      </c>
      <c r="G1089" s="79"/>
      <c r="H1089" s="80"/>
      <c r="I1089" s="80"/>
      <c r="J1089" s="79"/>
      <c r="K1089" s="78"/>
      <c r="L1089" s="77">
        <v>43446</v>
      </c>
      <c r="M1089" s="68"/>
      <c r="N1089" s="76" t="s">
        <v>2322</v>
      </c>
      <c r="O1089" s="75" t="s">
        <v>2323</v>
      </c>
      <c r="R1089" s="74"/>
    </row>
    <row r="1090" spans="2:18" ht="36" hidden="1" customHeight="1" x14ac:dyDescent="0.25">
      <c r="B1090" s="84">
        <v>1828</v>
      </c>
      <c r="C1090" s="83" t="s">
        <v>40</v>
      </c>
      <c r="D1090" s="82" t="s">
        <v>3594</v>
      </c>
      <c r="E1090" s="81">
        <v>43376</v>
      </c>
      <c r="F1090" s="27">
        <f t="shared" ca="1" si="16"/>
        <v>1097</v>
      </c>
      <c r="G1090" s="79" t="s">
        <v>3075</v>
      </c>
      <c r="H1090" s="80"/>
      <c r="I1090" s="80"/>
      <c r="J1090" s="79" t="s">
        <v>579</v>
      </c>
      <c r="K1090" s="78" t="s">
        <v>623</v>
      </c>
      <c r="L1090" s="77">
        <v>43438</v>
      </c>
      <c r="M1090" s="68"/>
      <c r="N1090" s="76"/>
      <c r="O1090" s="75" t="s">
        <v>3595</v>
      </c>
      <c r="R1090" s="74"/>
    </row>
    <row r="1091" spans="2:18" ht="36" hidden="1" customHeight="1" x14ac:dyDescent="0.25">
      <c r="B1091" s="84">
        <v>1818</v>
      </c>
      <c r="C1091" s="83" t="s">
        <v>23</v>
      </c>
      <c r="D1091" s="82" t="s">
        <v>1755</v>
      </c>
      <c r="E1091" s="81">
        <v>43378</v>
      </c>
      <c r="F1091" s="27">
        <f t="shared" ca="1" si="16"/>
        <v>1095</v>
      </c>
      <c r="G1091" s="79" t="s">
        <v>1580</v>
      </c>
      <c r="H1091" s="80"/>
      <c r="I1091" s="80"/>
      <c r="J1091" s="79" t="s">
        <v>592</v>
      </c>
      <c r="K1091" s="78" t="s">
        <v>623</v>
      </c>
      <c r="L1091" s="77">
        <v>43382</v>
      </c>
      <c r="M1091" s="68"/>
      <c r="N1091" s="76"/>
      <c r="O1091" s="75"/>
      <c r="R1091" s="74"/>
    </row>
    <row r="1092" spans="2:18" ht="36" hidden="1" customHeight="1" x14ac:dyDescent="0.25">
      <c r="B1092" s="84">
        <v>1818</v>
      </c>
      <c r="C1092" s="83" t="s">
        <v>17</v>
      </c>
      <c r="D1092" s="82" t="s">
        <v>1756</v>
      </c>
      <c r="E1092" s="81">
        <v>43378</v>
      </c>
      <c r="F1092" s="27">
        <f t="shared" ca="1" si="16"/>
        <v>1095</v>
      </c>
      <c r="G1092" s="79" t="s">
        <v>1723</v>
      </c>
      <c r="H1092" s="80"/>
      <c r="I1092" s="80"/>
      <c r="J1092" s="79" t="s">
        <v>579</v>
      </c>
      <c r="K1092" s="78" t="s">
        <v>623</v>
      </c>
      <c r="L1092" s="77">
        <v>43396</v>
      </c>
      <c r="M1092" s="68"/>
      <c r="N1092" s="76"/>
      <c r="O1092" s="75"/>
      <c r="R1092" s="74"/>
    </row>
    <row r="1093" spans="2:18" ht="36" hidden="1" customHeight="1" x14ac:dyDescent="0.25">
      <c r="B1093" s="84">
        <v>1828</v>
      </c>
      <c r="C1093" s="83" t="s">
        <v>40</v>
      </c>
      <c r="D1093" s="82" t="s">
        <v>3586</v>
      </c>
      <c r="E1093" s="81">
        <v>43378</v>
      </c>
      <c r="F1093" s="27">
        <f t="shared" ca="1" si="16"/>
        <v>1095</v>
      </c>
      <c r="G1093" s="79" t="s">
        <v>2118</v>
      </c>
      <c r="H1093" s="80"/>
      <c r="I1093" s="80"/>
      <c r="J1093" s="79" t="s">
        <v>579</v>
      </c>
      <c r="K1093" s="78" t="s">
        <v>623</v>
      </c>
      <c r="L1093" s="77">
        <v>43390</v>
      </c>
      <c r="M1093" s="68"/>
      <c r="N1093" s="76"/>
      <c r="O1093" s="75" t="s">
        <v>963</v>
      </c>
      <c r="R1093" s="74"/>
    </row>
    <row r="1094" spans="2:18" ht="36" hidden="1" customHeight="1" x14ac:dyDescent="0.25">
      <c r="B1094" s="84">
        <v>1828</v>
      </c>
      <c r="C1094" s="83" t="s">
        <v>38</v>
      </c>
      <c r="D1094" s="82" t="s">
        <v>3596</v>
      </c>
      <c r="E1094" s="81">
        <v>43378</v>
      </c>
      <c r="F1094" s="27">
        <f t="shared" ca="1" si="16"/>
        <v>1095</v>
      </c>
      <c r="G1094" s="79" t="s">
        <v>3075</v>
      </c>
      <c r="H1094" s="80"/>
      <c r="I1094" s="80"/>
      <c r="J1094" s="79" t="s">
        <v>579</v>
      </c>
      <c r="K1094" s="78" t="s">
        <v>623</v>
      </c>
      <c r="L1094" s="77">
        <v>43438</v>
      </c>
      <c r="M1094" s="68"/>
      <c r="N1094" s="76"/>
      <c r="O1094" s="75" t="s">
        <v>2148</v>
      </c>
      <c r="R1094" s="74"/>
    </row>
    <row r="1095" spans="2:18" ht="36" hidden="1" customHeight="1" x14ac:dyDescent="0.25">
      <c r="B1095" s="84">
        <v>1643</v>
      </c>
      <c r="C1095" s="83" t="s">
        <v>38</v>
      </c>
      <c r="D1095" s="82" t="s">
        <v>890</v>
      </c>
      <c r="E1095" s="81">
        <v>43382</v>
      </c>
      <c r="F1095" s="27">
        <f t="shared" ca="1" si="16"/>
        <v>1091</v>
      </c>
      <c r="G1095" s="79" t="s">
        <v>891</v>
      </c>
      <c r="H1095" s="80"/>
      <c r="I1095" s="80"/>
      <c r="J1095" s="79" t="s">
        <v>592</v>
      </c>
      <c r="K1095" s="78" t="s">
        <v>580</v>
      </c>
      <c r="L1095" s="77">
        <v>43445</v>
      </c>
      <c r="M1095" s="68"/>
      <c r="N1095" s="76" t="s">
        <v>892</v>
      </c>
      <c r="O1095" s="75" t="s">
        <v>893</v>
      </c>
      <c r="R1095" s="74"/>
    </row>
    <row r="1096" spans="2:18" ht="36" hidden="1" customHeight="1" x14ac:dyDescent="0.25">
      <c r="B1096" s="84">
        <v>1820</v>
      </c>
      <c r="C1096" s="83" t="s">
        <v>23</v>
      </c>
      <c r="D1096" s="82" t="s">
        <v>58</v>
      </c>
      <c r="E1096" s="81">
        <v>43382</v>
      </c>
      <c r="F1096" s="27">
        <f t="shared" ca="1" si="16"/>
        <v>1091</v>
      </c>
      <c r="G1096" s="79" t="s">
        <v>1273</v>
      </c>
      <c r="H1096" s="80"/>
      <c r="I1096" s="80"/>
      <c r="J1096" s="79" t="s">
        <v>765</v>
      </c>
      <c r="K1096" s="78" t="s">
        <v>623</v>
      </c>
      <c r="L1096" s="77">
        <v>43393</v>
      </c>
      <c r="M1096" s="68"/>
      <c r="N1096" s="76"/>
      <c r="O1096" s="75"/>
      <c r="R1096" s="74"/>
    </row>
    <row r="1097" spans="2:18" ht="36" hidden="1" customHeight="1" x14ac:dyDescent="0.25">
      <c r="B1097" s="84">
        <v>1817</v>
      </c>
      <c r="C1097" s="83" t="s">
        <v>17</v>
      </c>
      <c r="D1097" s="82" t="s">
        <v>1586</v>
      </c>
      <c r="E1097" s="81">
        <v>43383</v>
      </c>
      <c r="F1097" s="27">
        <f t="shared" ca="1" si="16"/>
        <v>1090</v>
      </c>
      <c r="G1097" s="79" t="s">
        <v>603</v>
      </c>
      <c r="H1097" s="80"/>
      <c r="I1097" s="80"/>
      <c r="J1097" s="79" t="s">
        <v>765</v>
      </c>
      <c r="K1097" s="78" t="s">
        <v>623</v>
      </c>
      <c r="L1097" s="77">
        <v>43445</v>
      </c>
      <c r="M1097" s="68"/>
      <c r="N1097" s="76"/>
      <c r="O1097" s="75" t="s">
        <v>1587</v>
      </c>
      <c r="R1097" s="74"/>
    </row>
    <row r="1098" spans="2:18" ht="36" hidden="1" customHeight="1" x14ac:dyDescent="0.25">
      <c r="B1098" s="84">
        <v>1816</v>
      </c>
      <c r="C1098" s="83" t="s">
        <v>15</v>
      </c>
      <c r="D1098" s="82" t="s">
        <v>1369</v>
      </c>
      <c r="E1098" s="81">
        <v>43385</v>
      </c>
      <c r="F1098" s="27">
        <f t="shared" ca="1" si="16"/>
        <v>1088</v>
      </c>
      <c r="G1098" s="79" t="s">
        <v>1304</v>
      </c>
      <c r="H1098" s="80"/>
      <c r="I1098" s="80"/>
      <c r="J1098" s="79" t="s">
        <v>579</v>
      </c>
      <c r="K1098" s="78" t="s">
        <v>623</v>
      </c>
      <c r="L1098" s="77">
        <v>43391</v>
      </c>
      <c r="M1098" s="68"/>
      <c r="N1098" s="76"/>
      <c r="O1098" s="75"/>
      <c r="R1098" s="74"/>
    </row>
    <row r="1099" spans="2:18" ht="36" hidden="1" customHeight="1" x14ac:dyDescent="0.25">
      <c r="B1099" s="84">
        <v>1822</v>
      </c>
      <c r="C1099" s="83" t="s">
        <v>23</v>
      </c>
      <c r="D1099" s="82" t="s">
        <v>2161</v>
      </c>
      <c r="E1099" s="81">
        <v>43385</v>
      </c>
      <c r="F1099" s="27">
        <f t="shared" ca="1" si="16"/>
        <v>1088</v>
      </c>
      <c r="G1099" s="79" t="s">
        <v>2446</v>
      </c>
      <c r="H1099" s="80"/>
      <c r="I1099" s="80"/>
      <c r="J1099" s="79" t="s">
        <v>765</v>
      </c>
      <c r="K1099" s="78" t="s">
        <v>623</v>
      </c>
      <c r="L1099" s="77">
        <v>43393</v>
      </c>
      <c r="M1099" s="68"/>
      <c r="N1099" s="76"/>
      <c r="O1099" s="75"/>
      <c r="R1099" s="74"/>
    </row>
    <row r="1100" spans="2:18" ht="36" hidden="1" customHeight="1" x14ac:dyDescent="0.25">
      <c r="B1100" s="84">
        <v>1826</v>
      </c>
      <c r="C1100" s="83" t="s">
        <v>9</v>
      </c>
      <c r="D1100" s="82" t="s">
        <v>3236</v>
      </c>
      <c r="E1100" s="81">
        <v>43385</v>
      </c>
      <c r="F1100" s="27">
        <f t="shared" ca="1" si="16"/>
        <v>1088</v>
      </c>
      <c r="G1100" s="79" t="s">
        <v>1074</v>
      </c>
      <c r="H1100" s="80"/>
      <c r="I1100" s="80"/>
      <c r="J1100" s="79" t="s">
        <v>579</v>
      </c>
      <c r="K1100" s="78" t="s">
        <v>623</v>
      </c>
      <c r="L1100" s="77">
        <v>43426</v>
      </c>
      <c r="M1100" s="68"/>
      <c r="N1100" s="76"/>
      <c r="O1100" s="75" t="s">
        <v>481</v>
      </c>
      <c r="R1100" s="74"/>
    </row>
    <row r="1101" spans="2:18" ht="36" hidden="1" customHeight="1" x14ac:dyDescent="0.25">
      <c r="B1101" s="84">
        <v>1829</v>
      </c>
      <c r="C1101" s="83" t="s">
        <v>9</v>
      </c>
      <c r="D1101" s="82" t="s">
        <v>3791</v>
      </c>
      <c r="E1101" s="81">
        <v>43385</v>
      </c>
      <c r="F1101" s="27">
        <f t="shared" ca="1" si="16"/>
        <v>1088</v>
      </c>
      <c r="G1101" s="79" t="s">
        <v>1954</v>
      </c>
      <c r="H1101" s="80"/>
      <c r="I1101" s="80"/>
      <c r="J1101" s="79" t="s">
        <v>765</v>
      </c>
      <c r="K1101" s="78" t="s">
        <v>623</v>
      </c>
      <c r="L1101" s="77">
        <v>43416</v>
      </c>
      <c r="M1101" s="68"/>
      <c r="N1101" s="76" t="s">
        <v>1955</v>
      </c>
      <c r="O1101" s="75"/>
      <c r="R1101" s="74"/>
    </row>
    <row r="1102" spans="2:18" ht="36" hidden="1" customHeight="1" x14ac:dyDescent="0.25">
      <c r="B1102" s="84">
        <v>1829</v>
      </c>
      <c r="C1102" s="83" t="s">
        <v>11</v>
      </c>
      <c r="D1102" s="82" t="s">
        <v>3792</v>
      </c>
      <c r="E1102" s="81">
        <v>43385</v>
      </c>
      <c r="F1102" s="27">
        <f t="shared" ca="1" si="16"/>
        <v>1088</v>
      </c>
      <c r="G1102" s="79" t="s">
        <v>1954</v>
      </c>
      <c r="H1102" s="80"/>
      <c r="I1102" s="80"/>
      <c r="J1102" s="79" t="s">
        <v>765</v>
      </c>
      <c r="K1102" s="78" t="s">
        <v>623</v>
      </c>
      <c r="L1102" s="77">
        <v>43416</v>
      </c>
      <c r="M1102" s="68"/>
      <c r="N1102" s="76" t="s">
        <v>1955</v>
      </c>
      <c r="O1102" s="75"/>
      <c r="R1102" s="74"/>
    </row>
    <row r="1103" spans="2:18" ht="36" hidden="1" customHeight="1" x14ac:dyDescent="0.25">
      <c r="B1103" s="84">
        <v>1830</v>
      </c>
      <c r="C1103" s="83" t="s">
        <v>19</v>
      </c>
      <c r="D1103" s="82" t="s">
        <v>967</v>
      </c>
      <c r="E1103" s="81">
        <v>43385</v>
      </c>
      <c r="F1103" s="27">
        <f t="shared" ca="1" si="16"/>
        <v>1088</v>
      </c>
      <c r="G1103" s="79" t="s">
        <v>1328</v>
      </c>
      <c r="H1103" s="80"/>
      <c r="I1103" s="80"/>
      <c r="J1103" s="79" t="s">
        <v>592</v>
      </c>
      <c r="K1103" s="78" t="s">
        <v>623</v>
      </c>
      <c r="L1103" s="77">
        <v>43386</v>
      </c>
      <c r="M1103" s="68"/>
      <c r="N1103" s="76"/>
      <c r="O1103" s="75" t="s">
        <v>3972</v>
      </c>
      <c r="R1103" s="74"/>
    </row>
    <row r="1104" spans="2:18" ht="36" hidden="1" customHeight="1" x14ac:dyDescent="0.25">
      <c r="B1104" s="84">
        <v>1819</v>
      </c>
      <c r="C1104" s="83" t="s">
        <v>23</v>
      </c>
      <c r="D1104" s="82" t="s">
        <v>514</v>
      </c>
      <c r="E1104" s="81">
        <v>43389</v>
      </c>
      <c r="F1104" s="27">
        <f t="shared" ref="F1104:F1167" ca="1" si="17">IF(E1104&lt;&gt;"",TODAY()-E1104,"")</f>
        <v>1084</v>
      </c>
      <c r="G1104" s="79" t="s">
        <v>1273</v>
      </c>
      <c r="H1104" s="80"/>
      <c r="I1104" s="80"/>
      <c r="J1104" s="79" t="s">
        <v>765</v>
      </c>
      <c r="K1104" s="78" t="s">
        <v>623</v>
      </c>
      <c r="L1104" s="77">
        <v>43393</v>
      </c>
      <c r="M1104" s="68"/>
      <c r="N1104" s="76"/>
      <c r="O1104" s="75"/>
      <c r="R1104" s="74"/>
    </row>
    <row r="1105" spans="2:18" ht="36" hidden="1" customHeight="1" x14ac:dyDescent="0.25">
      <c r="B1105" s="84">
        <v>1827</v>
      </c>
      <c r="C1105" s="83" t="s">
        <v>23</v>
      </c>
      <c r="D1105" s="82" t="s">
        <v>58</v>
      </c>
      <c r="E1105" s="81">
        <v>43389</v>
      </c>
      <c r="F1105" s="27">
        <f t="shared" ca="1" si="17"/>
        <v>1084</v>
      </c>
      <c r="G1105" s="79" t="s">
        <v>1273</v>
      </c>
      <c r="H1105" s="80"/>
      <c r="I1105" s="80"/>
      <c r="J1105" s="79" t="s">
        <v>765</v>
      </c>
      <c r="K1105" s="78" t="s">
        <v>623</v>
      </c>
      <c r="L1105" s="77">
        <v>43393</v>
      </c>
      <c r="M1105" s="68"/>
      <c r="N1105" s="76"/>
      <c r="O1105" s="75"/>
      <c r="R1105" s="74"/>
    </row>
    <row r="1106" spans="2:18" ht="36" hidden="1" customHeight="1" x14ac:dyDescent="0.25">
      <c r="B1106" s="84">
        <v>1828</v>
      </c>
      <c r="C1106" s="83" t="s">
        <v>16</v>
      </c>
      <c r="D1106" s="82" t="s">
        <v>3587</v>
      </c>
      <c r="E1106" s="81">
        <v>43389</v>
      </c>
      <c r="F1106" s="27">
        <f t="shared" ca="1" si="17"/>
        <v>1084</v>
      </c>
      <c r="G1106" s="79" t="s">
        <v>1273</v>
      </c>
      <c r="H1106" s="80"/>
      <c r="I1106" s="80"/>
      <c r="J1106" s="79" t="s">
        <v>765</v>
      </c>
      <c r="K1106" s="78" t="s">
        <v>623</v>
      </c>
      <c r="L1106" s="77">
        <v>43393</v>
      </c>
      <c r="M1106" s="68"/>
      <c r="N1106" s="76"/>
      <c r="O1106" s="75"/>
      <c r="R1106" s="74"/>
    </row>
    <row r="1107" spans="2:18" ht="36" hidden="1" customHeight="1" x14ac:dyDescent="0.25">
      <c r="B1107" s="84">
        <v>1828</v>
      </c>
      <c r="C1107" s="83" t="s">
        <v>40</v>
      </c>
      <c r="D1107" s="82" t="s">
        <v>3588</v>
      </c>
      <c r="E1107" s="81">
        <v>43389</v>
      </c>
      <c r="F1107" s="27">
        <f t="shared" ca="1" si="17"/>
        <v>1084</v>
      </c>
      <c r="G1107" s="79" t="s">
        <v>1273</v>
      </c>
      <c r="H1107" s="80"/>
      <c r="I1107" s="80"/>
      <c r="J1107" s="79" t="s">
        <v>765</v>
      </c>
      <c r="K1107" s="78" t="s">
        <v>623</v>
      </c>
      <c r="L1107" s="77">
        <v>43393</v>
      </c>
      <c r="M1107" s="68"/>
      <c r="N1107" s="76"/>
      <c r="O1107" s="75"/>
      <c r="R1107" s="74"/>
    </row>
    <row r="1108" spans="2:18" ht="36" hidden="1" customHeight="1" x14ac:dyDescent="0.25">
      <c r="B1108" s="84">
        <v>1820</v>
      </c>
      <c r="C1108" s="83" t="s">
        <v>40</v>
      </c>
      <c r="D1108" s="82" t="s">
        <v>2145</v>
      </c>
      <c r="E1108" s="81">
        <v>43392</v>
      </c>
      <c r="F1108" s="27">
        <f t="shared" ca="1" si="17"/>
        <v>1081</v>
      </c>
      <c r="G1108" s="79" t="s">
        <v>1273</v>
      </c>
      <c r="H1108" s="80"/>
      <c r="I1108" s="80"/>
      <c r="J1108" s="79" t="s">
        <v>765</v>
      </c>
      <c r="K1108" s="78" t="s">
        <v>623</v>
      </c>
      <c r="L1108" s="77">
        <v>43393</v>
      </c>
      <c r="M1108" s="68"/>
      <c r="N1108" s="76"/>
      <c r="O1108" s="75"/>
      <c r="R1108" s="74"/>
    </row>
    <row r="1109" spans="2:18" ht="36" hidden="1" customHeight="1" x14ac:dyDescent="0.25">
      <c r="B1109" s="84">
        <v>1822</v>
      </c>
      <c r="C1109" s="83" t="s">
        <v>19</v>
      </c>
      <c r="D1109" s="82" t="s">
        <v>2448</v>
      </c>
      <c r="E1109" s="81">
        <v>43392</v>
      </c>
      <c r="F1109" s="27">
        <f t="shared" ca="1" si="17"/>
        <v>1081</v>
      </c>
      <c r="G1109" s="79" t="s">
        <v>1325</v>
      </c>
      <c r="H1109" s="80"/>
      <c r="I1109" s="80"/>
      <c r="J1109" s="79" t="s">
        <v>579</v>
      </c>
      <c r="K1109" s="78" t="s">
        <v>623</v>
      </c>
      <c r="L1109" s="77">
        <v>43402</v>
      </c>
      <c r="M1109" s="68"/>
      <c r="N1109" s="76" t="s">
        <v>2449</v>
      </c>
      <c r="O1109" s="75" t="s">
        <v>2450</v>
      </c>
      <c r="R1109" s="74"/>
    </row>
    <row r="1110" spans="2:18" ht="36" hidden="1" customHeight="1" x14ac:dyDescent="0.25">
      <c r="B1110" s="84">
        <v>1818</v>
      </c>
      <c r="C1110" s="83" t="s">
        <v>23</v>
      </c>
      <c r="D1110" s="82" t="s">
        <v>1757</v>
      </c>
      <c r="E1110" s="81">
        <v>43396</v>
      </c>
      <c r="F1110" s="27">
        <f t="shared" ca="1" si="17"/>
        <v>1077</v>
      </c>
      <c r="G1110" s="79" t="s">
        <v>1273</v>
      </c>
      <c r="H1110" s="80"/>
      <c r="I1110" s="80"/>
      <c r="J1110" s="79" t="s">
        <v>765</v>
      </c>
      <c r="K1110" s="78" t="s">
        <v>623</v>
      </c>
      <c r="L1110" s="77">
        <v>43433</v>
      </c>
      <c r="M1110" s="68"/>
      <c r="N1110" s="76" t="s">
        <v>1758</v>
      </c>
      <c r="O1110" s="75"/>
      <c r="R1110" s="74"/>
    </row>
    <row r="1111" spans="2:18" ht="36" hidden="1" customHeight="1" x14ac:dyDescent="0.25">
      <c r="B1111" s="84">
        <v>1822</v>
      </c>
      <c r="C1111" s="83" t="s">
        <v>17</v>
      </c>
      <c r="D1111" s="82" t="s">
        <v>1373</v>
      </c>
      <c r="E1111" s="81">
        <v>43396</v>
      </c>
      <c r="F1111" s="27">
        <f t="shared" ca="1" si="17"/>
        <v>1077</v>
      </c>
      <c r="G1111" s="79"/>
      <c r="H1111" s="80"/>
      <c r="I1111" s="80"/>
      <c r="J1111" s="79" t="s">
        <v>579</v>
      </c>
      <c r="K1111" s="78" t="s">
        <v>623</v>
      </c>
      <c r="L1111" s="77">
        <v>43454</v>
      </c>
      <c r="M1111" s="68"/>
      <c r="N1111" s="76" t="s">
        <v>2449</v>
      </c>
      <c r="O1111" s="75" t="s">
        <v>2460</v>
      </c>
      <c r="R1111" s="74"/>
    </row>
    <row r="1112" spans="2:18" ht="36" hidden="1" customHeight="1" x14ac:dyDescent="0.25">
      <c r="B1112" s="84">
        <v>1830</v>
      </c>
      <c r="C1112" s="83" t="s">
        <v>11</v>
      </c>
      <c r="D1112" s="82" t="s">
        <v>3977</v>
      </c>
      <c r="E1112" s="81">
        <v>43396</v>
      </c>
      <c r="F1112" s="27">
        <f t="shared" ca="1" si="17"/>
        <v>1077</v>
      </c>
      <c r="G1112" s="79" t="s">
        <v>1074</v>
      </c>
      <c r="H1112" s="80"/>
      <c r="I1112" s="80"/>
      <c r="J1112" s="79" t="s">
        <v>1301</v>
      </c>
      <c r="K1112" s="78" t="s">
        <v>1301</v>
      </c>
      <c r="L1112" s="77">
        <v>43418</v>
      </c>
      <c r="M1112" s="68"/>
      <c r="N1112" s="76" t="s">
        <v>2320</v>
      </c>
      <c r="O1112" s="75"/>
      <c r="R1112" s="74"/>
    </row>
    <row r="1113" spans="2:18" ht="36" hidden="1" customHeight="1" x14ac:dyDescent="0.25">
      <c r="B1113" s="84">
        <v>1826</v>
      </c>
      <c r="C1113" s="83" t="s">
        <v>23</v>
      </c>
      <c r="D1113" s="82" t="s">
        <v>3237</v>
      </c>
      <c r="E1113" s="81">
        <v>43397</v>
      </c>
      <c r="F1113" s="27">
        <f t="shared" ca="1" si="17"/>
        <v>1076</v>
      </c>
      <c r="G1113" s="79" t="s">
        <v>1074</v>
      </c>
      <c r="H1113" s="80"/>
      <c r="I1113" s="80"/>
      <c r="J1113" s="79" t="s">
        <v>579</v>
      </c>
      <c r="K1113" s="78" t="s">
        <v>623</v>
      </c>
      <c r="L1113" s="77">
        <v>43426</v>
      </c>
      <c r="M1113" s="68"/>
      <c r="N1113" s="76"/>
      <c r="O1113" s="75" t="s">
        <v>481</v>
      </c>
      <c r="R1113" s="74"/>
    </row>
    <row r="1114" spans="2:18" ht="36" hidden="1" customHeight="1" x14ac:dyDescent="0.25">
      <c r="B1114" s="84">
        <v>1642</v>
      </c>
      <c r="C1114" s="83" t="s">
        <v>40</v>
      </c>
      <c r="D1114" s="82" t="s">
        <v>803</v>
      </c>
      <c r="E1114" s="81">
        <v>43398</v>
      </c>
      <c r="F1114" s="27">
        <f t="shared" ca="1" si="17"/>
        <v>1075</v>
      </c>
      <c r="G1114" s="79"/>
      <c r="H1114" s="80"/>
      <c r="I1114" s="80"/>
      <c r="J1114" s="79" t="s">
        <v>592</v>
      </c>
      <c r="K1114" s="78" t="s">
        <v>580</v>
      </c>
      <c r="L1114" s="77">
        <v>43451</v>
      </c>
      <c r="M1114" s="68"/>
      <c r="N1114" s="76" t="s">
        <v>804</v>
      </c>
      <c r="O1114" s="75"/>
      <c r="R1114" s="74"/>
    </row>
    <row r="1115" spans="2:18" ht="36" hidden="1" customHeight="1" x14ac:dyDescent="0.25">
      <c r="B1115" s="84">
        <v>1823</v>
      </c>
      <c r="C1115" s="83" t="s">
        <v>19</v>
      </c>
      <c r="D1115" s="82" t="s">
        <v>2613</v>
      </c>
      <c r="E1115" s="81">
        <v>43398</v>
      </c>
      <c r="F1115" s="27">
        <f t="shared" ca="1" si="17"/>
        <v>1075</v>
      </c>
      <c r="G1115" s="79" t="s">
        <v>1723</v>
      </c>
      <c r="H1115" s="80"/>
      <c r="I1115" s="80"/>
      <c r="J1115" s="79" t="s">
        <v>765</v>
      </c>
      <c r="K1115" s="78" t="s">
        <v>623</v>
      </c>
      <c r="L1115" s="77">
        <v>43399</v>
      </c>
      <c r="M1115" s="68"/>
      <c r="N1115" s="76"/>
      <c r="O1115" s="75" t="s">
        <v>2614</v>
      </c>
      <c r="R1115" s="74"/>
    </row>
    <row r="1116" spans="2:18" ht="36" hidden="1" customHeight="1" x14ac:dyDescent="0.25">
      <c r="B1116" s="84">
        <v>1823</v>
      </c>
      <c r="C1116" s="83" t="s">
        <v>40</v>
      </c>
      <c r="D1116" s="82" t="s">
        <v>2615</v>
      </c>
      <c r="E1116" s="81">
        <v>43398</v>
      </c>
      <c r="F1116" s="27">
        <f t="shared" ca="1" si="17"/>
        <v>1075</v>
      </c>
      <c r="G1116" s="79" t="s">
        <v>1723</v>
      </c>
      <c r="H1116" s="80"/>
      <c r="I1116" s="80"/>
      <c r="J1116" s="79" t="s">
        <v>765</v>
      </c>
      <c r="K1116" s="78" t="s">
        <v>623</v>
      </c>
      <c r="L1116" s="77">
        <v>43399</v>
      </c>
      <c r="M1116" s="68"/>
      <c r="N1116" s="76"/>
      <c r="O1116" s="75"/>
      <c r="R1116" s="74"/>
    </row>
    <row r="1117" spans="2:18" ht="36" hidden="1" customHeight="1" x14ac:dyDescent="0.25">
      <c r="B1117" s="84">
        <v>1824</v>
      </c>
      <c r="C1117" s="83" t="s">
        <v>11</v>
      </c>
      <c r="D1117" s="82" t="s">
        <v>2822</v>
      </c>
      <c r="E1117" s="81">
        <v>43399</v>
      </c>
      <c r="F1117" s="27">
        <f t="shared" ca="1" si="17"/>
        <v>1074</v>
      </c>
      <c r="G1117" s="79" t="s">
        <v>1304</v>
      </c>
      <c r="H1117" s="80"/>
      <c r="I1117" s="80"/>
      <c r="J1117" s="79" t="s">
        <v>1301</v>
      </c>
      <c r="K1117" s="78" t="s">
        <v>1301</v>
      </c>
      <c r="L1117" s="77">
        <v>43409</v>
      </c>
      <c r="M1117" s="68"/>
      <c r="N1117" s="76"/>
      <c r="O1117" s="75"/>
      <c r="R1117" s="74"/>
    </row>
    <row r="1118" spans="2:18" ht="36" hidden="1" customHeight="1" x14ac:dyDescent="0.25">
      <c r="B1118" s="84">
        <v>1824</v>
      </c>
      <c r="C1118" s="83" t="s">
        <v>27</v>
      </c>
      <c r="D1118" s="82" t="s">
        <v>2825</v>
      </c>
      <c r="E1118" s="81">
        <v>43399</v>
      </c>
      <c r="F1118" s="27">
        <f t="shared" ca="1" si="17"/>
        <v>1074</v>
      </c>
      <c r="G1118" s="79"/>
      <c r="H1118" s="80"/>
      <c r="I1118" s="80"/>
      <c r="J1118" s="79" t="s">
        <v>579</v>
      </c>
      <c r="K1118" s="78" t="s">
        <v>623</v>
      </c>
      <c r="L1118" s="77">
        <v>43449</v>
      </c>
      <c r="M1118" s="68"/>
      <c r="N1118" s="76" t="s">
        <v>657</v>
      </c>
      <c r="O1118" s="75" t="s">
        <v>2826</v>
      </c>
      <c r="R1118" s="74"/>
    </row>
    <row r="1119" spans="2:18" ht="36" hidden="1" customHeight="1" x14ac:dyDescent="0.25">
      <c r="B1119" s="84">
        <v>1824</v>
      </c>
      <c r="C1119" s="83" t="s">
        <v>38</v>
      </c>
      <c r="D1119" s="82" t="s">
        <v>2827</v>
      </c>
      <c r="E1119" s="81">
        <v>43399</v>
      </c>
      <c r="F1119" s="27">
        <f t="shared" ca="1" si="17"/>
        <v>1074</v>
      </c>
      <c r="G1119" s="79"/>
      <c r="H1119" s="80"/>
      <c r="I1119" s="80"/>
      <c r="J1119" s="79" t="s">
        <v>579</v>
      </c>
      <c r="K1119" s="78" t="s">
        <v>623</v>
      </c>
      <c r="L1119" s="77">
        <v>43449</v>
      </c>
      <c r="M1119" s="68"/>
      <c r="N1119" s="76" t="s">
        <v>657</v>
      </c>
      <c r="O1119" s="75" t="s">
        <v>2826</v>
      </c>
      <c r="R1119" s="74"/>
    </row>
    <row r="1120" spans="2:18" ht="36" hidden="1" customHeight="1" x14ac:dyDescent="0.25">
      <c r="B1120" s="84">
        <v>1826</v>
      </c>
      <c r="C1120" s="83" t="s">
        <v>19</v>
      </c>
      <c r="D1120" s="82" t="s">
        <v>3238</v>
      </c>
      <c r="E1120" s="81">
        <v>43399</v>
      </c>
      <c r="F1120" s="27">
        <f t="shared" ca="1" si="17"/>
        <v>1074</v>
      </c>
      <c r="G1120" s="79" t="s">
        <v>1074</v>
      </c>
      <c r="H1120" s="80"/>
      <c r="I1120" s="80"/>
      <c r="J1120" s="79" t="s">
        <v>579</v>
      </c>
      <c r="K1120" s="78" t="s">
        <v>623</v>
      </c>
      <c r="L1120" s="77">
        <v>43426</v>
      </c>
      <c r="M1120" s="68"/>
      <c r="N1120" s="76"/>
      <c r="O1120" s="75" t="s">
        <v>481</v>
      </c>
      <c r="R1120" s="74"/>
    </row>
    <row r="1121" spans="2:18" ht="36" hidden="1" customHeight="1" x14ac:dyDescent="0.25">
      <c r="B1121" s="84">
        <v>1827</v>
      </c>
      <c r="C1121" s="83" t="s">
        <v>27</v>
      </c>
      <c r="D1121" s="82" t="s">
        <v>3377</v>
      </c>
      <c r="E1121" s="81">
        <v>43399</v>
      </c>
      <c r="F1121" s="27">
        <f t="shared" ca="1" si="17"/>
        <v>1074</v>
      </c>
      <c r="G1121" s="79" t="s">
        <v>1328</v>
      </c>
      <c r="H1121" s="80"/>
      <c r="I1121" s="80"/>
      <c r="J1121" s="79" t="s">
        <v>579</v>
      </c>
      <c r="K1121" s="78" t="s">
        <v>623</v>
      </c>
      <c r="L1121" s="77">
        <v>43404</v>
      </c>
      <c r="M1121" s="68"/>
      <c r="N1121" s="76"/>
      <c r="O1121" s="75"/>
      <c r="R1121" s="74"/>
    </row>
    <row r="1122" spans="2:18" ht="36" hidden="1" customHeight="1" x14ac:dyDescent="0.25">
      <c r="B1122" s="84">
        <v>1819</v>
      </c>
      <c r="C1122" s="83" t="s">
        <v>23</v>
      </c>
      <c r="D1122" s="82" t="s">
        <v>1953</v>
      </c>
      <c r="E1122" s="81">
        <v>43402</v>
      </c>
      <c r="F1122" s="27">
        <f t="shared" ca="1" si="17"/>
        <v>1071</v>
      </c>
      <c r="G1122" s="79" t="s">
        <v>1954</v>
      </c>
      <c r="H1122" s="80"/>
      <c r="I1122" s="80"/>
      <c r="J1122" s="79" t="s">
        <v>765</v>
      </c>
      <c r="K1122" s="78" t="s">
        <v>623</v>
      </c>
      <c r="L1122" s="77">
        <v>43416</v>
      </c>
      <c r="M1122" s="68"/>
      <c r="N1122" s="76" t="s">
        <v>1955</v>
      </c>
      <c r="O1122" s="75"/>
      <c r="R1122" s="74"/>
    </row>
    <row r="1123" spans="2:18" ht="36" hidden="1" customHeight="1" x14ac:dyDescent="0.25">
      <c r="B1123" s="84">
        <v>1822</v>
      </c>
      <c r="C1123" s="83" t="s">
        <v>37</v>
      </c>
      <c r="D1123" s="82" t="s">
        <v>59</v>
      </c>
      <c r="E1123" s="81">
        <v>43403</v>
      </c>
      <c r="F1123" s="27">
        <f t="shared" ca="1" si="17"/>
        <v>1070</v>
      </c>
      <c r="G1123" s="79" t="s">
        <v>1325</v>
      </c>
      <c r="H1123" s="80"/>
      <c r="I1123" s="80"/>
      <c r="J1123" s="79" t="s">
        <v>579</v>
      </c>
      <c r="K1123" s="78" t="s">
        <v>623</v>
      </c>
      <c r="L1123" s="77">
        <v>43406</v>
      </c>
      <c r="M1123" s="68"/>
      <c r="N1123" s="76" t="s">
        <v>2451</v>
      </c>
      <c r="O1123" s="75"/>
      <c r="R1123" s="74"/>
    </row>
    <row r="1124" spans="2:18" ht="36" hidden="1" customHeight="1" x14ac:dyDescent="0.25">
      <c r="B1124" s="84">
        <v>1642</v>
      </c>
      <c r="C1124" s="83" t="s">
        <v>38</v>
      </c>
      <c r="D1124" s="82" t="s">
        <v>805</v>
      </c>
      <c r="E1124" s="81">
        <v>43405</v>
      </c>
      <c r="F1124" s="27">
        <f t="shared" ca="1" si="17"/>
        <v>1068</v>
      </c>
      <c r="G1124" s="79"/>
      <c r="H1124" s="80"/>
      <c r="I1124" s="80"/>
      <c r="J1124" s="79" t="s">
        <v>592</v>
      </c>
      <c r="K1124" s="78" t="s">
        <v>580</v>
      </c>
      <c r="L1124" s="77">
        <v>43451</v>
      </c>
      <c r="M1124" s="68"/>
      <c r="N1124" s="76" t="s">
        <v>804</v>
      </c>
      <c r="O1124" s="75"/>
      <c r="R1124" s="74"/>
    </row>
    <row r="1125" spans="2:18" ht="36" hidden="1" customHeight="1" x14ac:dyDescent="0.25">
      <c r="B1125" s="84">
        <v>1816</v>
      </c>
      <c r="C1125" s="83" t="s">
        <v>40</v>
      </c>
      <c r="D1125" s="82" t="s">
        <v>1370</v>
      </c>
      <c r="E1125" s="81">
        <v>43405</v>
      </c>
      <c r="F1125" s="27">
        <f t="shared" ca="1" si="17"/>
        <v>1068</v>
      </c>
      <c r="G1125" s="79" t="s">
        <v>1304</v>
      </c>
      <c r="H1125" s="80"/>
      <c r="I1125" s="80"/>
      <c r="J1125" s="79" t="s">
        <v>1301</v>
      </c>
      <c r="K1125" s="78" t="s">
        <v>1301</v>
      </c>
      <c r="L1125" s="77">
        <v>43410</v>
      </c>
      <c r="M1125" s="68"/>
      <c r="N1125" s="76"/>
      <c r="O1125" s="75"/>
      <c r="R1125" s="74"/>
    </row>
    <row r="1126" spans="2:18" ht="36" hidden="1" customHeight="1" x14ac:dyDescent="0.25">
      <c r="B1126" s="84">
        <v>1820</v>
      </c>
      <c r="C1126" s="83" t="s">
        <v>40</v>
      </c>
      <c r="D1126" s="82" t="s">
        <v>1370</v>
      </c>
      <c r="E1126" s="81">
        <v>43405</v>
      </c>
      <c r="F1126" s="27">
        <f t="shared" ca="1" si="17"/>
        <v>1068</v>
      </c>
      <c r="G1126" s="79" t="s">
        <v>2147</v>
      </c>
      <c r="H1126" s="80"/>
      <c r="I1126" s="80"/>
      <c r="J1126" s="79" t="s">
        <v>579</v>
      </c>
      <c r="K1126" s="78" t="s">
        <v>623</v>
      </c>
      <c r="L1126" s="77">
        <v>43421</v>
      </c>
      <c r="M1126" s="68"/>
      <c r="N1126" s="76"/>
      <c r="O1126" s="75"/>
      <c r="R1126" s="74"/>
    </row>
    <row r="1127" spans="2:18" ht="36" hidden="1" customHeight="1" x14ac:dyDescent="0.25">
      <c r="B1127" s="84">
        <v>1824</v>
      </c>
      <c r="C1127" s="83" t="s">
        <v>40</v>
      </c>
      <c r="D1127" s="82" t="s">
        <v>1370</v>
      </c>
      <c r="E1127" s="81">
        <v>43405</v>
      </c>
      <c r="F1127" s="27">
        <f t="shared" ca="1" si="17"/>
        <v>1068</v>
      </c>
      <c r="G1127" s="79" t="s">
        <v>1304</v>
      </c>
      <c r="H1127" s="80"/>
      <c r="I1127" s="80"/>
      <c r="J1127" s="79" t="s">
        <v>1301</v>
      </c>
      <c r="K1127" s="78" t="s">
        <v>1301</v>
      </c>
      <c r="L1127" s="77">
        <v>43409</v>
      </c>
      <c r="M1127" s="68"/>
      <c r="N1127" s="76"/>
      <c r="O1127" s="75"/>
      <c r="R1127" s="74"/>
    </row>
    <row r="1128" spans="2:18" ht="36" hidden="1" customHeight="1" x14ac:dyDescent="0.25">
      <c r="B1128" s="84">
        <v>1825</v>
      </c>
      <c r="C1128" s="83" t="s">
        <v>40</v>
      </c>
      <c r="D1128" s="82" t="s">
        <v>2324</v>
      </c>
      <c r="E1128" s="81">
        <v>43405</v>
      </c>
      <c r="F1128" s="27">
        <f t="shared" ca="1" si="17"/>
        <v>1068</v>
      </c>
      <c r="G1128" s="79" t="s">
        <v>3075</v>
      </c>
      <c r="H1128" s="80"/>
      <c r="I1128" s="80"/>
      <c r="J1128" s="79" t="s">
        <v>579</v>
      </c>
      <c r="K1128" s="78" t="s">
        <v>623</v>
      </c>
      <c r="L1128" s="77">
        <v>43435</v>
      </c>
      <c r="M1128" s="68"/>
      <c r="N1128" s="76"/>
      <c r="O1128" s="75" t="s">
        <v>3076</v>
      </c>
      <c r="R1128" s="74"/>
    </row>
    <row r="1129" spans="2:18" ht="36" hidden="1" customHeight="1" x14ac:dyDescent="0.25">
      <c r="B1129" s="84">
        <v>1826</v>
      </c>
      <c r="C1129" s="83" t="s">
        <v>40</v>
      </c>
      <c r="D1129" s="82" t="s">
        <v>1370</v>
      </c>
      <c r="E1129" s="81">
        <v>43405</v>
      </c>
      <c r="F1129" s="27">
        <f t="shared" ca="1" si="17"/>
        <v>1068</v>
      </c>
      <c r="G1129" s="79" t="s">
        <v>1074</v>
      </c>
      <c r="H1129" s="80"/>
      <c r="I1129" s="80"/>
      <c r="J1129" s="79" t="s">
        <v>579</v>
      </c>
      <c r="K1129" s="78" t="s">
        <v>623</v>
      </c>
      <c r="L1129" s="77">
        <v>43426</v>
      </c>
      <c r="M1129" s="68"/>
      <c r="N1129" s="76"/>
      <c r="O1129" s="75" t="s">
        <v>481</v>
      </c>
      <c r="R1129" s="74"/>
    </row>
    <row r="1130" spans="2:18" ht="36" hidden="1" customHeight="1" x14ac:dyDescent="0.25">
      <c r="B1130" s="84">
        <v>1829</v>
      </c>
      <c r="C1130" s="83" t="s">
        <v>23</v>
      </c>
      <c r="D1130" s="82" t="s">
        <v>3793</v>
      </c>
      <c r="E1130" s="81">
        <v>43405</v>
      </c>
      <c r="F1130" s="27">
        <f t="shared" ca="1" si="17"/>
        <v>1068</v>
      </c>
      <c r="G1130" s="79" t="s">
        <v>1954</v>
      </c>
      <c r="H1130" s="80"/>
      <c r="I1130" s="80"/>
      <c r="J1130" s="79" t="s">
        <v>765</v>
      </c>
      <c r="K1130" s="78" t="s">
        <v>623</v>
      </c>
      <c r="L1130" s="77">
        <v>43416</v>
      </c>
      <c r="M1130" s="68"/>
      <c r="N1130" s="76" t="s">
        <v>1955</v>
      </c>
      <c r="O1130" s="75"/>
      <c r="R1130" s="74"/>
    </row>
    <row r="1131" spans="2:18" ht="36" hidden="1" customHeight="1" x14ac:dyDescent="0.25">
      <c r="B1131" s="84">
        <v>1830</v>
      </c>
      <c r="C1131" s="83" t="s">
        <v>40</v>
      </c>
      <c r="D1131" s="82" t="s">
        <v>1370</v>
      </c>
      <c r="E1131" s="81">
        <v>43405</v>
      </c>
      <c r="F1131" s="27">
        <f t="shared" ca="1" si="17"/>
        <v>1068</v>
      </c>
      <c r="G1131" s="79" t="s">
        <v>1074</v>
      </c>
      <c r="H1131" s="80"/>
      <c r="I1131" s="80"/>
      <c r="J1131" s="79" t="s">
        <v>1301</v>
      </c>
      <c r="K1131" s="78" t="s">
        <v>1301</v>
      </c>
      <c r="L1131" s="77">
        <v>43418</v>
      </c>
      <c r="M1131" s="68"/>
      <c r="N1131" s="76" t="s">
        <v>2320</v>
      </c>
      <c r="O1131" s="75"/>
      <c r="R1131" s="74"/>
    </row>
    <row r="1132" spans="2:18" ht="36" hidden="1" customHeight="1" x14ac:dyDescent="0.25">
      <c r="B1132" s="84">
        <v>1823</v>
      </c>
      <c r="C1132" s="83" t="s">
        <v>20</v>
      </c>
      <c r="D1132" s="82" t="s">
        <v>2616</v>
      </c>
      <c r="E1132" s="81">
        <v>43406</v>
      </c>
      <c r="F1132" s="27">
        <f t="shared" ca="1" si="17"/>
        <v>1067</v>
      </c>
      <c r="G1132" s="79" t="s">
        <v>578</v>
      </c>
      <c r="H1132" s="80"/>
      <c r="I1132" s="80"/>
      <c r="J1132" s="79" t="s">
        <v>579</v>
      </c>
      <c r="K1132" s="78" t="s">
        <v>2617</v>
      </c>
      <c r="L1132" s="77">
        <v>43409</v>
      </c>
      <c r="M1132" s="68"/>
      <c r="N1132" s="76"/>
      <c r="O1132" s="75"/>
      <c r="R1132" s="74"/>
    </row>
    <row r="1133" spans="2:18" ht="36" hidden="1" customHeight="1" x14ac:dyDescent="0.25">
      <c r="B1133" s="84">
        <v>1823</v>
      </c>
      <c r="C1133" s="83" t="s">
        <v>19</v>
      </c>
      <c r="D1133" s="82" t="s">
        <v>2618</v>
      </c>
      <c r="E1133" s="81">
        <v>43406</v>
      </c>
      <c r="F1133" s="27">
        <f t="shared" ca="1" si="17"/>
        <v>1067</v>
      </c>
      <c r="G1133" s="79" t="s">
        <v>578</v>
      </c>
      <c r="H1133" s="80"/>
      <c r="I1133" s="80"/>
      <c r="J1133" s="79" t="s">
        <v>579</v>
      </c>
      <c r="K1133" s="78" t="s">
        <v>2617</v>
      </c>
      <c r="L1133" s="77">
        <v>43409</v>
      </c>
      <c r="M1133" s="68"/>
      <c r="N1133" s="76"/>
      <c r="O1133" s="75"/>
      <c r="R1133" s="74"/>
    </row>
    <row r="1134" spans="2:18" ht="36" hidden="1" customHeight="1" x14ac:dyDescent="0.25">
      <c r="B1134" s="84">
        <v>1827</v>
      </c>
      <c r="C1134" s="83" t="s">
        <v>19</v>
      </c>
      <c r="D1134" s="82" t="s">
        <v>3378</v>
      </c>
      <c r="E1134" s="81">
        <v>43406</v>
      </c>
      <c r="F1134" s="27">
        <f t="shared" ca="1" si="17"/>
        <v>1067</v>
      </c>
      <c r="G1134" s="79" t="s">
        <v>1328</v>
      </c>
      <c r="H1134" s="80"/>
      <c r="I1134" s="80"/>
      <c r="J1134" s="79" t="s">
        <v>579</v>
      </c>
      <c r="K1134" s="78" t="s">
        <v>2532</v>
      </c>
      <c r="L1134" s="77">
        <v>43404</v>
      </c>
      <c r="M1134" s="68"/>
      <c r="N1134" s="76"/>
      <c r="O1134" s="75"/>
      <c r="R1134" s="74"/>
    </row>
    <row r="1135" spans="2:18" ht="36" hidden="1" customHeight="1" x14ac:dyDescent="0.25">
      <c r="B1135" s="84">
        <v>1823</v>
      </c>
      <c r="C1135" s="83" t="s">
        <v>19</v>
      </c>
      <c r="D1135" s="82" t="s">
        <v>2619</v>
      </c>
      <c r="E1135" s="81">
        <v>43409</v>
      </c>
      <c r="F1135" s="27">
        <f t="shared" ca="1" si="17"/>
        <v>1064</v>
      </c>
      <c r="G1135" s="79" t="s">
        <v>578</v>
      </c>
      <c r="H1135" s="80"/>
      <c r="I1135" s="80"/>
      <c r="J1135" s="79" t="s">
        <v>579</v>
      </c>
      <c r="K1135" s="78" t="s">
        <v>623</v>
      </c>
      <c r="L1135" s="77">
        <v>43412</v>
      </c>
      <c r="M1135" s="68"/>
      <c r="N1135" s="76"/>
      <c r="O1135" s="75" t="s">
        <v>2620</v>
      </c>
      <c r="R1135" s="74"/>
    </row>
    <row r="1136" spans="2:18" ht="36" hidden="1" customHeight="1" x14ac:dyDescent="0.25">
      <c r="B1136" s="84">
        <v>1824</v>
      </c>
      <c r="C1136" s="83" t="s">
        <v>40</v>
      </c>
      <c r="D1136" s="82" t="s">
        <v>2823</v>
      </c>
      <c r="E1136" s="81">
        <v>43409</v>
      </c>
      <c r="F1136" s="27">
        <f t="shared" ca="1" si="17"/>
        <v>1064</v>
      </c>
      <c r="G1136" s="79" t="s">
        <v>1304</v>
      </c>
      <c r="H1136" s="80"/>
      <c r="I1136" s="80"/>
      <c r="J1136" s="79" t="s">
        <v>1301</v>
      </c>
      <c r="K1136" s="78" t="s">
        <v>1301</v>
      </c>
      <c r="L1136" s="77">
        <v>43409</v>
      </c>
      <c r="M1136" s="68"/>
      <c r="N1136" s="76"/>
      <c r="O1136" s="75"/>
      <c r="R1136" s="74"/>
    </row>
    <row r="1137" spans="2:18" ht="36" hidden="1" customHeight="1" x14ac:dyDescent="0.25">
      <c r="B1137" s="84">
        <v>1819</v>
      </c>
      <c r="C1137" s="83" t="s">
        <v>15</v>
      </c>
      <c r="D1137" s="82" t="s">
        <v>1956</v>
      </c>
      <c r="E1137" s="81">
        <v>43411</v>
      </c>
      <c r="F1137" s="27">
        <f t="shared" ca="1" si="17"/>
        <v>1062</v>
      </c>
      <c r="G1137" s="79" t="s">
        <v>1957</v>
      </c>
      <c r="H1137" s="80"/>
      <c r="I1137" s="80"/>
      <c r="J1137" s="79" t="s">
        <v>579</v>
      </c>
      <c r="K1137" s="78" t="s">
        <v>623</v>
      </c>
      <c r="L1137" s="77">
        <v>43433</v>
      </c>
      <c r="M1137" s="68"/>
      <c r="N1137" s="76"/>
      <c r="O1137" s="75"/>
      <c r="R1137" s="74"/>
    </row>
    <row r="1138" spans="2:18" ht="36" hidden="1" customHeight="1" x14ac:dyDescent="0.25">
      <c r="B1138" s="84">
        <v>1819</v>
      </c>
      <c r="C1138" s="83" t="s">
        <v>27</v>
      </c>
      <c r="D1138" s="82" t="s">
        <v>1958</v>
      </c>
      <c r="E1138" s="81">
        <v>43411</v>
      </c>
      <c r="F1138" s="27">
        <f t="shared" ca="1" si="17"/>
        <v>1062</v>
      </c>
      <c r="G1138" s="79" t="s">
        <v>1957</v>
      </c>
      <c r="H1138" s="80"/>
      <c r="I1138" s="80"/>
      <c r="J1138" s="79" t="s">
        <v>579</v>
      </c>
      <c r="K1138" s="78" t="s">
        <v>623</v>
      </c>
      <c r="L1138" s="77">
        <v>43433</v>
      </c>
      <c r="M1138" s="68"/>
      <c r="N1138" s="76"/>
      <c r="O1138" s="75"/>
      <c r="R1138" s="74"/>
    </row>
    <row r="1139" spans="2:18" ht="36" hidden="1" customHeight="1" x14ac:dyDescent="0.25">
      <c r="B1139" s="84">
        <v>1830</v>
      </c>
      <c r="C1139" s="83" t="s">
        <v>39</v>
      </c>
      <c r="D1139" s="82" t="s">
        <v>3978</v>
      </c>
      <c r="E1139" s="81">
        <v>43411</v>
      </c>
      <c r="F1139" s="27">
        <f t="shared" ca="1" si="17"/>
        <v>1062</v>
      </c>
      <c r="G1139" s="79" t="s">
        <v>1074</v>
      </c>
      <c r="H1139" s="80"/>
      <c r="I1139" s="80"/>
      <c r="J1139" s="79" t="s">
        <v>1301</v>
      </c>
      <c r="K1139" s="78" t="s">
        <v>1301</v>
      </c>
      <c r="L1139" s="77">
        <v>43418</v>
      </c>
      <c r="M1139" s="68"/>
      <c r="N1139" s="76" t="s">
        <v>2320</v>
      </c>
      <c r="O1139" s="75"/>
      <c r="R1139" s="74"/>
    </row>
    <row r="1140" spans="2:18" ht="36" hidden="1" customHeight="1" x14ac:dyDescent="0.25">
      <c r="B1140" s="84">
        <v>1818</v>
      </c>
      <c r="C1140" s="83" t="s">
        <v>40</v>
      </c>
      <c r="D1140" s="82" t="s">
        <v>1759</v>
      </c>
      <c r="E1140" s="81">
        <v>43412</v>
      </c>
      <c r="F1140" s="27">
        <f t="shared" ca="1" si="17"/>
        <v>1061</v>
      </c>
      <c r="G1140" s="79" t="s">
        <v>1273</v>
      </c>
      <c r="H1140" s="80"/>
      <c r="I1140" s="80"/>
      <c r="J1140" s="79" t="s">
        <v>765</v>
      </c>
      <c r="K1140" s="78" t="s">
        <v>623</v>
      </c>
      <c r="L1140" s="77">
        <v>43433</v>
      </c>
      <c r="M1140" s="68"/>
      <c r="N1140" s="76" t="s">
        <v>1758</v>
      </c>
      <c r="O1140" s="75"/>
      <c r="R1140" s="74"/>
    </row>
    <row r="1141" spans="2:18" ht="36" hidden="1" customHeight="1" x14ac:dyDescent="0.25">
      <c r="B1141" s="84">
        <v>1818</v>
      </c>
      <c r="C1141" s="83" t="s">
        <v>38</v>
      </c>
      <c r="D1141" s="82" t="s">
        <v>1760</v>
      </c>
      <c r="E1141" s="81">
        <v>43412</v>
      </c>
      <c r="F1141" s="27">
        <f t="shared" ca="1" si="17"/>
        <v>1061</v>
      </c>
      <c r="G1141" s="79" t="s">
        <v>1273</v>
      </c>
      <c r="H1141" s="80"/>
      <c r="I1141" s="80"/>
      <c r="J1141" s="79" t="s">
        <v>765</v>
      </c>
      <c r="K1141" s="78" t="s">
        <v>623</v>
      </c>
      <c r="L1141" s="77">
        <v>43433</v>
      </c>
      <c r="M1141" s="68"/>
      <c r="N1141" s="76" t="s">
        <v>1758</v>
      </c>
      <c r="O1141" s="75"/>
      <c r="R1141" s="74"/>
    </row>
    <row r="1142" spans="2:18" ht="36" hidden="1" customHeight="1" x14ac:dyDescent="0.25">
      <c r="B1142" s="84">
        <v>1829</v>
      </c>
      <c r="C1142" s="83" t="s">
        <v>40</v>
      </c>
      <c r="D1142" s="82" t="s">
        <v>3794</v>
      </c>
      <c r="E1142" s="81">
        <v>43412</v>
      </c>
      <c r="F1142" s="27">
        <f t="shared" ca="1" si="17"/>
        <v>1061</v>
      </c>
      <c r="G1142" s="79" t="s">
        <v>1954</v>
      </c>
      <c r="H1142" s="80"/>
      <c r="I1142" s="80"/>
      <c r="J1142" s="79" t="s">
        <v>765</v>
      </c>
      <c r="K1142" s="78" t="s">
        <v>623</v>
      </c>
      <c r="L1142" s="77">
        <v>43416</v>
      </c>
      <c r="M1142" s="68"/>
      <c r="N1142" s="76" t="s">
        <v>1955</v>
      </c>
      <c r="O1142" s="75"/>
      <c r="R1142" s="74"/>
    </row>
    <row r="1143" spans="2:18" ht="36" hidden="1" customHeight="1" x14ac:dyDescent="0.25">
      <c r="B1143" s="84">
        <v>1817</v>
      </c>
      <c r="C1143" s="83" t="s">
        <v>11</v>
      </c>
      <c r="D1143" s="82" t="s">
        <v>1588</v>
      </c>
      <c r="E1143" s="81">
        <v>43413</v>
      </c>
      <c r="F1143" s="27">
        <f t="shared" ca="1" si="17"/>
        <v>1060</v>
      </c>
      <c r="G1143" s="79" t="s">
        <v>603</v>
      </c>
      <c r="H1143" s="80"/>
      <c r="I1143" s="80"/>
      <c r="J1143" s="79" t="s">
        <v>765</v>
      </c>
      <c r="K1143" s="78" t="s">
        <v>623</v>
      </c>
      <c r="L1143" s="77">
        <v>43445</v>
      </c>
      <c r="M1143" s="68"/>
      <c r="N1143" s="76"/>
      <c r="O1143" s="75" t="s">
        <v>1589</v>
      </c>
      <c r="R1143" s="74"/>
    </row>
    <row r="1144" spans="2:18" ht="36" hidden="1" customHeight="1" x14ac:dyDescent="0.25">
      <c r="B1144" s="84">
        <v>1827</v>
      </c>
      <c r="C1144" s="83" t="s">
        <v>31</v>
      </c>
      <c r="D1144" s="82" t="s">
        <v>3379</v>
      </c>
      <c r="E1144" s="81">
        <v>43413</v>
      </c>
      <c r="F1144" s="27">
        <f t="shared" ca="1" si="17"/>
        <v>1060</v>
      </c>
      <c r="G1144" s="79" t="s">
        <v>1074</v>
      </c>
      <c r="H1144" s="80"/>
      <c r="I1144" s="80"/>
      <c r="J1144" s="79" t="s">
        <v>765</v>
      </c>
      <c r="K1144" s="78" t="s">
        <v>623</v>
      </c>
      <c r="L1144" s="77">
        <v>43442</v>
      </c>
      <c r="M1144" s="68"/>
      <c r="N1144" s="76"/>
      <c r="O1144" s="75" t="s">
        <v>3380</v>
      </c>
      <c r="R1144" s="74"/>
    </row>
    <row r="1145" spans="2:18" ht="36" hidden="1" customHeight="1" x14ac:dyDescent="0.25">
      <c r="B1145" s="84">
        <v>1825</v>
      </c>
      <c r="C1145" s="83" t="s">
        <v>23</v>
      </c>
      <c r="D1145" s="82" t="s">
        <v>3077</v>
      </c>
      <c r="E1145" s="81">
        <v>43416</v>
      </c>
      <c r="F1145" s="27">
        <f t="shared" ca="1" si="17"/>
        <v>1057</v>
      </c>
      <c r="G1145" s="79" t="s">
        <v>1074</v>
      </c>
      <c r="H1145" s="80"/>
      <c r="I1145" s="80"/>
      <c r="J1145" s="79" t="s">
        <v>579</v>
      </c>
      <c r="K1145" s="78" t="s">
        <v>623</v>
      </c>
      <c r="L1145" s="77">
        <v>43437</v>
      </c>
      <c r="M1145" s="68"/>
      <c r="N1145" s="76"/>
      <c r="O1145" s="75" t="s">
        <v>3078</v>
      </c>
      <c r="R1145" s="74"/>
    </row>
    <row r="1146" spans="2:18" ht="36" hidden="1" customHeight="1" x14ac:dyDescent="0.25">
      <c r="B1146" s="84">
        <v>1825</v>
      </c>
      <c r="C1146" s="83" t="s">
        <v>17</v>
      </c>
      <c r="D1146" s="82" t="s">
        <v>3081</v>
      </c>
      <c r="E1146" s="81">
        <v>43416</v>
      </c>
      <c r="F1146" s="27">
        <f t="shared" ca="1" si="17"/>
        <v>1057</v>
      </c>
      <c r="G1146" s="79" t="s">
        <v>2150</v>
      </c>
      <c r="H1146" s="80"/>
      <c r="I1146" s="80"/>
      <c r="J1146" s="79" t="s">
        <v>765</v>
      </c>
      <c r="K1146" s="78" t="s">
        <v>623</v>
      </c>
      <c r="L1146" s="77">
        <v>43437</v>
      </c>
      <c r="M1146" s="68"/>
      <c r="N1146" s="76"/>
      <c r="O1146" s="75" t="s">
        <v>3082</v>
      </c>
      <c r="R1146" s="74"/>
    </row>
    <row r="1147" spans="2:18" ht="36" hidden="1" customHeight="1" x14ac:dyDescent="0.25">
      <c r="B1147" s="84">
        <v>1828</v>
      </c>
      <c r="C1147" s="83" t="s">
        <v>40</v>
      </c>
      <c r="D1147" s="82" t="s">
        <v>3597</v>
      </c>
      <c r="E1147" s="81">
        <v>43416</v>
      </c>
      <c r="F1147" s="27">
        <f t="shared" ca="1" si="17"/>
        <v>1057</v>
      </c>
      <c r="G1147" s="79"/>
      <c r="H1147" s="80"/>
      <c r="I1147" s="80"/>
      <c r="J1147" s="79" t="s">
        <v>579</v>
      </c>
      <c r="K1147" s="78" t="s">
        <v>623</v>
      </c>
      <c r="L1147" s="77">
        <v>43438</v>
      </c>
      <c r="M1147" s="68"/>
      <c r="N1147" s="76"/>
      <c r="O1147" s="75" t="s">
        <v>3598</v>
      </c>
      <c r="R1147" s="74"/>
    </row>
    <row r="1148" spans="2:18" ht="36" hidden="1" customHeight="1" x14ac:dyDescent="0.25">
      <c r="B1148" s="84">
        <v>1821</v>
      </c>
      <c r="C1148" s="83" t="s">
        <v>23</v>
      </c>
      <c r="D1148" s="82" t="s">
        <v>2318</v>
      </c>
      <c r="E1148" s="81">
        <v>43417</v>
      </c>
      <c r="F1148" s="27">
        <f t="shared" ca="1" si="17"/>
        <v>1056</v>
      </c>
      <c r="G1148" s="79" t="s">
        <v>2319</v>
      </c>
      <c r="H1148" s="80"/>
      <c r="I1148" s="80"/>
      <c r="J1148" s="79" t="s">
        <v>579</v>
      </c>
      <c r="K1148" s="78" t="s">
        <v>623</v>
      </c>
      <c r="L1148" s="77">
        <v>43418</v>
      </c>
      <c r="M1148" s="68"/>
      <c r="N1148" s="76" t="s">
        <v>2320</v>
      </c>
      <c r="O1148" s="75"/>
      <c r="R1148" s="74"/>
    </row>
    <row r="1149" spans="2:18" ht="36" hidden="1" customHeight="1" x14ac:dyDescent="0.25">
      <c r="B1149" s="84">
        <v>1824</v>
      </c>
      <c r="C1149" s="83" t="s">
        <v>23</v>
      </c>
      <c r="D1149" s="82" t="s">
        <v>2824</v>
      </c>
      <c r="E1149" s="81">
        <v>43417</v>
      </c>
      <c r="F1149" s="27">
        <f t="shared" ca="1" si="17"/>
        <v>1056</v>
      </c>
      <c r="G1149" s="79" t="s">
        <v>764</v>
      </c>
      <c r="H1149" s="80"/>
      <c r="I1149" s="80"/>
      <c r="J1149" s="79" t="s">
        <v>765</v>
      </c>
      <c r="K1149" s="78" t="s">
        <v>623</v>
      </c>
      <c r="L1149" s="77">
        <v>43419</v>
      </c>
      <c r="M1149" s="68"/>
      <c r="N1149" s="76"/>
      <c r="O1149" s="75" t="s">
        <v>1179</v>
      </c>
      <c r="R1149" s="74"/>
    </row>
    <row r="1150" spans="2:18" ht="36" hidden="1" customHeight="1" x14ac:dyDescent="0.25">
      <c r="B1150" s="84">
        <v>1829</v>
      </c>
      <c r="C1150" s="83" t="s">
        <v>40</v>
      </c>
      <c r="D1150" s="82" t="s">
        <v>3795</v>
      </c>
      <c r="E1150" s="81">
        <v>43417</v>
      </c>
      <c r="F1150" s="27">
        <f t="shared" ca="1" si="17"/>
        <v>1056</v>
      </c>
      <c r="G1150" s="79" t="s">
        <v>1074</v>
      </c>
      <c r="H1150" s="80"/>
      <c r="I1150" s="80"/>
      <c r="J1150" s="79" t="s">
        <v>579</v>
      </c>
      <c r="K1150" s="78" t="s">
        <v>623</v>
      </c>
      <c r="L1150" s="77">
        <v>43434</v>
      </c>
      <c r="M1150" s="68"/>
      <c r="N1150" s="76"/>
      <c r="O1150" s="75"/>
      <c r="R1150" s="74"/>
    </row>
    <row r="1151" spans="2:18" ht="36" hidden="1" customHeight="1" x14ac:dyDescent="0.25">
      <c r="B1151" s="84">
        <v>1828</v>
      </c>
      <c r="C1151" s="83" t="s">
        <v>23</v>
      </c>
      <c r="D1151" s="82" t="s">
        <v>3590</v>
      </c>
      <c r="E1151" s="81">
        <v>43418</v>
      </c>
      <c r="F1151" s="27">
        <f t="shared" ca="1" si="17"/>
        <v>1055</v>
      </c>
      <c r="G1151" s="79" t="s">
        <v>578</v>
      </c>
      <c r="H1151" s="80"/>
      <c r="I1151" s="80"/>
      <c r="J1151" s="79" t="s">
        <v>579</v>
      </c>
      <c r="K1151" s="78" t="s">
        <v>623</v>
      </c>
      <c r="L1151" s="77">
        <v>43418</v>
      </c>
      <c r="M1151" s="68"/>
      <c r="N1151" s="76" t="s">
        <v>2320</v>
      </c>
      <c r="O1151" s="75"/>
      <c r="R1151" s="74"/>
    </row>
    <row r="1152" spans="2:18" ht="36" hidden="1" customHeight="1" x14ac:dyDescent="0.25">
      <c r="B1152" s="84">
        <v>1828</v>
      </c>
      <c r="C1152" s="83" t="s">
        <v>23</v>
      </c>
      <c r="D1152" s="82" t="s">
        <v>2068</v>
      </c>
      <c r="E1152" s="81">
        <v>43418</v>
      </c>
      <c r="F1152" s="27">
        <f t="shared" ca="1" si="17"/>
        <v>1055</v>
      </c>
      <c r="G1152" s="79" t="s">
        <v>578</v>
      </c>
      <c r="H1152" s="80"/>
      <c r="I1152" s="80"/>
      <c r="J1152" s="79" t="s">
        <v>579</v>
      </c>
      <c r="K1152" s="78" t="s">
        <v>623</v>
      </c>
      <c r="L1152" s="77">
        <v>43418</v>
      </c>
      <c r="M1152" s="68"/>
      <c r="N1152" s="76" t="s">
        <v>2320</v>
      </c>
      <c r="O1152" s="75"/>
      <c r="R1152" s="74"/>
    </row>
    <row r="1153" spans="2:18" ht="36" hidden="1" customHeight="1" x14ac:dyDescent="0.25">
      <c r="B1153" s="84">
        <v>1817</v>
      </c>
      <c r="C1153" s="83" t="s">
        <v>35</v>
      </c>
      <c r="D1153" s="82" t="s">
        <v>1583</v>
      </c>
      <c r="E1153" s="81">
        <v>43421</v>
      </c>
      <c r="F1153" s="27">
        <f t="shared" ca="1" si="17"/>
        <v>1052</v>
      </c>
      <c r="G1153" s="79"/>
      <c r="H1153" s="80"/>
      <c r="I1153" s="80"/>
      <c r="J1153" s="79"/>
      <c r="K1153" s="78"/>
      <c r="L1153" s="77">
        <v>43423</v>
      </c>
      <c r="M1153" s="68"/>
      <c r="N1153" s="76"/>
      <c r="O1153" s="75"/>
      <c r="R1153" s="74"/>
    </row>
    <row r="1154" spans="2:18" ht="36" hidden="1" customHeight="1" x14ac:dyDescent="0.25">
      <c r="B1154" s="84">
        <v>1817</v>
      </c>
      <c r="C1154" s="83" t="s">
        <v>37</v>
      </c>
      <c r="D1154" s="82" t="s">
        <v>1584</v>
      </c>
      <c r="E1154" s="81">
        <v>43423</v>
      </c>
      <c r="F1154" s="27">
        <f t="shared" ca="1" si="17"/>
        <v>1050</v>
      </c>
      <c r="G1154" s="79" t="s">
        <v>1585</v>
      </c>
      <c r="H1154" s="80"/>
      <c r="I1154" s="80"/>
      <c r="J1154" s="79" t="s">
        <v>579</v>
      </c>
      <c r="K1154" s="78" t="s">
        <v>623</v>
      </c>
      <c r="L1154" s="77">
        <v>43424</v>
      </c>
      <c r="M1154" s="68"/>
      <c r="N1154" s="76"/>
      <c r="O1154" s="75"/>
      <c r="R1154" s="74"/>
    </row>
    <row r="1155" spans="2:18" ht="36" hidden="1" customHeight="1" x14ac:dyDescent="0.25">
      <c r="B1155" s="84">
        <v>1817</v>
      </c>
      <c r="C1155" s="83" t="s">
        <v>23</v>
      </c>
      <c r="D1155" s="82" t="s">
        <v>53</v>
      </c>
      <c r="E1155" s="81">
        <v>43423</v>
      </c>
      <c r="F1155" s="27">
        <f t="shared" ca="1" si="17"/>
        <v>1050</v>
      </c>
      <c r="G1155" s="79" t="s">
        <v>603</v>
      </c>
      <c r="H1155" s="80"/>
      <c r="I1155" s="80"/>
      <c r="J1155" s="79" t="s">
        <v>765</v>
      </c>
      <c r="K1155" s="78" t="s">
        <v>623</v>
      </c>
      <c r="L1155" s="77">
        <v>43445</v>
      </c>
      <c r="M1155" s="68"/>
      <c r="N1155" s="76"/>
      <c r="O1155" s="75" t="s">
        <v>51</v>
      </c>
      <c r="R1155" s="74"/>
    </row>
    <row r="1156" spans="2:18" ht="36" hidden="1" customHeight="1" x14ac:dyDescent="0.25">
      <c r="B1156" s="84">
        <v>1828</v>
      </c>
      <c r="C1156" s="83" t="s">
        <v>27</v>
      </c>
      <c r="D1156" s="82" t="s">
        <v>3599</v>
      </c>
      <c r="E1156" s="81">
        <v>43423</v>
      </c>
      <c r="F1156" s="27">
        <f t="shared" ca="1" si="17"/>
        <v>1050</v>
      </c>
      <c r="G1156" s="79" t="s">
        <v>3075</v>
      </c>
      <c r="H1156" s="80"/>
      <c r="I1156" s="80"/>
      <c r="J1156" s="79" t="s">
        <v>579</v>
      </c>
      <c r="K1156" s="78" t="s">
        <v>623</v>
      </c>
      <c r="L1156" s="77">
        <v>43438</v>
      </c>
      <c r="M1156" s="68"/>
      <c r="N1156" s="76"/>
      <c r="O1156" s="75" t="s">
        <v>3600</v>
      </c>
      <c r="R1156" s="74"/>
    </row>
    <row r="1157" spans="2:18" ht="36" hidden="1" customHeight="1" x14ac:dyDescent="0.25">
      <c r="B1157" s="84">
        <v>1829</v>
      </c>
      <c r="C1157" s="83" t="s">
        <v>17</v>
      </c>
      <c r="D1157" s="82" t="s">
        <v>3796</v>
      </c>
      <c r="E1157" s="81">
        <v>43424</v>
      </c>
      <c r="F1157" s="27">
        <f t="shared" ca="1" si="17"/>
        <v>1049</v>
      </c>
      <c r="G1157" s="79" t="s">
        <v>1863</v>
      </c>
      <c r="H1157" s="80"/>
      <c r="I1157" s="80"/>
      <c r="J1157" s="79" t="s">
        <v>579</v>
      </c>
      <c r="K1157" s="78" t="s">
        <v>623</v>
      </c>
      <c r="L1157" s="77">
        <v>43437</v>
      </c>
      <c r="M1157" s="68"/>
      <c r="N1157" s="76" t="s">
        <v>3797</v>
      </c>
      <c r="O1157" s="75"/>
      <c r="R1157" s="74"/>
    </row>
    <row r="1158" spans="2:18" ht="36" hidden="1" customHeight="1" x14ac:dyDescent="0.25">
      <c r="B1158" s="84">
        <v>1816</v>
      </c>
      <c r="C1158" s="83" t="s">
        <v>17</v>
      </c>
      <c r="D1158" s="82" t="s">
        <v>1373</v>
      </c>
      <c r="E1158" s="81">
        <v>43425</v>
      </c>
      <c r="F1158" s="27">
        <f t="shared" ca="1" si="17"/>
        <v>1048</v>
      </c>
      <c r="G1158" s="79"/>
      <c r="H1158" s="80"/>
      <c r="I1158" s="80"/>
      <c r="J1158" s="79" t="s">
        <v>579</v>
      </c>
      <c r="K1158" s="78" t="s">
        <v>623</v>
      </c>
      <c r="L1158" s="77">
        <v>43439</v>
      </c>
      <c r="M1158" s="68"/>
      <c r="N1158" s="76"/>
      <c r="O1158" s="75" t="s">
        <v>1374</v>
      </c>
      <c r="R1158" s="74"/>
    </row>
    <row r="1159" spans="2:18" ht="36" hidden="1" customHeight="1" x14ac:dyDescent="0.25">
      <c r="B1159" s="84">
        <v>1819</v>
      </c>
      <c r="C1159" s="83" t="s">
        <v>31</v>
      </c>
      <c r="D1159" s="82" t="s">
        <v>1959</v>
      </c>
      <c r="E1159" s="81">
        <v>43425</v>
      </c>
      <c r="F1159" s="27">
        <f t="shared" ca="1" si="17"/>
        <v>1048</v>
      </c>
      <c r="G1159" s="79" t="s">
        <v>1957</v>
      </c>
      <c r="H1159" s="80"/>
      <c r="I1159" s="80"/>
      <c r="J1159" s="79" t="s">
        <v>579</v>
      </c>
      <c r="K1159" s="78" t="s">
        <v>623</v>
      </c>
      <c r="L1159" s="77">
        <v>43433</v>
      </c>
      <c r="M1159" s="68"/>
      <c r="N1159" s="76"/>
      <c r="O1159" s="75"/>
      <c r="R1159" s="74"/>
    </row>
    <row r="1160" spans="2:18" ht="36" hidden="1" customHeight="1" x14ac:dyDescent="0.25">
      <c r="B1160" s="84">
        <v>1820</v>
      </c>
      <c r="C1160" s="83" t="s">
        <v>20</v>
      </c>
      <c r="D1160" s="82" t="s">
        <v>2149</v>
      </c>
      <c r="E1160" s="81">
        <v>43425</v>
      </c>
      <c r="F1160" s="27">
        <f t="shared" ca="1" si="17"/>
        <v>1048</v>
      </c>
      <c r="G1160" s="79" t="s">
        <v>2150</v>
      </c>
      <c r="H1160" s="80"/>
      <c r="I1160" s="80"/>
      <c r="J1160" s="79" t="s">
        <v>765</v>
      </c>
      <c r="K1160" s="78" t="s">
        <v>623</v>
      </c>
      <c r="L1160" s="77">
        <v>43426</v>
      </c>
      <c r="M1160" s="68"/>
      <c r="N1160" s="76" t="s">
        <v>2151</v>
      </c>
      <c r="O1160" s="75"/>
      <c r="R1160" s="74"/>
    </row>
    <row r="1161" spans="2:18" ht="36" hidden="1" customHeight="1" x14ac:dyDescent="0.25">
      <c r="B1161" s="84">
        <v>1643</v>
      </c>
      <c r="C1161" s="83" t="s">
        <v>11</v>
      </c>
      <c r="D1161" s="82" t="s">
        <v>894</v>
      </c>
      <c r="E1161" s="81">
        <v>43426</v>
      </c>
      <c r="F1161" s="27">
        <f t="shared" ca="1" si="17"/>
        <v>1047</v>
      </c>
      <c r="G1161" s="79" t="s">
        <v>891</v>
      </c>
      <c r="H1161" s="80"/>
      <c r="I1161" s="80"/>
      <c r="J1161" s="79" t="s">
        <v>592</v>
      </c>
      <c r="K1161" s="78" t="s">
        <v>580</v>
      </c>
      <c r="L1161" s="77">
        <v>43445</v>
      </c>
      <c r="M1161" s="68"/>
      <c r="N1161" s="76" t="s">
        <v>892</v>
      </c>
      <c r="O1161" s="75" t="s">
        <v>893</v>
      </c>
      <c r="R1161" s="74"/>
    </row>
    <row r="1162" spans="2:18" ht="36" hidden="1" customHeight="1" x14ac:dyDescent="0.25">
      <c r="B1162" s="84">
        <v>1816</v>
      </c>
      <c r="C1162" s="83" t="s">
        <v>18</v>
      </c>
      <c r="D1162" s="82" t="s">
        <v>1371</v>
      </c>
      <c r="E1162" s="81">
        <v>43426</v>
      </c>
      <c r="F1162" s="27">
        <f t="shared" ca="1" si="17"/>
        <v>1047</v>
      </c>
      <c r="G1162" s="79" t="s">
        <v>1372</v>
      </c>
      <c r="H1162" s="80"/>
      <c r="I1162" s="80"/>
      <c r="J1162" s="79" t="s">
        <v>579</v>
      </c>
      <c r="K1162" s="78" t="s">
        <v>623</v>
      </c>
      <c r="L1162" s="77">
        <v>43426</v>
      </c>
      <c r="M1162" s="68"/>
      <c r="N1162" s="76"/>
      <c r="O1162" s="75"/>
      <c r="R1162" s="74"/>
    </row>
    <row r="1163" spans="2:18" ht="36" hidden="1" customHeight="1" x14ac:dyDescent="0.25">
      <c r="B1163" s="84">
        <v>1825</v>
      </c>
      <c r="C1163" s="83" t="s">
        <v>39</v>
      </c>
      <c r="D1163" s="82" t="s">
        <v>3083</v>
      </c>
      <c r="E1163" s="81">
        <v>43426</v>
      </c>
      <c r="F1163" s="27">
        <f t="shared" ca="1" si="17"/>
        <v>1047</v>
      </c>
      <c r="G1163" s="79" t="s">
        <v>2150</v>
      </c>
      <c r="H1163" s="80"/>
      <c r="I1163" s="80"/>
      <c r="J1163" s="79" t="s">
        <v>765</v>
      </c>
      <c r="K1163" s="78" t="s">
        <v>623</v>
      </c>
      <c r="L1163" s="77">
        <v>43437</v>
      </c>
      <c r="M1163" s="68"/>
      <c r="N1163" s="76"/>
      <c r="O1163" s="75" t="s">
        <v>3084</v>
      </c>
      <c r="R1163" s="74"/>
    </row>
    <row r="1164" spans="2:18" ht="36" hidden="1" customHeight="1" x14ac:dyDescent="0.25">
      <c r="B1164" s="84">
        <v>1825</v>
      </c>
      <c r="C1164" s="83" t="s">
        <v>17</v>
      </c>
      <c r="D1164" s="82" t="s">
        <v>3085</v>
      </c>
      <c r="E1164" s="81">
        <v>43426</v>
      </c>
      <c r="F1164" s="27">
        <f t="shared" ca="1" si="17"/>
        <v>1047</v>
      </c>
      <c r="G1164" s="79" t="s">
        <v>2150</v>
      </c>
      <c r="H1164" s="80"/>
      <c r="I1164" s="80"/>
      <c r="J1164" s="79" t="s">
        <v>765</v>
      </c>
      <c r="K1164" s="78" t="s">
        <v>623</v>
      </c>
      <c r="L1164" s="77">
        <v>43437</v>
      </c>
      <c r="M1164" s="68"/>
      <c r="N1164" s="76"/>
      <c r="O1164" s="75" t="s">
        <v>3086</v>
      </c>
      <c r="R1164" s="74"/>
    </row>
    <row r="1165" spans="2:18" ht="36" hidden="1" customHeight="1" x14ac:dyDescent="0.25">
      <c r="B1165" s="84">
        <v>1827</v>
      </c>
      <c r="C1165" s="83" t="s">
        <v>20</v>
      </c>
      <c r="D1165" s="82" t="s">
        <v>3381</v>
      </c>
      <c r="E1165" s="81">
        <v>43426</v>
      </c>
      <c r="F1165" s="27">
        <f t="shared" ca="1" si="17"/>
        <v>1047</v>
      </c>
      <c r="G1165" s="79" t="s">
        <v>1074</v>
      </c>
      <c r="H1165" s="80"/>
      <c r="I1165" s="80"/>
      <c r="J1165" s="79" t="s">
        <v>765</v>
      </c>
      <c r="K1165" s="78" t="s">
        <v>623</v>
      </c>
      <c r="L1165" s="77">
        <v>43442</v>
      </c>
      <c r="M1165" s="68"/>
      <c r="N1165" s="76"/>
      <c r="O1165" s="75" t="s">
        <v>3382</v>
      </c>
      <c r="R1165" s="74"/>
    </row>
    <row r="1166" spans="2:18" ht="36" hidden="1" customHeight="1" x14ac:dyDescent="0.25">
      <c r="B1166" s="84">
        <v>1819</v>
      </c>
      <c r="C1166" s="83" t="s">
        <v>31</v>
      </c>
      <c r="D1166" s="82" t="s">
        <v>1960</v>
      </c>
      <c r="E1166" s="81">
        <v>43430</v>
      </c>
      <c r="F1166" s="27">
        <f t="shared" ca="1" si="17"/>
        <v>1043</v>
      </c>
      <c r="G1166" s="79" t="s">
        <v>1957</v>
      </c>
      <c r="H1166" s="80"/>
      <c r="I1166" s="80"/>
      <c r="J1166" s="79" t="s">
        <v>579</v>
      </c>
      <c r="K1166" s="78" t="s">
        <v>623</v>
      </c>
      <c r="L1166" s="77">
        <v>43433</v>
      </c>
      <c r="M1166" s="68"/>
      <c r="N1166" s="76"/>
      <c r="O1166" s="75"/>
      <c r="R1166" s="74"/>
    </row>
    <row r="1167" spans="2:18" ht="36" hidden="1" customHeight="1" x14ac:dyDescent="0.25">
      <c r="B1167" s="84">
        <v>1821</v>
      </c>
      <c r="C1167" s="83" t="s">
        <v>40</v>
      </c>
      <c r="D1167" s="82" t="s">
        <v>2324</v>
      </c>
      <c r="E1167" s="81">
        <v>43430</v>
      </c>
      <c r="F1167" s="27">
        <f t="shared" ca="1" si="17"/>
        <v>1043</v>
      </c>
      <c r="G1167" s="79"/>
      <c r="H1167" s="80"/>
      <c r="I1167" s="80"/>
      <c r="J1167" s="79"/>
      <c r="K1167" s="78"/>
      <c r="L1167" s="77">
        <v>43446</v>
      </c>
      <c r="M1167" s="68"/>
      <c r="N1167" s="76" t="s">
        <v>2322</v>
      </c>
      <c r="O1167" s="75" t="s">
        <v>2325</v>
      </c>
      <c r="R1167" s="74"/>
    </row>
    <row r="1168" spans="2:18" ht="36" hidden="1" customHeight="1" x14ac:dyDescent="0.25">
      <c r="B1168" s="84">
        <v>1827</v>
      </c>
      <c r="C1168" s="83" t="s">
        <v>40</v>
      </c>
      <c r="D1168" s="82" t="s">
        <v>3383</v>
      </c>
      <c r="E1168" s="81">
        <v>43430</v>
      </c>
      <c r="F1168" s="27">
        <f t="shared" ref="F1168:F1231" ca="1" si="18">IF(E1168&lt;&gt;"",TODAY()-E1168,"")</f>
        <v>1043</v>
      </c>
      <c r="G1168" s="79" t="s">
        <v>1074</v>
      </c>
      <c r="H1168" s="80"/>
      <c r="I1168" s="80"/>
      <c r="J1168" s="79" t="s">
        <v>765</v>
      </c>
      <c r="K1168" s="78" t="s">
        <v>623</v>
      </c>
      <c r="L1168" s="77">
        <v>43442</v>
      </c>
      <c r="M1168" s="68"/>
      <c r="N1168" s="76"/>
      <c r="O1168" s="75" t="s">
        <v>3384</v>
      </c>
      <c r="R1168" s="74"/>
    </row>
    <row r="1169" spans="2:18" ht="36" hidden="1" customHeight="1" x14ac:dyDescent="0.25">
      <c r="B1169" s="84">
        <v>1827</v>
      </c>
      <c r="C1169" s="83" t="s">
        <v>40</v>
      </c>
      <c r="D1169" s="82" t="s">
        <v>3385</v>
      </c>
      <c r="E1169" s="81">
        <v>43430</v>
      </c>
      <c r="F1169" s="27">
        <f t="shared" ca="1" si="18"/>
        <v>1043</v>
      </c>
      <c r="G1169" s="79" t="s">
        <v>1074</v>
      </c>
      <c r="H1169" s="80"/>
      <c r="I1169" s="80"/>
      <c r="J1169" s="79" t="s">
        <v>765</v>
      </c>
      <c r="K1169" s="78" t="s">
        <v>623</v>
      </c>
      <c r="L1169" s="77">
        <v>43442</v>
      </c>
      <c r="M1169" s="68"/>
      <c r="N1169" s="76"/>
      <c r="O1169" s="75" t="s">
        <v>3386</v>
      </c>
      <c r="R1169" s="74"/>
    </row>
    <row r="1170" spans="2:18" ht="36" hidden="1" customHeight="1" x14ac:dyDescent="0.25">
      <c r="B1170" s="84">
        <v>1828</v>
      </c>
      <c r="C1170" s="83" t="s">
        <v>40</v>
      </c>
      <c r="D1170" s="82" t="s">
        <v>3591</v>
      </c>
      <c r="E1170" s="81">
        <v>43430</v>
      </c>
      <c r="F1170" s="27">
        <f t="shared" ca="1" si="18"/>
        <v>1043</v>
      </c>
      <c r="G1170" s="79"/>
      <c r="H1170" s="80"/>
      <c r="I1170" s="80"/>
      <c r="J1170" s="79" t="s">
        <v>1301</v>
      </c>
      <c r="K1170" s="78" t="s">
        <v>1301</v>
      </c>
      <c r="L1170" s="77">
        <v>43434</v>
      </c>
      <c r="M1170" s="68"/>
      <c r="N1170" s="76" t="s">
        <v>3592</v>
      </c>
      <c r="O1170" s="75" t="s">
        <v>3593</v>
      </c>
      <c r="R1170" s="74"/>
    </row>
    <row r="1171" spans="2:18" ht="36" hidden="1" customHeight="1" x14ac:dyDescent="0.25">
      <c r="B1171" s="84">
        <v>1819</v>
      </c>
      <c r="C1171" s="83" t="s">
        <v>31</v>
      </c>
      <c r="D1171" s="82" t="s">
        <v>1961</v>
      </c>
      <c r="E1171" s="81">
        <v>43431</v>
      </c>
      <c r="F1171" s="27">
        <f t="shared" ca="1" si="18"/>
        <v>1042</v>
      </c>
      <c r="G1171" s="79" t="s">
        <v>1957</v>
      </c>
      <c r="H1171" s="80"/>
      <c r="I1171" s="80"/>
      <c r="J1171" s="79" t="s">
        <v>579</v>
      </c>
      <c r="K1171" s="78" t="s">
        <v>623</v>
      </c>
      <c r="L1171" s="77">
        <v>43433</v>
      </c>
      <c r="M1171" s="68"/>
      <c r="N1171" s="76"/>
      <c r="O1171" s="75"/>
      <c r="R1171" s="74"/>
    </row>
    <row r="1172" spans="2:18" ht="36" hidden="1" customHeight="1" x14ac:dyDescent="0.25">
      <c r="B1172" s="84">
        <v>1819</v>
      </c>
      <c r="C1172" s="83" t="s">
        <v>12</v>
      </c>
      <c r="D1172" s="82" t="s">
        <v>1962</v>
      </c>
      <c r="E1172" s="81">
        <v>43431</v>
      </c>
      <c r="F1172" s="27">
        <f t="shared" ca="1" si="18"/>
        <v>1042</v>
      </c>
      <c r="G1172" s="79" t="s">
        <v>1957</v>
      </c>
      <c r="H1172" s="80"/>
      <c r="I1172" s="80"/>
      <c r="J1172" s="79" t="s">
        <v>579</v>
      </c>
      <c r="K1172" s="78" t="s">
        <v>623</v>
      </c>
      <c r="L1172" s="77">
        <v>43433</v>
      </c>
      <c r="M1172" s="68"/>
      <c r="N1172" s="76"/>
      <c r="O1172" s="75"/>
      <c r="R1172" s="74"/>
    </row>
    <row r="1173" spans="2:18" ht="36" hidden="1" customHeight="1" x14ac:dyDescent="0.25">
      <c r="B1173" s="84">
        <v>1823</v>
      </c>
      <c r="C1173" s="83" t="s">
        <v>17</v>
      </c>
      <c r="D1173" s="82" t="s">
        <v>2621</v>
      </c>
      <c r="E1173" s="81">
        <v>43432</v>
      </c>
      <c r="F1173" s="27">
        <f t="shared" ca="1" si="18"/>
        <v>1041</v>
      </c>
      <c r="G1173" s="79" t="s">
        <v>2155</v>
      </c>
      <c r="H1173" s="80"/>
      <c r="I1173" s="80"/>
      <c r="J1173" s="79" t="s">
        <v>765</v>
      </c>
      <c r="K1173" s="78" t="s">
        <v>623</v>
      </c>
      <c r="L1173" s="77">
        <v>43454</v>
      </c>
      <c r="M1173" s="68"/>
      <c r="N1173" s="76" t="s">
        <v>1964</v>
      </c>
      <c r="O1173" s="75" t="s">
        <v>2622</v>
      </c>
      <c r="R1173" s="74"/>
    </row>
    <row r="1174" spans="2:18" ht="36" hidden="1" customHeight="1" x14ac:dyDescent="0.25">
      <c r="B1174" s="84">
        <v>1816</v>
      </c>
      <c r="C1174" s="83" t="s">
        <v>22</v>
      </c>
      <c r="D1174" s="82" t="s">
        <v>1375</v>
      </c>
      <c r="E1174" s="81">
        <v>43433</v>
      </c>
      <c r="F1174" s="27">
        <f t="shared" ca="1" si="18"/>
        <v>1040</v>
      </c>
      <c r="G1174" s="79"/>
      <c r="H1174" s="80"/>
      <c r="I1174" s="80"/>
      <c r="J1174" s="79" t="s">
        <v>579</v>
      </c>
      <c r="K1174" s="78" t="s">
        <v>623</v>
      </c>
      <c r="L1174" s="77">
        <v>43439</v>
      </c>
      <c r="M1174" s="68"/>
      <c r="N1174" s="76"/>
      <c r="O1174" s="75" t="s">
        <v>1376</v>
      </c>
      <c r="R1174" s="74"/>
    </row>
    <row r="1175" spans="2:18" ht="36" hidden="1" customHeight="1" x14ac:dyDescent="0.25">
      <c r="B1175" s="84">
        <v>1827</v>
      </c>
      <c r="C1175" s="83" t="s">
        <v>23</v>
      </c>
      <c r="D1175" s="82" t="s">
        <v>3387</v>
      </c>
      <c r="E1175" s="81">
        <v>43433</v>
      </c>
      <c r="F1175" s="27">
        <f t="shared" ca="1" si="18"/>
        <v>1040</v>
      </c>
      <c r="G1175" s="79" t="s">
        <v>1074</v>
      </c>
      <c r="H1175" s="80"/>
      <c r="I1175" s="80"/>
      <c r="J1175" s="79" t="s">
        <v>765</v>
      </c>
      <c r="K1175" s="78" t="s">
        <v>623</v>
      </c>
      <c r="L1175" s="77">
        <v>43442</v>
      </c>
      <c r="M1175" s="68"/>
      <c r="N1175" s="76"/>
      <c r="O1175" s="75" t="s">
        <v>57</v>
      </c>
      <c r="R1175" s="74"/>
    </row>
    <row r="1176" spans="2:18" ht="36" hidden="1" customHeight="1" x14ac:dyDescent="0.25">
      <c r="B1176" s="84">
        <v>1830</v>
      </c>
      <c r="C1176" s="83" t="s">
        <v>40</v>
      </c>
      <c r="D1176" s="82" t="s">
        <v>3979</v>
      </c>
      <c r="E1176" s="81">
        <v>43433</v>
      </c>
      <c r="F1176" s="27">
        <f t="shared" ca="1" si="18"/>
        <v>1040</v>
      </c>
      <c r="G1176" s="79" t="s">
        <v>3075</v>
      </c>
      <c r="H1176" s="80"/>
      <c r="I1176" s="80"/>
      <c r="J1176" s="79" t="s">
        <v>579</v>
      </c>
      <c r="K1176" s="78" t="s">
        <v>623</v>
      </c>
      <c r="L1176" s="77">
        <v>43439</v>
      </c>
      <c r="M1176" s="68"/>
      <c r="N1176" s="76"/>
      <c r="O1176" s="75" t="s">
        <v>2113</v>
      </c>
      <c r="R1176" s="74"/>
    </row>
    <row r="1177" spans="2:18" ht="36" hidden="1" customHeight="1" x14ac:dyDescent="0.25">
      <c r="B1177" s="84">
        <v>1820</v>
      </c>
      <c r="C1177" s="83" t="s">
        <v>11</v>
      </c>
      <c r="D1177" s="82" t="s">
        <v>2152</v>
      </c>
      <c r="E1177" s="81">
        <v>43434</v>
      </c>
      <c r="F1177" s="27">
        <f t="shared" ca="1" si="18"/>
        <v>1039</v>
      </c>
      <c r="G1177" s="79" t="s">
        <v>2150</v>
      </c>
      <c r="H1177" s="80"/>
      <c r="I1177" s="80"/>
      <c r="J1177" s="79" t="s">
        <v>765</v>
      </c>
      <c r="K1177" s="78" t="s">
        <v>623</v>
      </c>
      <c r="L1177" s="77">
        <v>43439</v>
      </c>
      <c r="M1177" s="68"/>
      <c r="N1177" s="76"/>
      <c r="O1177" s="75" t="s">
        <v>2153</v>
      </c>
      <c r="R1177" s="74"/>
    </row>
    <row r="1178" spans="2:18" ht="36" hidden="1" customHeight="1" x14ac:dyDescent="0.25">
      <c r="B1178" s="84">
        <v>1828</v>
      </c>
      <c r="C1178" s="83" t="s">
        <v>37</v>
      </c>
      <c r="D1178" s="82" t="s">
        <v>3601</v>
      </c>
      <c r="E1178" s="81">
        <v>43434</v>
      </c>
      <c r="F1178" s="27">
        <f t="shared" ca="1" si="18"/>
        <v>1039</v>
      </c>
      <c r="G1178" s="79" t="s">
        <v>3075</v>
      </c>
      <c r="H1178" s="80"/>
      <c r="I1178" s="80"/>
      <c r="J1178" s="79" t="s">
        <v>579</v>
      </c>
      <c r="K1178" s="78" t="s">
        <v>623</v>
      </c>
      <c r="L1178" s="77">
        <v>43438</v>
      </c>
      <c r="M1178" s="68"/>
      <c r="N1178" s="76"/>
      <c r="O1178" s="75"/>
      <c r="R1178" s="74"/>
    </row>
    <row r="1179" spans="2:18" ht="36" hidden="1" customHeight="1" x14ac:dyDescent="0.25">
      <c r="B1179" s="84">
        <v>1828</v>
      </c>
      <c r="C1179" s="83" t="s">
        <v>20</v>
      </c>
      <c r="D1179" s="82" t="s">
        <v>3602</v>
      </c>
      <c r="E1179" s="81">
        <v>43437</v>
      </c>
      <c r="F1179" s="27">
        <f t="shared" ca="1" si="18"/>
        <v>1036</v>
      </c>
      <c r="G1179" s="79" t="s">
        <v>3075</v>
      </c>
      <c r="H1179" s="80"/>
      <c r="I1179" s="80"/>
      <c r="J1179" s="79" t="s">
        <v>579</v>
      </c>
      <c r="K1179" s="78" t="s">
        <v>623</v>
      </c>
      <c r="L1179" s="77">
        <v>43438</v>
      </c>
      <c r="M1179" s="68"/>
      <c r="N1179" s="76"/>
      <c r="O1179" s="75"/>
      <c r="R1179" s="74"/>
    </row>
    <row r="1180" spans="2:18" ht="36" hidden="1" customHeight="1" x14ac:dyDescent="0.25">
      <c r="B1180" s="84">
        <v>1641</v>
      </c>
      <c r="C1180" s="83" t="s">
        <v>23</v>
      </c>
      <c r="D1180" s="82" t="s">
        <v>654</v>
      </c>
      <c r="E1180" s="81">
        <v>43438</v>
      </c>
      <c r="F1180" s="27">
        <f t="shared" ca="1" si="18"/>
        <v>1035</v>
      </c>
      <c r="G1180" s="79" t="s">
        <v>655</v>
      </c>
      <c r="H1180" s="80"/>
      <c r="I1180" s="80"/>
      <c r="J1180" s="79" t="s">
        <v>592</v>
      </c>
      <c r="K1180" s="78" t="s">
        <v>580</v>
      </c>
      <c r="L1180" s="77">
        <v>43439</v>
      </c>
      <c r="M1180" s="68"/>
      <c r="N1180" s="76"/>
      <c r="O1180" s="75" t="s">
        <v>51</v>
      </c>
      <c r="R1180" s="74"/>
    </row>
    <row r="1181" spans="2:18" ht="36" hidden="1" customHeight="1" x14ac:dyDescent="0.25">
      <c r="B1181" s="84">
        <v>1641</v>
      </c>
      <c r="C1181" s="83" t="s">
        <v>40</v>
      </c>
      <c r="D1181" s="82" t="s">
        <v>656</v>
      </c>
      <c r="E1181" s="81">
        <v>43438</v>
      </c>
      <c r="F1181" s="27">
        <f t="shared" ca="1" si="18"/>
        <v>1035</v>
      </c>
      <c r="G1181" s="79"/>
      <c r="H1181" s="80"/>
      <c r="I1181" s="80"/>
      <c r="J1181" s="79" t="s">
        <v>592</v>
      </c>
      <c r="K1181" s="78" t="s">
        <v>580</v>
      </c>
      <c r="L1181" s="77">
        <v>43449</v>
      </c>
      <c r="M1181" s="68"/>
      <c r="N1181" s="76" t="s">
        <v>657</v>
      </c>
      <c r="O1181" s="75" t="s">
        <v>658</v>
      </c>
      <c r="R1181" s="74"/>
    </row>
    <row r="1182" spans="2:18" ht="36" hidden="1" customHeight="1" x14ac:dyDescent="0.25">
      <c r="B1182" s="84">
        <v>1641</v>
      </c>
      <c r="C1182" s="83" t="s">
        <v>40</v>
      </c>
      <c r="D1182" s="82" t="s">
        <v>659</v>
      </c>
      <c r="E1182" s="81">
        <v>43438</v>
      </c>
      <c r="F1182" s="27">
        <f t="shared" ca="1" si="18"/>
        <v>1035</v>
      </c>
      <c r="G1182" s="79"/>
      <c r="H1182" s="80"/>
      <c r="I1182" s="80"/>
      <c r="J1182" s="79" t="s">
        <v>592</v>
      </c>
      <c r="K1182" s="78" t="s">
        <v>580</v>
      </c>
      <c r="L1182" s="77">
        <v>43449</v>
      </c>
      <c r="M1182" s="68"/>
      <c r="N1182" s="76" t="s">
        <v>657</v>
      </c>
      <c r="O1182" s="75" t="s">
        <v>658</v>
      </c>
      <c r="R1182" s="74"/>
    </row>
    <row r="1183" spans="2:18" ht="36" hidden="1" customHeight="1" x14ac:dyDescent="0.25">
      <c r="B1183" s="84">
        <v>1823</v>
      </c>
      <c r="C1183" s="83" t="s">
        <v>11</v>
      </c>
      <c r="D1183" s="82" t="s">
        <v>2623</v>
      </c>
      <c r="E1183" s="81">
        <v>43438</v>
      </c>
      <c r="F1183" s="27">
        <f t="shared" ca="1" si="18"/>
        <v>1035</v>
      </c>
      <c r="G1183" s="79" t="s">
        <v>2155</v>
      </c>
      <c r="H1183" s="80"/>
      <c r="I1183" s="80"/>
      <c r="J1183" s="79" t="s">
        <v>765</v>
      </c>
      <c r="K1183" s="78" t="s">
        <v>623</v>
      </c>
      <c r="L1183" s="77">
        <v>43454</v>
      </c>
      <c r="M1183" s="68"/>
      <c r="N1183" s="76" t="s">
        <v>1964</v>
      </c>
      <c r="O1183" s="75" t="s">
        <v>2622</v>
      </c>
      <c r="R1183" s="74"/>
    </row>
    <row r="1184" spans="2:18" ht="36" hidden="1" customHeight="1" x14ac:dyDescent="0.25">
      <c r="B1184" s="84">
        <v>1826</v>
      </c>
      <c r="C1184" s="83" t="s">
        <v>23</v>
      </c>
      <c r="D1184" s="82" t="s">
        <v>3239</v>
      </c>
      <c r="E1184" s="81">
        <v>43438</v>
      </c>
      <c r="F1184" s="27">
        <f t="shared" ca="1" si="18"/>
        <v>1035</v>
      </c>
      <c r="G1184" s="79"/>
      <c r="H1184" s="80"/>
      <c r="I1184" s="80"/>
      <c r="J1184" s="79" t="s">
        <v>579</v>
      </c>
      <c r="K1184" s="78" t="s">
        <v>623</v>
      </c>
      <c r="L1184" s="77">
        <v>43449</v>
      </c>
      <c r="M1184" s="68"/>
      <c r="N1184" s="76" t="s">
        <v>657</v>
      </c>
      <c r="O1184" s="75" t="s">
        <v>3240</v>
      </c>
      <c r="R1184" s="74"/>
    </row>
    <row r="1185" spans="2:18" ht="36" hidden="1" customHeight="1" x14ac:dyDescent="0.25">
      <c r="B1185" s="84">
        <v>1816</v>
      </c>
      <c r="C1185" s="83" t="s">
        <v>16</v>
      </c>
      <c r="D1185" s="82" t="s">
        <v>1377</v>
      </c>
      <c r="E1185" s="81">
        <v>43439</v>
      </c>
      <c r="F1185" s="27">
        <f t="shared" ca="1" si="18"/>
        <v>1034</v>
      </c>
      <c r="G1185" s="79"/>
      <c r="H1185" s="80"/>
      <c r="I1185" s="80"/>
      <c r="J1185" s="79" t="s">
        <v>579</v>
      </c>
      <c r="K1185" s="78" t="s">
        <v>623</v>
      </c>
      <c r="L1185" s="77">
        <v>43439</v>
      </c>
      <c r="M1185" s="68"/>
      <c r="N1185" s="76"/>
      <c r="O1185" s="75" t="s">
        <v>1378</v>
      </c>
      <c r="R1185" s="74"/>
    </row>
    <row r="1186" spans="2:18" ht="36" hidden="1" customHeight="1" x14ac:dyDescent="0.25">
      <c r="B1186" s="84">
        <v>1827</v>
      </c>
      <c r="C1186" s="83" t="s">
        <v>23</v>
      </c>
      <c r="D1186" s="82" t="s">
        <v>53</v>
      </c>
      <c r="E1186" s="81">
        <v>43439</v>
      </c>
      <c r="F1186" s="27">
        <f t="shared" ca="1" si="18"/>
        <v>1034</v>
      </c>
      <c r="G1186" s="79" t="s">
        <v>1074</v>
      </c>
      <c r="H1186" s="80"/>
      <c r="I1186" s="80"/>
      <c r="J1186" s="79" t="s">
        <v>765</v>
      </c>
      <c r="K1186" s="78" t="s">
        <v>623</v>
      </c>
      <c r="L1186" s="77">
        <v>43442</v>
      </c>
      <c r="M1186" s="68"/>
      <c r="N1186" s="76"/>
      <c r="O1186" s="75" t="s">
        <v>57</v>
      </c>
      <c r="R1186" s="74"/>
    </row>
    <row r="1187" spans="2:18" ht="36" hidden="1" customHeight="1" x14ac:dyDescent="0.25">
      <c r="B1187" s="84">
        <v>1641</v>
      </c>
      <c r="C1187" s="83" t="s">
        <v>24</v>
      </c>
      <c r="D1187" s="82" t="s">
        <v>660</v>
      </c>
      <c r="E1187" s="81">
        <v>43440</v>
      </c>
      <c r="F1187" s="27">
        <f t="shared" ca="1" si="18"/>
        <v>1033</v>
      </c>
      <c r="G1187" s="79"/>
      <c r="H1187" s="80"/>
      <c r="I1187" s="80"/>
      <c r="J1187" s="79" t="s">
        <v>592</v>
      </c>
      <c r="K1187" s="78" t="s">
        <v>580</v>
      </c>
      <c r="L1187" s="77">
        <v>43449</v>
      </c>
      <c r="M1187" s="68"/>
      <c r="N1187" s="76" t="s">
        <v>657</v>
      </c>
      <c r="O1187" s="75" t="s">
        <v>658</v>
      </c>
      <c r="R1187" s="74"/>
    </row>
    <row r="1188" spans="2:18" ht="36" hidden="1" customHeight="1" x14ac:dyDescent="0.25">
      <c r="B1188" s="84">
        <v>1827</v>
      </c>
      <c r="C1188" s="83" t="s">
        <v>15</v>
      </c>
      <c r="D1188" s="82" t="s">
        <v>3388</v>
      </c>
      <c r="E1188" s="81">
        <v>43440</v>
      </c>
      <c r="F1188" s="27">
        <f t="shared" ca="1" si="18"/>
        <v>1033</v>
      </c>
      <c r="G1188" s="79" t="s">
        <v>1074</v>
      </c>
      <c r="H1188" s="80"/>
      <c r="I1188" s="80"/>
      <c r="J1188" s="79" t="s">
        <v>765</v>
      </c>
      <c r="K1188" s="78" t="s">
        <v>623</v>
      </c>
      <c r="L1188" s="77">
        <v>43442</v>
      </c>
      <c r="M1188" s="68"/>
      <c r="N1188" s="76"/>
      <c r="O1188" s="75" t="s">
        <v>3389</v>
      </c>
      <c r="R1188" s="74"/>
    </row>
    <row r="1189" spans="2:18" ht="36" hidden="1" customHeight="1" x14ac:dyDescent="0.25">
      <c r="B1189" s="84">
        <v>1829</v>
      </c>
      <c r="C1189" s="83" t="s">
        <v>20</v>
      </c>
      <c r="D1189" s="82" t="s">
        <v>3798</v>
      </c>
      <c r="E1189" s="81">
        <v>43440</v>
      </c>
      <c r="F1189" s="27">
        <f t="shared" ca="1" si="18"/>
        <v>1033</v>
      </c>
      <c r="G1189" s="79" t="s">
        <v>3799</v>
      </c>
      <c r="H1189" s="80"/>
      <c r="I1189" s="80"/>
      <c r="J1189" s="79" t="s">
        <v>1301</v>
      </c>
      <c r="K1189" s="78" t="s">
        <v>1301</v>
      </c>
      <c r="L1189" s="77">
        <v>43440</v>
      </c>
      <c r="M1189" s="68"/>
      <c r="N1189" s="76"/>
      <c r="O1189" s="75" t="s">
        <v>3800</v>
      </c>
      <c r="R1189" s="74"/>
    </row>
    <row r="1190" spans="2:18" ht="36" hidden="1" customHeight="1" x14ac:dyDescent="0.25">
      <c r="B1190" s="84">
        <v>1819</v>
      </c>
      <c r="C1190" s="83" t="s">
        <v>12</v>
      </c>
      <c r="D1190" s="82" t="s">
        <v>1963</v>
      </c>
      <c r="E1190" s="81">
        <v>43441</v>
      </c>
      <c r="F1190" s="27">
        <f t="shared" ca="1" si="18"/>
        <v>1032</v>
      </c>
      <c r="G1190" s="79" t="s">
        <v>1301</v>
      </c>
      <c r="H1190" s="80"/>
      <c r="I1190" s="80"/>
      <c r="J1190" s="79" t="s">
        <v>1301</v>
      </c>
      <c r="K1190" s="78" t="s">
        <v>1301</v>
      </c>
      <c r="L1190" s="77">
        <v>43442</v>
      </c>
      <c r="M1190" s="68"/>
      <c r="N1190" s="76" t="s">
        <v>1964</v>
      </c>
      <c r="O1190" s="75" t="s">
        <v>1965</v>
      </c>
      <c r="R1190" s="74"/>
    </row>
    <row r="1191" spans="2:18" ht="36" hidden="1" customHeight="1" x14ac:dyDescent="0.25">
      <c r="B1191" s="84">
        <v>1829</v>
      </c>
      <c r="C1191" s="83" t="s">
        <v>11</v>
      </c>
      <c r="D1191" s="82" t="s">
        <v>3801</v>
      </c>
      <c r="E1191" s="81">
        <v>43441</v>
      </c>
      <c r="F1191" s="27">
        <f t="shared" ca="1" si="18"/>
        <v>1032</v>
      </c>
      <c r="G1191" s="79" t="s">
        <v>2155</v>
      </c>
      <c r="H1191" s="80"/>
      <c r="I1191" s="80"/>
      <c r="J1191" s="79" t="s">
        <v>765</v>
      </c>
      <c r="K1191" s="78" t="s">
        <v>623</v>
      </c>
      <c r="L1191" s="77">
        <v>43455</v>
      </c>
      <c r="M1191" s="68"/>
      <c r="N1191" s="76" t="s">
        <v>3608</v>
      </c>
      <c r="O1191" s="75" t="s">
        <v>3802</v>
      </c>
      <c r="R1191" s="74"/>
    </row>
    <row r="1192" spans="2:18" ht="36" hidden="1" customHeight="1" x14ac:dyDescent="0.25">
      <c r="B1192" s="84">
        <v>1817</v>
      </c>
      <c r="C1192" s="83" t="s">
        <v>20</v>
      </c>
      <c r="D1192" s="82" t="s">
        <v>1581</v>
      </c>
      <c r="E1192" s="81">
        <v>43442</v>
      </c>
      <c r="F1192" s="27">
        <f t="shared" ca="1" si="18"/>
        <v>1031</v>
      </c>
      <c r="G1192" s="79"/>
      <c r="H1192" s="80"/>
      <c r="I1192" s="80"/>
      <c r="J1192" s="79"/>
      <c r="K1192" s="78"/>
      <c r="L1192" s="77">
        <v>43416</v>
      </c>
      <c r="M1192" s="68"/>
      <c r="N1192" s="76"/>
      <c r="O1192" s="75" t="s">
        <v>1582</v>
      </c>
      <c r="R1192" s="74"/>
    </row>
    <row r="1193" spans="2:18" ht="36" hidden="1" customHeight="1" x14ac:dyDescent="0.25">
      <c r="B1193" s="84">
        <v>1817</v>
      </c>
      <c r="C1193" s="83" t="s">
        <v>33</v>
      </c>
      <c r="D1193" s="82" t="s">
        <v>1590</v>
      </c>
      <c r="E1193" s="81">
        <v>43442</v>
      </c>
      <c r="F1193" s="27">
        <f t="shared" ca="1" si="18"/>
        <v>1031</v>
      </c>
      <c r="G1193" s="79"/>
      <c r="H1193" s="80"/>
      <c r="I1193" s="80"/>
      <c r="J1193" s="79"/>
      <c r="K1193" s="78"/>
      <c r="L1193" s="77">
        <v>43445</v>
      </c>
      <c r="M1193" s="68"/>
      <c r="N1193" s="76"/>
      <c r="O1193" s="75" t="s">
        <v>1591</v>
      </c>
      <c r="R1193" s="74"/>
    </row>
    <row r="1194" spans="2:18" ht="36" hidden="1" customHeight="1" x14ac:dyDescent="0.25">
      <c r="B1194" s="84">
        <v>1817</v>
      </c>
      <c r="C1194" s="83" t="s">
        <v>20</v>
      </c>
      <c r="D1194" s="82" t="s">
        <v>1581</v>
      </c>
      <c r="E1194" s="81">
        <v>43442</v>
      </c>
      <c r="F1194" s="27">
        <f t="shared" ca="1" si="18"/>
        <v>1031</v>
      </c>
      <c r="G1194" s="79"/>
      <c r="H1194" s="80"/>
      <c r="I1194" s="80"/>
      <c r="J1194" s="79"/>
      <c r="K1194" s="78"/>
      <c r="L1194" s="77">
        <v>43445</v>
      </c>
      <c r="M1194" s="68"/>
      <c r="N1194" s="76"/>
      <c r="O1194" s="75" t="s">
        <v>1592</v>
      </c>
      <c r="R1194" s="74"/>
    </row>
    <row r="1195" spans="2:18" ht="36" hidden="1" customHeight="1" x14ac:dyDescent="0.25">
      <c r="B1195" s="84">
        <v>1822</v>
      </c>
      <c r="C1195" s="83" t="s">
        <v>40</v>
      </c>
      <c r="D1195" s="82" t="s">
        <v>2455</v>
      </c>
      <c r="E1195" s="81">
        <v>43444</v>
      </c>
      <c r="F1195" s="27">
        <f t="shared" ca="1" si="18"/>
        <v>1029</v>
      </c>
      <c r="G1195" s="79"/>
      <c r="H1195" s="80"/>
      <c r="I1195" s="80"/>
      <c r="J1195" s="79"/>
      <c r="K1195" s="78"/>
      <c r="L1195" s="77">
        <v>43444</v>
      </c>
      <c r="M1195" s="68"/>
      <c r="N1195" s="76" t="s">
        <v>2456</v>
      </c>
      <c r="O1195" s="75" t="s">
        <v>2457</v>
      </c>
      <c r="R1195" s="74"/>
    </row>
    <row r="1196" spans="2:18" ht="36" hidden="1" customHeight="1" x14ac:dyDescent="0.25">
      <c r="B1196" s="84">
        <v>1822</v>
      </c>
      <c r="C1196" s="83" t="s">
        <v>17</v>
      </c>
      <c r="D1196" s="82" t="s">
        <v>2458</v>
      </c>
      <c r="E1196" s="81">
        <v>43444</v>
      </c>
      <c r="F1196" s="27">
        <f t="shared" ca="1" si="18"/>
        <v>1029</v>
      </c>
      <c r="G1196" s="79"/>
      <c r="H1196" s="80"/>
      <c r="I1196" s="80"/>
      <c r="J1196" s="79"/>
      <c r="K1196" s="78"/>
      <c r="L1196" s="77">
        <v>43444</v>
      </c>
      <c r="M1196" s="68"/>
      <c r="N1196" s="76"/>
      <c r="O1196" s="75" t="s">
        <v>716</v>
      </c>
      <c r="R1196" s="74"/>
    </row>
    <row r="1197" spans="2:18" ht="36" hidden="1" customHeight="1" x14ac:dyDescent="0.25">
      <c r="B1197" s="84">
        <v>1822</v>
      </c>
      <c r="C1197" s="83" t="s">
        <v>15</v>
      </c>
      <c r="D1197" s="82" t="s">
        <v>1956</v>
      </c>
      <c r="E1197" s="81">
        <v>43444</v>
      </c>
      <c r="F1197" s="27">
        <f t="shared" ca="1" si="18"/>
        <v>1029</v>
      </c>
      <c r="G1197" s="79"/>
      <c r="H1197" s="80"/>
      <c r="I1197" s="80"/>
      <c r="J1197" s="79"/>
      <c r="K1197" s="78"/>
      <c r="L1197" s="77">
        <v>43444</v>
      </c>
      <c r="M1197" s="68"/>
      <c r="N1197" s="76"/>
      <c r="O1197" s="75" t="s">
        <v>2459</v>
      </c>
      <c r="R1197" s="74"/>
    </row>
    <row r="1198" spans="2:18" ht="36" hidden="1" customHeight="1" x14ac:dyDescent="0.25">
      <c r="B1198" s="84">
        <v>1825</v>
      </c>
      <c r="C1198" s="83" t="s">
        <v>24</v>
      </c>
      <c r="D1198" s="82" t="s">
        <v>3087</v>
      </c>
      <c r="E1198" s="81">
        <v>43444</v>
      </c>
      <c r="F1198" s="27">
        <f t="shared" ca="1" si="18"/>
        <v>1029</v>
      </c>
      <c r="G1198" s="79" t="s">
        <v>2155</v>
      </c>
      <c r="H1198" s="80"/>
      <c r="I1198" s="80"/>
      <c r="J1198" s="79" t="s">
        <v>765</v>
      </c>
      <c r="K1198" s="78" t="s">
        <v>623</v>
      </c>
      <c r="L1198" s="77">
        <v>43453</v>
      </c>
      <c r="M1198" s="68"/>
      <c r="N1198" s="76" t="s">
        <v>1964</v>
      </c>
      <c r="O1198" s="75" t="s">
        <v>3088</v>
      </c>
      <c r="R1198" s="74"/>
    </row>
    <row r="1199" spans="2:18" ht="36" hidden="1" customHeight="1" x14ac:dyDescent="0.25">
      <c r="B1199" s="84">
        <v>1830</v>
      </c>
      <c r="C1199" s="83" t="s">
        <v>19</v>
      </c>
      <c r="D1199" s="82" t="s">
        <v>3980</v>
      </c>
      <c r="E1199" s="81">
        <v>43444</v>
      </c>
      <c r="F1199" s="27">
        <f t="shared" ca="1" si="18"/>
        <v>1029</v>
      </c>
      <c r="G1199" s="79" t="s">
        <v>603</v>
      </c>
      <c r="H1199" s="80"/>
      <c r="I1199" s="80"/>
      <c r="J1199" s="79" t="s">
        <v>765</v>
      </c>
      <c r="K1199" s="78" t="s">
        <v>623</v>
      </c>
      <c r="L1199" s="77">
        <v>43444</v>
      </c>
      <c r="M1199" s="68"/>
      <c r="N1199" s="76"/>
      <c r="O1199" s="75" t="s">
        <v>1255</v>
      </c>
      <c r="R1199" s="74"/>
    </row>
    <row r="1200" spans="2:18" ht="36" hidden="1" customHeight="1" x14ac:dyDescent="0.25">
      <c r="B1200" s="84">
        <v>1830</v>
      </c>
      <c r="C1200" s="83" t="s">
        <v>31</v>
      </c>
      <c r="D1200" s="82" t="s">
        <v>3981</v>
      </c>
      <c r="E1200" s="81">
        <v>43444</v>
      </c>
      <c r="F1200" s="27">
        <f t="shared" ca="1" si="18"/>
        <v>1029</v>
      </c>
      <c r="G1200" s="79" t="s">
        <v>2552</v>
      </c>
      <c r="H1200" s="80"/>
      <c r="I1200" s="80"/>
      <c r="J1200" s="79"/>
      <c r="K1200" s="78"/>
      <c r="L1200" s="77">
        <v>43444</v>
      </c>
      <c r="M1200" s="68"/>
      <c r="N1200" s="76" t="s">
        <v>3982</v>
      </c>
      <c r="O1200" s="75" t="s">
        <v>3983</v>
      </c>
      <c r="R1200" s="74"/>
    </row>
    <row r="1201" spans="2:18" ht="36" hidden="1" customHeight="1" x14ac:dyDescent="0.25">
      <c r="B1201" s="84">
        <v>1820</v>
      </c>
      <c r="C1201" s="83" t="s">
        <v>23</v>
      </c>
      <c r="D1201" s="82" t="s">
        <v>2154</v>
      </c>
      <c r="E1201" s="81">
        <v>43445</v>
      </c>
      <c r="F1201" s="27">
        <f t="shared" ca="1" si="18"/>
        <v>1028</v>
      </c>
      <c r="G1201" s="79" t="s">
        <v>2155</v>
      </c>
      <c r="H1201" s="80"/>
      <c r="I1201" s="80"/>
      <c r="J1201" s="79" t="s">
        <v>765</v>
      </c>
      <c r="K1201" s="78" t="s">
        <v>623</v>
      </c>
      <c r="L1201" s="77">
        <v>43469</v>
      </c>
      <c r="M1201" s="68"/>
      <c r="N1201" s="76"/>
      <c r="O1201" s="75" t="s">
        <v>2156</v>
      </c>
      <c r="R1201" s="74"/>
    </row>
    <row r="1202" spans="2:18" ht="36" hidden="1" customHeight="1" x14ac:dyDescent="0.25">
      <c r="B1202" s="84">
        <v>1821</v>
      </c>
      <c r="C1202" s="83" t="s">
        <v>21</v>
      </c>
      <c r="D1202" s="82" t="s">
        <v>2326</v>
      </c>
      <c r="E1202" s="81">
        <v>43445</v>
      </c>
      <c r="F1202" s="27">
        <f t="shared" ca="1" si="18"/>
        <v>1028</v>
      </c>
      <c r="G1202" s="79"/>
      <c r="H1202" s="80"/>
      <c r="I1202" s="80"/>
      <c r="J1202" s="79"/>
      <c r="K1202" s="78"/>
      <c r="L1202" s="77">
        <v>43451</v>
      </c>
      <c r="M1202" s="68"/>
      <c r="N1202" s="76" t="s">
        <v>2322</v>
      </c>
      <c r="O1202" s="75" t="s">
        <v>2327</v>
      </c>
      <c r="R1202" s="74"/>
    </row>
    <row r="1203" spans="2:18" ht="36" hidden="1" customHeight="1" x14ac:dyDescent="0.25">
      <c r="B1203" s="84">
        <v>1827</v>
      </c>
      <c r="C1203" s="83" t="s">
        <v>23</v>
      </c>
      <c r="D1203" s="82" t="s">
        <v>53</v>
      </c>
      <c r="E1203" s="81">
        <v>43445</v>
      </c>
      <c r="F1203" s="27">
        <f t="shared" ca="1" si="18"/>
        <v>1028</v>
      </c>
      <c r="G1203" s="79"/>
      <c r="H1203" s="80"/>
      <c r="I1203" s="80"/>
      <c r="J1203" s="79" t="s">
        <v>579</v>
      </c>
      <c r="K1203" s="78" t="s">
        <v>623</v>
      </c>
      <c r="L1203" s="77">
        <v>43452</v>
      </c>
      <c r="M1203" s="68"/>
      <c r="N1203" s="76"/>
      <c r="O1203" s="75" t="s">
        <v>3390</v>
      </c>
      <c r="R1203" s="74"/>
    </row>
    <row r="1204" spans="2:18" ht="36" hidden="1" customHeight="1" x14ac:dyDescent="0.25">
      <c r="B1204" s="84">
        <v>1827</v>
      </c>
      <c r="C1204" s="83" t="s">
        <v>23</v>
      </c>
      <c r="D1204" s="82" t="s">
        <v>514</v>
      </c>
      <c r="E1204" s="81">
        <v>43445</v>
      </c>
      <c r="F1204" s="27">
        <f t="shared" ca="1" si="18"/>
        <v>1028</v>
      </c>
      <c r="G1204" s="79"/>
      <c r="H1204" s="80"/>
      <c r="I1204" s="80"/>
      <c r="J1204" s="79" t="s">
        <v>579</v>
      </c>
      <c r="K1204" s="78" t="s">
        <v>623</v>
      </c>
      <c r="L1204" s="77">
        <v>43452</v>
      </c>
      <c r="M1204" s="68"/>
      <c r="N1204" s="76"/>
      <c r="O1204" s="75" t="s">
        <v>3390</v>
      </c>
      <c r="R1204" s="74"/>
    </row>
    <row r="1205" spans="2:18" ht="36" hidden="1" customHeight="1" x14ac:dyDescent="0.25">
      <c r="B1205" s="84">
        <v>1828</v>
      </c>
      <c r="C1205" s="83" t="s">
        <v>23</v>
      </c>
      <c r="D1205" s="82" t="s">
        <v>1638</v>
      </c>
      <c r="E1205" s="81">
        <v>43445</v>
      </c>
      <c r="F1205" s="27">
        <f t="shared" ca="1" si="18"/>
        <v>1028</v>
      </c>
      <c r="G1205" s="79"/>
      <c r="H1205" s="80"/>
      <c r="I1205" s="80"/>
      <c r="J1205" s="79"/>
      <c r="K1205" s="78"/>
      <c r="L1205" s="77">
        <v>43453</v>
      </c>
      <c r="M1205" s="68"/>
      <c r="N1205" s="76"/>
      <c r="O1205" s="75" t="s">
        <v>3603</v>
      </c>
      <c r="R1205" s="74"/>
    </row>
    <row r="1206" spans="2:18" ht="36" hidden="1" customHeight="1" x14ac:dyDescent="0.25">
      <c r="B1206" s="84">
        <v>1645</v>
      </c>
      <c r="C1206" s="83" t="s">
        <v>23</v>
      </c>
      <c r="D1206" s="82" t="s">
        <v>1051</v>
      </c>
      <c r="E1206" s="81">
        <v>43446</v>
      </c>
      <c r="F1206" s="27">
        <f t="shared" ca="1" si="18"/>
        <v>1027</v>
      </c>
      <c r="G1206" s="79"/>
      <c r="H1206" s="80"/>
      <c r="I1206" s="80"/>
      <c r="J1206" s="79" t="s">
        <v>592</v>
      </c>
      <c r="K1206" s="78" t="s">
        <v>623</v>
      </c>
      <c r="L1206" s="77">
        <v>43449</v>
      </c>
      <c r="M1206" s="68"/>
      <c r="N1206" s="76" t="s">
        <v>657</v>
      </c>
      <c r="O1206" s="75" t="s">
        <v>1052</v>
      </c>
      <c r="R1206" s="74"/>
    </row>
    <row r="1207" spans="2:18" ht="36" hidden="1" customHeight="1" x14ac:dyDescent="0.25">
      <c r="B1207" s="84">
        <v>1647</v>
      </c>
      <c r="C1207" s="83" t="s">
        <v>40</v>
      </c>
      <c r="D1207" s="82" t="s">
        <v>1204</v>
      </c>
      <c r="E1207" s="81">
        <v>43447</v>
      </c>
      <c r="F1207" s="27">
        <f t="shared" ca="1" si="18"/>
        <v>1026</v>
      </c>
      <c r="G1207" s="79"/>
      <c r="H1207" s="80"/>
      <c r="I1207" s="80"/>
      <c r="J1207" s="79" t="s">
        <v>592</v>
      </c>
      <c r="K1207" s="78" t="s">
        <v>580</v>
      </c>
      <c r="L1207" s="77">
        <v>43479</v>
      </c>
      <c r="M1207" s="68"/>
      <c r="N1207" s="76"/>
      <c r="O1207" s="75" t="s">
        <v>1205</v>
      </c>
      <c r="R1207" s="74"/>
    </row>
    <row r="1208" spans="2:18" ht="36" hidden="1" customHeight="1" x14ac:dyDescent="0.25">
      <c r="B1208" s="84">
        <v>1828</v>
      </c>
      <c r="C1208" s="83" t="s">
        <v>23</v>
      </c>
      <c r="D1208" s="82" t="s">
        <v>3604</v>
      </c>
      <c r="E1208" s="81">
        <v>43447</v>
      </c>
      <c r="F1208" s="27">
        <f t="shared" ca="1" si="18"/>
        <v>1026</v>
      </c>
      <c r="G1208" s="79"/>
      <c r="H1208" s="80"/>
      <c r="I1208" s="80"/>
      <c r="J1208" s="79"/>
      <c r="K1208" s="78"/>
      <c r="L1208" s="77">
        <v>43453</v>
      </c>
      <c r="M1208" s="68"/>
      <c r="N1208" s="76"/>
      <c r="O1208" s="75" t="s">
        <v>3605</v>
      </c>
      <c r="R1208" s="74"/>
    </row>
    <row r="1209" spans="2:18" ht="36" hidden="1" customHeight="1" x14ac:dyDescent="0.25">
      <c r="B1209" s="84">
        <v>1641</v>
      </c>
      <c r="C1209" s="83" t="s">
        <v>60</v>
      </c>
      <c r="D1209" s="82" t="s">
        <v>663</v>
      </c>
      <c r="E1209" s="81">
        <v>43448</v>
      </c>
      <c r="F1209" s="27">
        <f t="shared" ca="1" si="18"/>
        <v>1025</v>
      </c>
      <c r="G1209" s="79"/>
      <c r="H1209" s="80"/>
      <c r="I1209" s="80"/>
      <c r="J1209" s="79" t="s">
        <v>592</v>
      </c>
      <c r="K1209" s="78" t="s">
        <v>580</v>
      </c>
      <c r="L1209" s="77">
        <v>43504</v>
      </c>
      <c r="M1209" s="68"/>
      <c r="N1209" s="76" t="s">
        <v>664</v>
      </c>
      <c r="O1209" s="75"/>
      <c r="R1209" s="74"/>
    </row>
    <row r="1210" spans="2:18" ht="36" hidden="1" customHeight="1" x14ac:dyDescent="0.25">
      <c r="B1210" s="84">
        <v>1823</v>
      </c>
      <c r="C1210" s="83" t="s">
        <v>23</v>
      </c>
      <c r="D1210" s="82" t="s">
        <v>2624</v>
      </c>
      <c r="E1210" s="81">
        <v>43448</v>
      </c>
      <c r="F1210" s="27">
        <f t="shared" ca="1" si="18"/>
        <v>1025</v>
      </c>
      <c r="G1210" s="79" t="s">
        <v>2155</v>
      </c>
      <c r="H1210" s="80"/>
      <c r="I1210" s="80"/>
      <c r="J1210" s="79" t="s">
        <v>765</v>
      </c>
      <c r="K1210" s="78" t="s">
        <v>623</v>
      </c>
      <c r="L1210" s="77">
        <v>43454</v>
      </c>
      <c r="M1210" s="68"/>
      <c r="N1210" s="76" t="s">
        <v>1964</v>
      </c>
      <c r="O1210" s="75" t="s">
        <v>2625</v>
      </c>
      <c r="R1210" s="74"/>
    </row>
    <row r="1211" spans="2:18" ht="36" hidden="1" customHeight="1" x14ac:dyDescent="0.25">
      <c r="B1211" s="84">
        <v>1827</v>
      </c>
      <c r="C1211" s="83" t="s">
        <v>23</v>
      </c>
      <c r="D1211" s="82" t="s">
        <v>3391</v>
      </c>
      <c r="E1211" s="81">
        <v>43448</v>
      </c>
      <c r="F1211" s="27">
        <f t="shared" ca="1" si="18"/>
        <v>1025</v>
      </c>
      <c r="G1211" s="79" t="s">
        <v>2155</v>
      </c>
      <c r="H1211" s="80"/>
      <c r="I1211" s="80"/>
      <c r="J1211" s="79" t="s">
        <v>765</v>
      </c>
      <c r="K1211" s="78" t="s">
        <v>623</v>
      </c>
      <c r="L1211" s="77">
        <v>43452</v>
      </c>
      <c r="M1211" s="68"/>
      <c r="N1211" s="76" t="s">
        <v>892</v>
      </c>
      <c r="O1211" s="75" t="s">
        <v>3390</v>
      </c>
      <c r="R1211" s="74"/>
    </row>
    <row r="1212" spans="2:18" ht="36" hidden="1" customHeight="1" x14ac:dyDescent="0.25">
      <c r="B1212" s="84">
        <v>1829</v>
      </c>
      <c r="C1212" s="83" t="s">
        <v>40</v>
      </c>
      <c r="D1212" s="82" t="s">
        <v>3803</v>
      </c>
      <c r="E1212" s="81">
        <v>43448</v>
      </c>
      <c r="F1212" s="27">
        <f t="shared" ca="1" si="18"/>
        <v>1025</v>
      </c>
      <c r="G1212" s="79" t="s">
        <v>2155</v>
      </c>
      <c r="H1212" s="80"/>
      <c r="I1212" s="80"/>
      <c r="J1212" s="79" t="s">
        <v>765</v>
      </c>
      <c r="K1212" s="78" t="s">
        <v>623</v>
      </c>
      <c r="L1212" s="77">
        <v>43455</v>
      </c>
      <c r="M1212" s="68"/>
      <c r="N1212" s="76" t="s">
        <v>3608</v>
      </c>
      <c r="O1212" s="75" t="s">
        <v>3802</v>
      </c>
      <c r="R1212" s="74"/>
    </row>
    <row r="1213" spans="2:18" ht="36" hidden="1" customHeight="1" x14ac:dyDescent="0.25">
      <c r="B1213" s="84">
        <v>1823</v>
      </c>
      <c r="C1213" s="83" t="s">
        <v>23</v>
      </c>
      <c r="D1213" s="82" t="s">
        <v>2626</v>
      </c>
      <c r="E1213" s="81">
        <v>43451</v>
      </c>
      <c r="F1213" s="27">
        <f t="shared" ca="1" si="18"/>
        <v>1022</v>
      </c>
      <c r="G1213" s="79" t="s">
        <v>2155</v>
      </c>
      <c r="H1213" s="80"/>
      <c r="I1213" s="80"/>
      <c r="J1213" s="79" t="s">
        <v>765</v>
      </c>
      <c r="K1213" s="78" t="s">
        <v>623</v>
      </c>
      <c r="L1213" s="77">
        <v>43454</v>
      </c>
      <c r="M1213" s="68"/>
      <c r="N1213" s="76" t="s">
        <v>1964</v>
      </c>
      <c r="O1213" s="75" t="s">
        <v>2627</v>
      </c>
      <c r="R1213" s="74"/>
    </row>
    <row r="1214" spans="2:18" ht="36" hidden="1" customHeight="1" x14ac:dyDescent="0.25">
      <c r="B1214" s="84">
        <v>1829</v>
      </c>
      <c r="C1214" s="83" t="s">
        <v>11</v>
      </c>
      <c r="D1214" s="82" t="s">
        <v>3804</v>
      </c>
      <c r="E1214" s="81">
        <v>43451</v>
      </c>
      <c r="F1214" s="27">
        <f t="shared" ca="1" si="18"/>
        <v>1022</v>
      </c>
      <c r="G1214" s="79" t="s">
        <v>2155</v>
      </c>
      <c r="H1214" s="80"/>
      <c r="I1214" s="80"/>
      <c r="J1214" s="79" t="s">
        <v>765</v>
      </c>
      <c r="K1214" s="78" t="s">
        <v>623</v>
      </c>
      <c r="L1214" s="77">
        <v>43455</v>
      </c>
      <c r="M1214" s="68"/>
      <c r="N1214" s="76" t="s">
        <v>3608</v>
      </c>
      <c r="O1214" s="75" t="s">
        <v>3802</v>
      </c>
      <c r="R1214" s="74"/>
    </row>
    <row r="1215" spans="2:18" ht="36" hidden="1" customHeight="1" x14ac:dyDescent="0.25">
      <c r="B1215" s="84">
        <v>1828</v>
      </c>
      <c r="C1215" s="83" t="s">
        <v>27</v>
      </c>
      <c r="D1215" s="82" t="s">
        <v>3606</v>
      </c>
      <c r="E1215" s="81">
        <v>43452</v>
      </c>
      <c r="F1215" s="27">
        <f t="shared" ca="1" si="18"/>
        <v>1021</v>
      </c>
      <c r="G1215" s="79"/>
      <c r="H1215" s="80"/>
      <c r="I1215" s="80"/>
      <c r="J1215" s="79"/>
      <c r="K1215" s="78"/>
      <c r="L1215" s="77">
        <v>43453</v>
      </c>
      <c r="M1215" s="68"/>
      <c r="N1215" s="76"/>
      <c r="O1215" s="75" t="s">
        <v>3603</v>
      </c>
      <c r="R1215" s="74"/>
    </row>
    <row r="1216" spans="2:18" ht="36" hidden="1" customHeight="1" x14ac:dyDescent="0.25">
      <c r="B1216" s="84">
        <v>1823</v>
      </c>
      <c r="C1216" s="83" t="s">
        <v>40</v>
      </c>
      <c r="D1216" s="82" t="s">
        <v>2628</v>
      </c>
      <c r="E1216" s="81">
        <v>43453</v>
      </c>
      <c r="F1216" s="27">
        <f t="shared" ca="1" si="18"/>
        <v>1020</v>
      </c>
      <c r="G1216" s="79" t="s">
        <v>2155</v>
      </c>
      <c r="H1216" s="80"/>
      <c r="I1216" s="80"/>
      <c r="J1216" s="79" t="s">
        <v>765</v>
      </c>
      <c r="K1216" s="78" t="s">
        <v>623</v>
      </c>
      <c r="L1216" s="77">
        <v>43454</v>
      </c>
      <c r="M1216" s="68"/>
      <c r="N1216" s="76" t="s">
        <v>1964</v>
      </c>
      <c r="O1216" s="75" t="s">
        <v>2622</v>
      </c>
      <c r="R1216" s="74"/>
    </row>
    <row r="1217" spans="2:18" ht="36" hidden="1" customHeight="1" x14ac:dyDescent="0.25">
      <c r="B1217" s="84">
        <v>1824</v>
      </c>
      <c r="C1217" s="83" t="s">
        <v>887</v>
      </c>
      <c r="D1217" s="82" t="s">
        <v>2828</v>
      </c>
      <c r="E1217" s="81">
        <v>43454</v>
      </c>
      <c r="F1217" s="27">
        <f t="shared" ca="1" si="18"/>
        <v>1019</v>
      </c>
      <c r="G1217" s="79"/>
      <c r="H1217" s="80"/>
      <c r="I1217" s="80"/>
      <c r="J1217" s="79" t="s">
        <v>579</v>
      </c>
      <c r="K1217" s="78" t="s">
        <v>623</v>
      </c>
      <c r="L1217" s="77">
        <v>43461</v>
      </c>
      <c r="M1217" s="68"/>
      <c r="N1217" s="76" t="s">
        <v>2829</v>
      </c>
      <c r="O1217" s="75" t="s">
        <v>2830</v>
      </c>
      <c r="R1217" s="74"/>
    </row>
    <row r="1218" spans="2:18" ht="36" hidden="1" customHeight="1" x14ac:dyDescent="0.25">
      <c r="B1218" s="84">
        <v>1643</v>
      </c>
      <c r="C1218" s="83" t="s">
        <v>887</v>
      </c>
      <c r="D1218" s="82" t="s">
        <v>888</v>
      </c>
      <c r="E1218" s="81">
        <v>43455</v>
      </c>
      <c r="F1218" s="27">
        <f t="shared" ca="1" si="18"/>
        <v>1018</v>
      </c>
      <c r="G1218" s="79"/>
      <c r="H1218" s="80"/>
      <c r="I1218" s="80"/>
      <c r="J1218" s="79" t="s">
        <v>579</v>
      </c>
      <c r="K1218" s="78" t="s">
        <v>580</v>
      </c>
      <c r="L1218" s="77">
        <v>43444</v>
      </c>
      <c r="M1218" s="68"/>
      <c r="N1218" s="76"/>
      <c r="O1218" s="75" t="s">
        <v>889</v>
      </c>
      <c r="R1218" s="74"/>
    </row>
    <row r="1219" spans="2:18" ht="36" hidden="1" customHeight="1" x14ac:dyDescent="0.25">
      <c r="B1219" s="84">
        <v>1643</v>
      </c>
      <c r="C1219" s="83" t="s">
        <v>30</v>
      </c>
      <c r="D1219" s="82" t="s">
        <v>895</v>
      </c>
      <c r="E1219" s="81">
        <v>43455</v>
      </c>
      <c r="F1219" s="27">
        <f t="shared" ca="1" si="18"/>
        <v>1018</v>
      </c>
      <c r="G1219" s="79"/>
      <c r="H1219" s="80"/>
      <c r="I1219" s="80"/>
      <c r="J1219" s="79" t="s">
        <v>592</v>
      </c>
      <c r="K1219" s="78" t="s">
        <v>580</v>
      </c>
      <c r="L1219" s="77">
        <v>43480</v>
      </c>
      <c r="M1219" s="68"/>
      <c r="N1219" s="76" t="s">
        <v>896</v>
      </c>
      <c r="O1219" s="75"/>
      <c r="R1219" s="74"/>
    </row>
    <row r="1220" spans="2:18" ht="36" hidden="1" customHeight="1" x14ac:dyDescent="0.25">
      <c r="B1220" s="84">
        <v>1644</v>
      </c>
      <c r="C1220" s="83" t="s">
        <v>19</v>
      </c>
      <c r="D1220" s="82" t="s">
        <v>964</v>
      </c>
      <c r="E1220" s="81">
        <v>43455</v>
      </c>
      <c r="F1220" s="27">
        <f t="shared" ca="1" si="18"/>
        <v>1018</v>
      </c>
      <c r="G1220" s="79" t="s">
        <v>891</v>
      </c>
      <c r="H1220" s="80"/>
      <c r="I1220" s="80"/>
      <c r="J1220" s="79" t="s">
        <v>592</v>
      </c>
      <c r="K1220" s="78" t="s">
        <v>580</v>
      </c>
      <c r="L1220" s="77">
        <v>43468</v>
      </c>
      <c r="M1220" s="68"/>
      <c r="N1220" s="76" t="s">
        <v>965</v>
      </c>
      <c r="O1220" s="75" t="s">
        <v>966</v>
      </c>
      <c r="R1220" s="74"/>
    </row>
    <row r="1221" spans="2:18" ht="36" hidden="1" customHeight="1" x14ac:dyDescent="0.25">
      <c r="B1221" s="84">
        <v>1816</v>
      </c>
      <c r="C1221" s="83" t="s">
        <v>1379</v>
      </c>
      <c r="D1221" s="82" t="s">
        <v>1380</v>
      </c>
      <c r="E1221" s="81">
        <v>43455</v>
      </c>
      <c r="F1221" s="27">
        <f t="shared" ca="1" si="18"/>
        <v>1018</v>
      </c>
      <c r="G1221" s="79"/>
      <c r="H1221" s="80"/>
      <c r="I1221" s="80"/>
      <c r="J1221" s="79" t="s">
        <v>579</v>
      </c>
      <c r="K1221" s="78" t="s">
        <v>623</v>
      </c>
      <c r="L1221" s="77">
        <v>43455</v>
      </c>
      <c r="M1221" s="68"/>
      <c r="N1221" s="76"/>
      <c r="O1221" s="75"/>
      <c r="R1221" s="74"/>
    </row>
    <row r="1222" spans="2:18" ht="36" hidden="1" customHeight="1" x14ac:dyDescent="0.25">
      <c r="B1222" s="84">
        <v>1823</v>
      </c>
      <c r="C1222" s="83" t="s">
        <v>23</v>
      </c>
      <c r="D1222" s="82" t="s">
        <v>1987</v>
      </c>
      <c r="E1222" s="81">
        <v>43455</v>
      </c>
      <c r="F1222" s="27">
        <f t="shared" ca="1" si="18"/>
        <v>1018</v>
      </c>
      <c r="G1222" s="79"/>
      <c r="H1222" s="80"/>
      <c r="I1222" s="80"/>
      <c r="J1222" s="79" t="s">
        <v>579</v>
      </c>
      <c r="K1222" s="78" t="s">
        <v>623</v>
      </c>
      <c r="L1222" s="77">
        <v>43465</v>
      </c>
      <c r="M1222" s="68"/>
      <c r="N1222" s="76" t="s">
        <v>2631</v>
      </c>
      <c r="O1222" s="75"/>
      <c r="R1222" s="74"/>
    </row>
    <row r="1223" spans="2:18" ht="36" hidden="1" customHeight="1" x14ac:dyDescent="0.25">
      <c r="B1223" s="84">
        <v>1828</v>
      </c>
      <c r="C1223" s="83" t="s">
        <v>23</v>
      </c>
      <c r="D1223" s="82" t="s">
        <v>2360</v>
      </c>
      <c r="E1223" s="81">
        <v>43455</v>
      </c>
      <c r="F1223" s="27">
        <f t="shared" ca="1" si="18"/>
        <v>1018</v>
      </c>
      <c r="G1223" s="79"/>
      <c r="H1223" s="80"/>
      <c r="I1223" s="80"/>
      <c r="J1223" s="79" t="s">
        <v>579</v>
      </c>
      <c r="K1223" s="78" t="s">
        <v>623</v>
      </c>
      <c r="L1223" s="77">
        <v>43465</v>
      </c>
      <c r="M1223" s="68"/>
      <c r="N1223" s="76" t="s">
        <v>3611</v>
      </c>
      <c r="O1223" s="75"/>
      <c r="R1223" s="74"/>
    </row>
    <row r="1224" spans="2:18" ht="36" hidden="1" customHeight="1" x14ac:dyDescent="0.25">
      <c r="B1224" s="84">
        <v>1647</v>
      </c>
      <c r="C1224" s="83" t="s">
        <v>19</v>
      </c>
      <c r="D1224" s="82" t="s">
        <v>1202</v>
      </c>
      <c r="E1224" s="81">
        <v>43461</v>
      </c>
      <c r="F1224" s="27">
        <f t="shared" ca="1" si="18"/>
        <v>1012</v>
      </c>
      <c r="G1224" s="79" t="s">
        <v>891</v>
      </c>
      <c r="H1224" s="80"/>
      <c r="I1224" s="80"/>
      <c r="J1224" s="79" t="s">
        <v>592</v>
      </c>
      <c r="K1224" s="78" t="s">
        <v>580</v>
      </c>
      <c r="L1224" s="77">
        <v>43462</v>
      </c>
      <c r="M1224" s="68"/>
      <c r="N1224" s="76" t="s">
        <v>892</v>
      </c>
      <c r="O1224" s="75" t="s">
        <v>1203</v>
      </c>
      <c r="R1224" s="74"/>
    </row>
    <row r="1225" spans="2:18" ht="36" hidden="1" customHeight="1" x14ac:dyDescent="0.25">
      <c r="B1225" s="84">
        <v>1821</v>
      </c>
      <c r="C1225" s="83" t="s">
        <v>11</v>
      </c>
      <c r="D1225" s="82" t="s">
        <v>2328</v>
      </c>
      <c r="E1225" s="81">
        <v>43461</v>
      </c>
      <c r="F1225" s="27">
        <f t="shared" ca="1" si="18"/>
        <v>1012</v>
      </c>
      <c r="G1225" s="79"/>
      <c r="H1225" s="80"/>
      <c r="I1225" s="80"/>
      <c r="J1225" s="79" t="s">
        <v>579</v>
      </c>
      <c r="K1225" s="78" t="s">
        <v>623</v>
      </c>
      <c r="L1225" s="77">
        <v>43463</v>
      </c>
      <c r="M1225" s="68"/>
      <c r="N1225" s="76" t="s">
        <v>1967</v>
      </c>
      <c r="O1225" s="75"/>
      <c r="R1225" s="74"/>
    </row>
    <row r="1226" spans="2:18" ht="36" hidden="1" customHeight="1" x14ac:dyDescent="0.25">
      <c r="B1226" s="84">
        <v>1824</v>
      </c>
      <c r="C1226" s="83" t="s">
        <v>37</v>
      </c>
      <c r="D1226" s="82" t="s">
        <v>2831</v>
      </c>
      <c r="E1226" s="81">
        <v>43461</v>
      </c>
      <c r="F1226" s="27">
        <f t="shared" ca="1" si="18"/>
        <v>1012</v>
      </c>
      <c r="G1226" s="79"/>
      <c r="H1226" s="80"/>
      <c r="I1226" s="80"/>
      <c r="J1226" s="79" t="s">
        <v>579</v>
      </c>
      <c r="K1226" s="78" t="s">
        <v>623</v>
      </c>
      <c r="L1226" s="77">
        <v>43461</v>
      </c>
      <c r="M1226" s="68"/>
      <c r="N1226" s="76"/>
      <c r="O1226" s="75" t="s">
        <v>2832</v>
      </c>
      <c r="R1226" s="74"/>
    </row>
    <row r="1227" spans="2:18" ht="36" hidden="1" customHeight="1" x14ac:dyDescent="0.25">
      <c r="B1227" s="84">
        <v>1828</v>
      </c>
      <c r="C1227" s="83" t="s">
        <v>27</v>
      </c>
      <c r="D1227" s="82" t="s">
        <v>3607</v>
      </c>
      <c r="E1227" s="81">
        <v>43461</v>
      </c>
      <c r="F1227" s="27">
        <f t="shared" ca="1" si="18"/>
        <v>1012</v>
      </c>
      <c r="G1227" s="79" t="s">
        <v>2155</v>
      </c>
      <c r="H1227" s="80"/>
      <c r="I1227" s="80"/>
      <c r="J1227" s="79" t="s">
        <v>765</v>
      </c>
      <c r="K1227" s="78" t="s">
        <v>623</v>
      </c>
      <c r="L1227" s="77">
        <v>43453</v>
      </c>
      <c r="M1227" s="68"/>
      <c r="N1227" s="76" t="s">
        <v>3608</v>
      </c>
      <c r="O1227" s="75" t="s">
        <v>3603</v>
      </c>
      <c r="R1227" s="74"/>
    </row>
    <row r="1228" spans="2:18" ht="36" hidden="1" customHeight="1" x14ac:dyDescent="0.25">
      <c r="B1228" s="84">
        <v>1828</v>
      </c>
      <c r="C1228" s="83" t="s">
        <v>19</v>
      </c>
      <c r="D1228" s="82" t="s">
        <v>3609</v>
      </c>
      <c r="E1228" s="81">
        <v>43461</v>
      </c>
      <c r="F1228" s="27">
        <f t="shared" ca="1" si="18"/>
        <v>1012</v>
      </c>
      <c r="G1228" s="79" t="s">
        <v>2155</v>
      </c>
      <c r="H1228" s="80"/>
      <c r="I1228" s="80"/>
      <c r="J1228" s="79" t="s">
        <v>765</v>
      </c>
      <c r="K1228" s="78" t="s">
        <v>623</v>
      </c>
      <c r="L1228" s="77">
        <v>43453</v>
      </c>
      <c r="M1228" s="68"/>
      <c r="N1228" s="76" t="s">
        <v>3608</v>
      </c>
      <c r="O1228" s="75" t="s">
        <v>3610</v>
      </c>
      <c r="R1228" s="74"/>
    </row>
    <row r="1229" spans="2:18" ht="36" hidden="1" customHeight="1" x14ac:dyDescent="0.25">
      <c r="B1229" s="84">
        <v>1828</v>
      </c>
      <c r="C1229" s="83" t="s">
        <v>16</v>
      </c>
      <c r="D1229" s="82" t="s">
        <v>3612</v>
      </c>
      <c r="E1229" s="81">
        <v>43461</v>
      </c>
      <c r="F1229" s="27">
        <f t="shared" ca="1" si="18"/>
        <v>1012</v>
      </c>
      <c r="G1229" s="79"/>
      <c r="H1229" s="80"/>
      <c r="I1229" s="80"/>
      <c r="J1229" s="79" t="s">
        <v>765</v>
      </c>
      <c r="K1229" s="78" t="s">
        <v>623</v>
      </c>
      <c r="L1229" s="77">
        <v>43467</v>
      </c>
      <c r="M1229" s="68"/>
      <c r="N1229" s="76" t="s">
        <v>2330</v>
      </c>
      <c r="O1229" s="75"/>
      <c r="R1229" s="74"/>
    </row>
    <row r="1230" spans="2:18" ht="36" hidden="1" customHeight="1" x14ac:dyDescent="0.25">
      <c r="B1230" s="84">
        <v>1819</v>
      </c>
      <c r="C1230" s="83" t="s">
        <v>11</v>
      </c>
      <c r="D1230" s="82" t="s">
        <v>1966</v>
      </c>
      <c r="E1230" s="81">
        <v>43462</v>
      </c>
      <c r="F1230" s="27">
        <f t="shared" ca="1" si="18"/>
        <v>1011</v>
      </c>
      <c r="G1230" s="79"/>
      <c r="H1230" s="80"/>
      <c r="I1230" s="80"/>
      <c r="J1230" s="79" t="s">
        <v>579</v>
      </c>
      <c r="K1230" s="78" t="s">
        <v>623</v>
      </c>
      <c r="L1230" s="77">
        <v>43463</v>
      </c>
      <c r="M1230" s="68"/>
      <c r="N1230" s="76" t="s">
        <v>1967</v>
      </c>
      <c r="O1230" s="75"/>
      <c r="R1230" s="74"/>
    </row>
    <row r="1231" spans="2:18" ht="36" hidden="1" customHeight="1" x14ac:dyDescent="0.25">
      <c r="B1231" s="84">
        <v>1827</v>
      </c>
      <c r="C1231" s="83" t="s">
        <v>40</v>
      </c>
      <c r="D1231" s="82" t="s">
        <v>3392</v>
      </c>
      <c r="E1231" s="81">
        <v>43462</v>
      </c>
      <c r="F1231" s="27">
        <f t="shared" ca="1" si="18"/>
        <v>1011</v>
      </c>
      <c r="G1231" s="79"/>
      <c r="H1231" s="80"/>
      <c r="I1231" s="80"/>
      <c r="J1231" s="79" t="s">
        <v>579</v>
      </c>
      <c r="K1231" s="78" t="s">
        <v>623</v>
      </c>
      <c r="L1231" s="77">
        <v>43467</v>
      </c>
      <c r="M1231" s="68"/>
      <c r="N1231" s="76" t="s">
        <v>3393</v>
      </c>
      <c r="O1231" s="75"/>
      <c r="R1231" s="74"/>
    </row>
    <row r="1232" spans="2:18" ht="36" hidden="1" customHeight="1" x14ac:dyDescent="0.25">
      <c r="B1232" s="84">
        <v>1819</v>
      </c>
      <c r="C1232" s="83" t="s">
        <v>31</v>
      </c>
      <c r="D1232" s="82" t="s">
        <v>1968</v>
      </c>
      <c r="E1232" s="81">
        <v>43463</v>
      </c>
      <c r="F1232" s="27">
        <f t="shared" ref="F1232:F1295" ca="1" si="19">IF(E1232&lt;&gt;"",TODAY()-E1232,"")</f>
        <v>1010</v>
      </c>
      <c r="G1232" s="79"/>
      <c r="H1232" s="80"/>
      <c r="I1232" s="80"/>
      <c r="J1232" s="79"/>
      <c r="K1232" s="78"/>
      <c r="L1232" s="77">
        <v>43463</v>
      </c>
      <c r="M1232" s="68"/>
      <c r="N1232" s="76" t="s">
        <v>1967</v>
      </c>
      <c r="O1232" s="75"/>
      <c r="R1232" s="74"/>
    </row>
    <row r="1233" spans="2:18" ht="36" hidden="1" customHeight="1" x14ac:dyDescent="0.25">
      <c r="B1233" s="84">
        <v>1646</v>
      </c>
      <c r="C1233" s="83" t="s">
        <v>30</v>
      </c>
      <c r="D1233" s="82" t="s">
        <v>1127</v>
      </c>
      <c r="E1233" s="81">
        <v>43467</v>
      </c>
      <c r="F1233" s="27">
        <f t="shared" ca="1" si="19"/>
        <v>1006</v>
      </c>
      <c r="G1233" s="79" t="s">
        <v>891</v>
      </c>
      <c r="H1233" s="80"/>
      <c r="I1233" s="80"/>
      <c r="J1233" s="79" t="s">
        <v>592</v>
      </c>
      <c r="K1233" s="78" t="s">
        <v>580</v>
      </c>
      <c r="L1233" s="77">
        <v>43472</v>
      </c>
      <c r="M1233" s="68"/>
      <c r="N1233" s="76"/>
      <c r="O1233" s="75" t="s">
        <v>1128</v>
      </c>
      <c r="R1233" s="74"/>
    </row>
    <row r="1234" spans="2:18" ht="36" hidden="1" customHeight="1" x14ac:dyDescent="0.25">
      <c r="B1234" s="84">
        <v>1646</v>
      </c>
      <c r="C1234" s="83" t="s">
        <v>40</v>
      </c>
      <c r="D1234" s="82" t="s">
        <v>1129</v>
      </c>
      <c r="E1234" s="81">
        <v>43467</v>
      </c>
      <c r="F1234" s="27">
        <f t="shared" ca="1" si="19"/>
        <v>1006</v>
      </c>
      <c r="G1234" s="79"/>
      <c r="H1234" s="80"/>
      <c r="I1234" s="80"/>
      <c r="J1234" s="79" t="s">
        <v>592</v>
      </c>
      <c r="K1234" s="78" t="s">
        <v>580</v>
      </c>
      <c r="L1234" s="77">
        <v>43472</v>
      </c>
      <c r="M1234" s="68"/>
      <c r="N1234" s="76"/>
      <c r="O1234" s="75" t="s">
        <v>1130</v>
      </c>
      <c r="R1234" s="74"/>
    </row>
    <row r="1235" spans="2:18" ht="36" hidden="1" customHeight="1" x14ac:dyDescent="0.25">
      <c r="B1235" s="84">
        <v>1646</v>
      </c>
      <c r="C1235" s="83" t="s">
        <v>24</v>
      </c>
      <c r="D1235" s="82" t="s">
        <v>1131</v>
      </c>
      <c r="E1235" s="81">
        <v>43467</v>
      </c>
      <c r="F1235" s="27">
        <f t="shared" ca="1" si="19"/>
        <v>1006</v>
      </c>
      <c r="G1235" s="79" t="s">
        <v>891</v>
      </c>
      <c r="H1235" s="80"/>
      <c r="I1235" s="80"/>
      <c r="J1235" s="79" t="s">
        <v>592</v>
      </c>
      <c r="K1235" s="78" t="s">
        <v>580</v>
      </c>
      <c r="L1235" s="77">
        <v>43472</v>
      </c>
      <c r="M1235" s="68"/>
      <c r="N1235" s="76"/>
      <c r="O1235" s="75" t="s">
        <v>1128</v>
      </c>
      <c r="R1235" s="74"/>
    </row>
    <row r="1236" spans="2:18" ht="36" hidden="1" customHeight="1" x14ac:dyDescent="0.25">
      <c r="B1236" s="84">
        <v>1821</v>
      </c>
      <c r="C1236" s="83" t="s">
        <v>40</v>
      </c>
      <c r="D1236" s="82" t="s">
        <v>2329</v>
      </c>
      <c r="E1236" s="81">
        <v>43467</v>
      </c>
      <c r="F1236" s="27">
        <f t="shared" ca="1" si="19"/>
        <v>1006</v>
      </c>
      <c r="G1236" s="79" t="s">
        <v>2155</v>
      </c>
      <c r="H1236" s="80"/>
      <c r="I1236" s="80"/>
      <c r="J1236" s="79" t="s">
        <v>765</v>
      </c>
      <c r="K1236" s="78" t="s">
        <v>623</v>
      </c>
      <c r="L1236" s="77">
        <v>43467</v>
      </c>
      <c r="M1236" s="68"/>
      <c r="N1236" s="76" t="s">
        <v>2330</v>
      </c>
      <c r="O1236" s="75" t="s">
        <v>2331</v>
      </c>
      <c r="R1236" s="74"/>
    </row>
    <row r="1237" spans="2:18" ht="36" hidden="1" customHeight="1" x14ac:dyDescent="0.25">
      <c r="B1237" s="84">
        <v>1825</v>
      </c>
      <c r="C1237" s="83" t="s">
        <v>34</v>
      </c>
      <c r="D1237" s="82" t="s">
        <v>3089</v>
      </c>
      <c r="E1237" s="81">
        <v>43467</v>
      </c>
      <c r="F1237" s="27">
        <f t="shared" ca="1" si="19"/>
        <v>1006</v>
      </c>
      <c r="G1237" s="79" t="s">
        <v>2155</v>
      </c>
      <c r="H1237" s="80"/>
      <c r="I1237" s="80"/>
      <c r="J1237" s="79" t="s">
        <v>765</v>
      </c>
      <c r="K1237" s="78" t="s">
        <v>623</v>
      </c>
      <c r="L1237" s="77">
        <v>43467</v>
      </c>
      <c r="M1237" s="68"/>
      <c r="N1237" s="76" t="s">
        <v>2330</v>
      </c>
      <c r="O1237" s="75" t="s">
        <v>3090</v>
      </c>
      <c r="R1237" s="74"/>
    </row>
    <row r="1238" spans="2:18" ht="36" hidden="1" customHeight="1" x14ac:dyDescent="0.25">
      <c r="B1238" s="84">
        <v>1644</v>
      </c>
      <c r="C1238" s="83" t="s">
        <v>35</v>
      </c>
      <c r="D1238" s="82" t="s">
        <v>970</v>
      </c>
      <c r="E1238" s="81">
        <v>43468</v>
      </c>
      <c r="F1238" s="27">
        <f t="shared" ca="1" si="19"/>
        <v>1005</v>
      </c>
      <c r="G1238" s="79"/>
      <c r="H1238" s="80"/>
      <c r="I1238" s="80"/>
      <c r="J1238" s="79"/>
      <c r="K1238" s="78" t="s">
        <v>580</v>
      </c>
      <c r="L1238" s="77">
        <v>43504</v>
      </c>
      <c r="M1238" s="68"/>
      <c r="N1238" s="76" t="s">
        <v>971</v>
      </c>
      <c r="O1238" s="75"/>
      <c r="R1238" s="74"/>
    </row>
    <row r="1239" spans="2:18" ht="36" hidden="1" customHeight="1" x14ac:dyDescent="0.25">
      <c r="B1239" s="84">
        <v>1644</v>
      </c>
      <c r="C1239" s="83" t="s">
        <v>37</v>
      </c>
      <c r="D1239" s="82" t="s">
        <v>974</v>
      </c>
      <c r="E1239" s="81">
        <v>43468</v>
      </c>
      <c r="F1239" s="27">
        <f t="shared" ca="1" si="19"/>
        <v>1005</v>
      </c>
      <c r="G1239" s="79"/>
      <c r="H1239" s="80"/>
      <c r="I1239" s="80"/>
      <c r="J1239" s="79" t="s">
        <v>975</v>
      </c>
      <c r="K1239" s="78" t="s">
        <v>580</v>
      </c>
      <c r="L1239" s="77">
        <v>43504</v>
      </c>
      <c r="M1239" s="68"/>
      <c r="N1239" s="76"/>
      <c r="O1239" s="75"/>
      <c r="R1239" s="74"/>
    </row>
    <row r="1240" spans="2:18" ht="36" hidden="1" customHeight="1" x14ac:dyDescent="0.25">
      <c r="B1240" s="84">
        <v>1817</v>
      </c>
      <c r="C1240" s="83" t="s">
        <v>23</v>
      </c>
      <c r="D1240" s="82" t="s">
        <v>1593</v>
      </c>
      <c r="E1240" s="81">
        <v>43468</v>
      </c>
      <c r="F1240" s="27">
        <f t="shared" ca="1" si="19"/>
        <v>1005</v>
      </c>
      <c r="G1240" s="79"/>
      <c r="H1240" s="80"/>
      <c r="I1240" s="80"/>
      <c r="J1240" s="79" t="s">
        <v>579</v>
      </c>
      <c r="K1240" s="78" t="s">
        <v>623</v>
      </c>
      <c r="L1240" s="77">
        <v>43473</v>
      </c>
      <c r="M1240" s="68"/>
      <c r="N1240" s="76" t="s">
        <v>1594</v>
      </c>
      <c r="O1240" s="75"/>
      <c r="R1240" s="74"/>
    </row>
    <row r="1241" spans="2:18" ht="36" hidden="1" customHeight="1" x14ac:dyDescent="0.25">
      <c r="B1241" s="84">
        <v>1823</v>
      </c>
      <c r="C1241" s="83" t="s">
        <v>40</v>
      </c>
      <c r="D1241" s="82" t="s">
        <v>2629</v>
      </c>
      <c r="E1241" s="81">
        <v>43468</v>
      </c>
      <c r="F1241" s="27">
        <f t="shared" ca="1" si="19"/>
        <v>1005</v>
      </c>
      <c r="G1241" s="79" t="s">
        <v>2155</v>
      </c>
      <c r="H1241" s="80"/>
      <c r="I1241" s="80"/>
      <c r="J1241" s="79" t="s">
        <v>765</v>
      </c>
      <c r="K1241" s="78" t="s">
        <v>623</v>
      </c>
      <c r="L1241" s="77">
        <v>43454</v>
      </c>
      <c r="M1241" s="68"/>
      <c r="N1241" s="76" t="s">
        <v>2630</v>
      </c>
      <c r="O1241" s="75" t="s">
        <v>2622</v>
      </c>
      <c r="R1241" s="74"/>
    </row>
    <row r="1242" spans="2:18" ht="36" hidden="1" customHeight="1" x14ac:dyDescent="0.25">
      <c r="B1242" s="84">
        <v>1829</v>
      </c>
      <c r="C1242" s="83" t="s">
        <v>31</v>
      </c>
      <c r="D1242" s="82" t="s">
        <v>3805</v>
      </c>
      <c r="E1242" s="81">
        <v>43468</v>
      </c>
      <c r="F1242" s="27">
        <f t="shared" ca="1" si="19"/>
        <v>1005</v>
      </c>
      <c r="G1242" s="79" t="s">
        <v>1677</v>
      </c>
      <c r="H1242" s="80"/>
      <c r="I1242" s="80"/>
      <c r="J1242" s="79" t="s">
        <v>765</v>
      </c>
      <c r="K1242" s="78" t="s">
        <v>623</v>
      </c>
      <c r="L1242" s="77">
        <v>43455</v>
      </c>
      <c r="M1242" s="68"/>
      <c r="N1242" s="76" t="s">
        <v>3806</v>
      </c>
      <c r="O1242" s="75"/>
      <c r="R1242" s="74"/>
    </row>
    <row r="1243" spans="2:18" ht="36" hidden="1" customHeight="1" x14ac:dyDescent="0.25">
      <c r="B1243" s="84">
        <v>1829</v>
      </c>
      <c r="C1243" s="83" t="s">
        <v>31</v>
      </c>
      <c r="D1243" s="82" t="s">
        <v>3805</v>
      </c>
      <c r="E1243" s="81">
        <v>43468</v>
      </c>
      <c r="F1243" s="27">
        <f t="shared" ca="1" si="19"/>
        <v>1005</v>
      </c>
      <c r="G1243" s="79"/>
      <c r="H1243" s="80"/>
      <c r="I1243" s="80"/>
      <c r="J1243" s="79" t="s">
        <v>579</v>
      </c>
      <c r="K1243" s="78" t="s">
        <v>623</v>
      </c>
      <c r="L1243" s="77">
        <v>43488</v>
      </c>
      <c r="M1243" s="68"/>
      <c r="N1243" s="76" t="s">
        <v>3807</v>
      </c>
      <c r="O1243" s="75" t="s">
        <v>3808</v>
      </c>
      <c r="R1243" s="74"/>
    </row>
    <row r="1244" spans="2:18" ht="36" hidden="1" customHeight="1" x14ac:dyDescent="0.25">
      <c r="B1244" s="84">
        <v>1830</v>
      </c>
      <c r="C1244" s="83" t="s">
        <v>19</v>
      </c>
      <c r="D1244" s="82" t="s">
        <v>3984</v>
      </c>
      <c r="E1244" s="81">
        <v>43468</v>
      </c>
      <c r="F1244" s="27">
        <f t="shared" ca="1" si="19"/>
        <v>1005</v>
      </c>
      <c r="G1244" s="79"/>
      <c r="H1244" s="80"/>
      <c r="I1244" s="80"/>
      <c r="J1244" s="79" t="s">
        <v>579</v>
      </c>
      <c r="K1244" s="78" t="s">
        <v>623</v>
      </c>
      <c r="L1244" s="77">
        <v>43474</v>
      </c>
      <c r="M1244" s="68"/>
      <c r="N1244" s="76"/>
      <c r="O1244" s="75" t="s">
        <v>3985</v>
      </c>
      <c r="R1244" s="74"/>
    </row>
    <row r="1245" spans="2:18" ht="36" hidden="1" customHeight="1" x14ac:dyDescent="0.25">
      <c r="B1245" s="84">
        <v>1821</v>
      </c>
      <c r="C1245" s="83" t="s">
        <v>11</v>
      </c>
      <c r="D1245" s="82" t="s">
        <v>2332</v>
      </c>
      <c r="E1245" s="81">
        <v>43469</v>
      </c>
      <c r="F1245" s="27">
        <f t="shared" ca="1" si="19"/>
        <v>1004</v>
      </c>
      <c r="G1245" s="79"/>
      <c r="H1245" s="80"/>
      <c r="I1245" s="80"/>
      <c r="J1245" s="79"/>
      <c r="K1245" s="78"/>
      <c r="L1245" s="77">
        <v>43469</v>
      </c>
      <c r="M1245" s="68"/>
      <c r="N1245" s="76"/>
      <c r="O1245" s="75" t="s">
        <v>2333</v>
      </c>
      <c r="R1245" s="74"/>
    </row>
    <row r="1246" spans="2:18" ht="36" hidden="1" customHeight="1" x14ac:dyDescent="0.25">
      <c r="B1246" s="84">
        <v>1823</v>
      </c>
      <c r="C1246" s="83" t="s">
        <v>23</v>
      </c>
      <c r="D1246" s="82" t="s">
        <v>2632</v>
      </c>
      <c r="E1246" s="81">
        <v>43469</v>
      </c>
      <c r="F1246" s="27">
        <f t="shared" ca="1" si="19"/>
        <v>1004</v>
      </c>
      <c r="G1246" s="79"/>
      <c r="H1246" s="80"/>
      <c r="I1246" s="80"/>
      <c r="J1246" s="79" t="s">
        <v>765</v>
      </c>
      <c r="K1246" s="78" t="s">
        <v>623</v>
      </c>
      <c r="L1246" s="77">
        <v>43500</v>
      </c>
      <c r="M1246" s="68"/>
      <c r="N1246" s="76" t="s">
        <v>1386</v>
      </c>
      <c r="O1246" s="75" t="s">
        <v>2633</v>
      </c>
      <c r="R1246" s="74"/>
    </row>
    <row r="1247" spans="2:18" ht="36" hidden="1" customHeight="1" x14ac:dyDescent="0.25">
      <c r="B1247" s="84">
        <v>1828</v>
      </c>
      <c r="C1247" s="83" t="s">
        <v>27</v>
      </c>
      <c r="D1247" s="82" t="s">
        <v>3613</v>
      </c>
      <c r="E1247" s="81">
        <v>43469</v>
      </c>
      <c r="F1247" s="27">
        <f t="shared" ca="1" si="19"/>
        <v>1004</v>
      </c>
      <c r="G1247" s="79"/>
      <c r="H1247" s="80"/>
      <c r="I1247" s="80"/>
      <c r="J1247" s="79" t="s">
        <v>579</v>
      </c>
      <c r="K1247" s="78" t="s">
        <v>623</v>
      </c>
      <c r="L1247" s="77">
        <v>43474</v>
      </c>
      <c r="M1247" s="68"/>
      <c r="N1247" s="76"/>
      <c r="O1247" s="75" t="s">
        <v>3614</v>
      </c>
      <c r="R1247" s="74"/>
    </row>
    <row r="1248" spans="2:18" ht="36" hidden="1" customHeight="1" x14ac:dyDescent="0.25">
      <c r="B1248" s="84">
        <v>1641</v>
      </c>
      <c r="C1248" s="83" t="s">
        <v>40</v>
      </c>
      <c r="D1248" s="82" t="s">
        <v>661</v>
      </c>
      <c r="E1248" s="81">
        <v>43472</v>
      </c>
      <c r="F1248" s="27">
        <f t="shared" ca="1" si="19"/>
        <v>1001</v>
      </c>
      <c r="G1248" s="79"/>
      <c r="H1248" s="80"/>
      <c r="I1248" s="80"/>
      <c r="J1248" s="79"/>
      <c r="K1248" s="78"/>
      <c r="L1248" s="77">
        <v>43472</v>
      </c>
      <c r="M1248" s="68"/>
      <c r="N1248" s="76"/>
      <c r="O1248" s="75" t="s">
        <v>662</v>
      </c>
      <c r="R1248" s="74"/>
    </row>
    <row r="1249" spans="2:18" ht="36" hidden="1" customHeight="1" x14ac:dyDescent="0.25">
      <c r="B1249" s="84">
        <v>1823</v>
      </c>
      <c r="C1249" s="83" t="s">
        <v>40</v>
      </c>
      <c r="D1249" s="82" t="s">
        <v>2634</v>
      </c>
      <c r="E1249" s="81">
        <v>43472</v>
      </c>
      <c r="F1249" s="27">
        <f t="shared" ca="1" si="19"/>
        <v>1001</v>
      </c>
      <c r="G1249" s="79"/>
      <c r="H1249" s="80"/>
      <c r="I1249" s="80"/>
      <c r="J1249" s="79" t="s">
        <v>765</v>
      </c>
      <c r="K1249" s="78" t="s">
        <v>623</v>
      </c>
      <c r="L1249" s="77">
        <v>43500</v>
      </c>
      <c r="M1249" s="68"/>
      <c r="N1249" s="76" t="s">
        <v>1386</v>
      </c>
      <c r="O1249" s="75" t="s">
        <v>2633</v>
      </c>
      <c r="R1249" s="74"/>
    </row>
    <row r="1250" spans="2:18" ht="36" hidden="1" customHeight="1" x14ac:dyDescent="0.25">
      <c r="B1250" s="84">
        <v>1823</v>
      </c>
      <c r="C1250" s="83" t="s">
        <v>40</v>
      </c>
      <c r="D1250" s="82" t="s">
        <v>2638</v>
      </c>
      <c r="E1250" s="81">
        <v>43472</v>
      </c>
      <c r="F1250" s="27">
        <f t="shared" ca="1" si="19"/>
        <v>1001</v>
      </c>
      <c r="G1250" s="79"/>
      <c r="H1250" s="80"/>
      <c r="I1250" s="80"/>
      <c r="J1250" s="79" t="s">
        <v>765</v>
      </c>
      <c r="K1250" s="78" t="s">
        <v>623</v>
      </c>
      <c r="L1250" s="77">
        <v>43521</v>
      </c>
      <c r="M1250" s="68"/>
      <c r="N1250" s="76" t="s">
        <v>1386</v>
      </c>
      <c r="O1250" s="75"/>
      <c r="R1250" s="74"/>
    </row>
    <row r="1251" spans="2:18" ht="36" hidden="1" customHeight="1" x14ac:dyDescent="0.25">
      <c r="B1251" s="84">
        <v>1817</v>
      </c>
      <c r="C1251" s="83" t="s">
        <v>23</v>
      </c>
      <c r="D1251" s="82" t="s">
        <v>1595</v>
      </c>
      <c r="E1251" s="81">
        <v>43473</v>
      </c>
      <c r="F1251" s="27">
        <f t="shared" ca="1" si="19"/>
        <v>1000</v>
      </c>
      <c r="G1251" s="79"/>
      <c r="H1251" s="80"/>
      <c r="I1251" s="80"/>
      <c r="J1251" s="79" t="s">
        <v>579</v>
      </c>
      <c r="K1251" s="78" t="s">
        <v>623</v>
      </c>
      <c r="L1251" s="77">
        <v>43473</v>
      </c>
      <c r="M1251" s="68"/>
      <c r="N1251" s="76" t="s">
        <v>1594</v>
      </c>
      <c r="O1251" s="75"/>
      <c r="R1251" s="74"/>
    </row>
    <row r="1252" spans="2:18" ht="36" hidden="1" customHeight="1" x14ac:dyDescent="0.25">
      <c r="B1252" s="84">
        <v>1819</v>
      </c>
      <c r="C1252" s="83" t="s">
        <v>39</v>
      </c>
      <c r="D1252" s="82" t="s">
        <v>1969</v>
      </c>
      <c r="E1252" s="81">
        <v>43473</v>
      </c>
      <c r="F1252" s="27">
        <f t="shared" ca="1" si="19"/>
        <v>1000</v>
      </c>
      <c r="G1252" s="79"/>
      <c r="H1252" s="80"/>
      <c r="I1252" s="80"/>
      <c r="J1252" s="79" t="s">
        <v>579</v>
      </c>
      <c r="K1252" s="78" t="s">
        <v>623</v>
      </c>
      <c r="L1252" s="77">
        <v>43473</v>
      </c>
      <c r="M1252" s="68"/>
      <c r="N1252" s="76" t="s">
        <v>1964</v>
      </c>
      <c r="O1252" s="75"/>
      <c r="R1252" s="74"/>
    </row>
    <row r="1253" spans="2:18" ht="36" hidden="1" customHeight="1" x14ac:dyDescent="0.25">
      <c r="B1253" s="84">
        <v>1825</v>
      </c>
      <c r="C1253" s="83" t="s">
        <v>17</v>
      </c>
      <c r="D1253" s="82" t="s">
        <v>1627</v>
      </c>
      <c r="E1253" s="81">
        <v>43473</v>
      </c>
      <c r="F1253" s="27">
        <f t="shared" ca="1" si="19"/>
        <v>1000</v>
      </c>
      <c r="G1253" s="79"/>
      <c r="H1253" s="80"/>
      <c r="I1253" s="80"/>
      <c r="J1253" s="79" t="s">
        <v>579</v>
      </c>
      <c r="K1253" s="78" t="s">
        <v>623</v>
      </c>
      <c r="L1253" s="77">
        <v>43480</v>
      </c>
      <c r="M1253" s="68"/>
      <c r="N1253" s="76"/>
      <c r="O1253" s="75" t="s">
        <v>3091</v>
      </c>
      <c r="R1253" s="74"/>
    </row>
    <row r="1254" spans="2:18" ht="36" hidden="1" customHeight="1" x14ac:dyDescent="0.25">
      <c r="B1254" s="84">
        <v>1828</v>
      </c>
      <c r="C1254" s="83" t="s">
        <v>20</v>
      </c>
      <c r="D1254" s="82" t="s">
        <v>3615</v>
      </c>
      <c r="E1254" s="81">
        <v>43473</v>
      </c>
      <c r="F1254" s="27">
        <f t="shared" ca="1" si="19"/>
        <v>1000</v>
      </c>
      <c r="G1254" s="79"/>
      <c r="H1254" s="80"/>
      <c r="I1254" s="80"/>
      <c r="J1254" s="79" t="s">
        <v>579</v>
      </c>
      <c r="K1254" s="78" t="s">
        <v>623</v>
      </c>
      <c r="L1254" s="77">
        <v>43474</v>
      </c>
      <c r="M1254" s="68"/>
      <c r="N1254" s="76"/>
      <c r="O1254" s="75" t="s">
        <v>3614</v>
      </c>
      <c r="R1254" s="74"/>
    </row>
    <row r="1255" spans="2:18" ht="36" hidden="1" customHeight="1" x14ac:dyDescent="0.25">
      <c r="B1255" s="84">
        <v>1818</v>
      </c>
      <c r="C1255" s="83" t="s">
        <v>31</v>
      </c>
      <c r="D1255" s="82" t="s">
        <v>1765</v>
      </c>
      <c r="E1255" s="81">
        <v>43475</v>
      </c>
      <c r="F1255" s="27">
        <f t="shared" ca="1" si="19"/>
        <v>998</v>
      </c>
      <c r="G1255" s="79"/>
      <c r="H1255" s="80"/>
      <c r="I1255" s="80"/>
      <c r="J1255" s="79" t="s">
        <v>579</v>
      </c>
      <c r="K1255" s="78" t="s">
        <v>623</v>
      </c>
      <c r="L1255" s="77">
        <v>43476</v>
      </c>
      <c r="M1255" s="68"/>
      <c r="N1255" s="76"/>
      <c r="O1255" s="75" t="s">
        <v>1766</v>
      </c>
      <c r="R1255" s="74"/>
    </row>
    <row r="1256" spans="2:18" ht="36" hidden="1" customHeight="1" x14ac:dyDescent="0.25">
      <c r="B1256" s="84">
        <v>1816</v>
      </c>
      <c r="C1256" s="83" t="s">
        <v>23</v>
      </c>
      <c r="D1256" s="82" t="s">
        <v>458</v>
      </c>
      <c r="E1256" s="81">
        <v>43476</v>
      </c>
      <c r="F1256" s="27">
        <f t="shared" ca="1" si="19"/>
        <v>997</v>
      </c>
      <c r="G1256" s="79"/>
      <c r="H1256" s="80"/>
      <c r="I1256" s="80"/>
      <c r="J1256" s="79" t="s">
        <v>579</v>
      </c>
      <c r="K1256" s="78" t="s">
        <v>623</v>
      </c>
      <c r="L1256" s="77">
        <v>43488</v>
      </c>
      <c r="M1256" s="68"/>
      <c r="N1256" s="76" t="s">
        <v>898</v>
      </c>
      <c r="O1256" s="75" t="s">
        <v>1383</v>
      </c>
      <c r="R1256" s="74"/>
    </row>
    <row r="1257" spans="2:18" ht="36" hidden="1" customHeight="1" x14ac:dyDescent="0.25">
      <c r="B1257" s="84">
        <v>1826</v>
      </c>
      <c r="C1257" s="83" t="s">
        <v>17</v>
      </c>
      <c r="D1257" s="82" t="s">
        <v>1433</v>
      </c>
      <c r="E1257" s="81">
        <v>43476</v>
      </c>
      <c r="F1257" s="27">
        <f t="shared" ca="1" si="19"/>
        <v>997</v>
      </c>
      <c r="G1257" s="79"/>
      <c r="H1257" s="80"/>
      <c r="I1257" s="80"/>
      <c r="J1257" s="79" t="s">
        <v>579</v>
      </c>
      <c r="K1257" s="78" t="s">
        <v>623</v>
      </c>
      <c r="L1257" s="77">
        <v>43482</v>
      </c>
      <c r="M1257" s="68"/>
      <c r="N1257" s="76" t="s">
        <v>3241</v>
      </c>
      <c r="O1257" s="75" t="s">
        <v>3242</v>
      </c>
      <c r="R1257" s="74"/>
    </row>
    <row r="1258" spans="2:18" ht="36" hidden="1" customHeight="1" x14ac:dyDescent="0.25">
      <c r="B1258" s="84">
        <v>1826</v>
      </c>
      <c r="C1258" s="83" t="s">
        <v>23</v>
      </c>
      <c r="D1258" s="82" t="s">
        <v>3243</v>
      </c>
      <c r="E1258" s="81">
        <v>43476</v>
      </c>
      <c r="F1258" s="27">
        <f t="shared" ca="1" si="19"/>
        <v>997</v>
      </c>
      <c r="G1258" s="79"/>
      <c r="H1258" s="80"/>
      <c r="I1258" s="80"/>
      <c r="J1258" s="79" t="s">
        <v>579</v>
      </c>
      <c r="K1258" s="78" t="s">
        <v>623</v>
      </c>
      <c r="L1258" s="77">
        <v>43482</v>
      </c>
      <c r="M1258" s="68"/>
      <c r="N1258" s="76" t="s">
        <v>3241</v>
      </c>
      <c r="O1258" s="75" t="s">
        <v>3242</v>
      </c>
      <c r="R1258" s="74"/>
    </row>
    <row r="1259" spans="2:18" ht="36" hidden="1" customHeight="1" x14ac:dyDescent="0.25">
      <c r="B1259" s="84">
        <v>1830</v>
      </c>
      <c r="C1259" s="83" t="s">
        <v>19</v>
      </c>
      <c r="D1259" s="82" t="s">
        <v>3986</v>
      </c>
      <c r="E1259" s="81">
        <v>43479</v>
      </c>
      <c r="F1259" s="27">
        <f t="shared" ca="1" si="19"/>
        <v>994</v>
      </c>
      <c r="G1259" s="79"/>
      <c r="H1259" s="80"/>
      <c r="I1259" s="80"/>
      <c r="J1259" s="79" t="s">
        <v>579</v>
      </c>
      <c r="K1259" s="78" t="s">
        <v>623</v>
      </c>
      <c r="L1259" s="77">
        <v>43491</v>
      </c>
      <c r="M1259" s="68"/>
      <c r="N1259" s="76" t="s">
        <v>3987</v>
      </c>
      <c r="O1259" s="75" t="s">
        <v>3988</v>
      </c>
      <c r="R1259" s="74"/>
    </row>
    <row r="1260" spans="2:18" ht="36" hidden="1" customHeight="1" x14ac:dyDescent="0.25">
      <c r="B1260" s="84">
        <v>1830</v>
      </c>
      <c r="C1260" s="83" t="s">
        <v>11</v>
      </c>
      <c r="D1260" s="82" t="s">
        <v>3998</v>
      </c>
      <c r="E1260" s="81">
        <v>43479</v>
      </c>
      <c r="F1260" s="27">
        <f t="shared" ca="1" si="19"/>
        <v>994</v>
      </c>
      <c r="G1260" s="79"/>
      <c r="H1260" s="80"/>
      <c r="I1260" s="80"/>
      <c r="J1260" s="79"/>
      <c r="K1260" s="78"/>
      <c r="L1260" s="77">
        <v>43577</v>
      </c>
      <c r="M1260" s="68"/>
      <c r="N1260" s="76" t="s">
        <v>1980</v>
      </c>
      <c r="O1260" s="75" t="s">
        <v>816</v>
      </c>
      <c r="R1260" s="74"/>
    </row>
    <row r="1261" spans="2:18" ht="36" hidden="1" customHeight="1" x14ac:dyDescent="0.25">
      <c r="B1261" s="84">
        <v>1642</v>
      </c>
      <c r="C1261" s="83" t="s">
        <v>40</v>
      </c>
      <c r="D1261" s="82" t="s">
        <v>806</v>
      </c>
      <c r="E1261" s="81">
        <v>43480</v>
      </c>
      <c r="F1261" s="27">
        <f t="shared" ca="1" si="19"/>
        <v>993</v>
      </c>
      <c r="G1261" s="79"/>
      <c r="H1261" s="80"/>
      <c r="I1261" s="80"/>
      <c r="J1261" s="79" t="s">
        <v>579</v>
      </c>
      <c r="K1261" s="78" t="s">
        <v>580</v>
      </c>
      <c r="L1261" s="77">
        <v>43489</v>
      </c>
      <c r="M1261" s="68"/>
      <c r="N1261" s="76"/>
      <c r="O1261" s="75" t="s">
        <v>807</v>
      </c>
      <c r="R1261" s="74"/>
    </row>
    <row r="1262" spans="2:18" ht="36" hidden="1" customHeight="1" x14ac:dyDescent="0.25">
      <c r="B1262" s="84">
        <v>1643</v>
      </c>
      <c r="C1262" s="83" t="s">
        <v>19</v>
      </c>
      <c r="D1262" s="82" t="s">
        <v>897</v>
      </c>
      <c r="E1262" s="81">
        <v>43480</v>
      </c>
      <c r="F1262" s="27">
        <f t="shared" ca="1" si="19"/>
        <v>993</v>
      </c>
      <c r="G1262" s="79"/>
      <c r="H1262" s="80"/>
      <c r="I1262" s="80"/>
      <c r="J1262" s="79" t="s">
        <v>579</v>
      </c>
      <c r="K1262" s="78" t="s">
        <v>580</v>
      </c>
      <c r="L1262" s="77">
        <v>43489</v>
      </c>
      <c r="M1262" s="68"/>
      <c r="N1262" s="76" t="s">
        <v>898</v>
      </c>
      <c r="O1262" s="75" t="s">
        <v>899</v>
      </c>
      <c r="R1262" s="74"/>
    </row>
    <row r="1263" spans="2:18" ht="36" hidden="1" customHeight="1" x14ac:dyDescent="0.25">
      <c r="B1263" s="84">
        <v>1816</v>
      </c>
      <c r="C1263" s="83" t="s">
        <v>19</v>
      </c>
      <c r="D1263" s="82" t="s">
        <v>1384</v>
      </c>
      <c r="E1263" s="81">
        <v>43480</v>
      </c>
      <c r="F1263" s="27">
        <f t="shared" ca="1" si="19"/>
        <v>993</v>
      </c>
      <c r="G1263" s="79"/>
      <c r="H1263" s="80"/>
      <c r="I1263" s="80"/>
      <c r="J1263" s="79" t="s">
        <v>579</v>
      </c>
      <c r="K1263" s="78" t="s">
        <v>623</v>
      </c>
      <c r="L1263" s="77">
        <v>43488</v>
      </c>
      <c r="M1263" s="68"/>
      <c r="N1263" s="76" t="s">
        <v>898</v>
      </c>
      <c r="O1263" s="75" t="s">
        <v>1383</v>
      </c>
      <c r="R1263" s="74"/>
    </row>
    <row r="1264" spans="2:18" ht="36" hidden="1" customHeight="1" x14ac:dyDescent="0.25">
      <c r="B1264" s="84">
        <v>1825</v>
      </c>
      <c r="C1264" s="83" t="s">
        <v>17</v>
      </c>
      <c r="D1264" s="82" t="s">
        <v>3092</v>
      </c>
      <c r="E1264" s="81">
        <v>43480</v>
      </c>
      <c r="F1264" s="27">
        <f t="shared" ca="1" si="19"/>
        <v>993</v>
      </c>
      <c r="G1264" s="79"/>
      <c r="H1264" s="80"/>
      <c r="I1264" s="80"/>
      <c r="J1264" s="79"/>
      <c r="K1264" s="78"/>
      <c r="L1264" s="77">
        <v>43480</v>
      </c>
      <c r="M1264" s="68"/>
      <c r="N1264" s="76"/>
      <c r="O1264" s="75" t="s">
        <v>3093</v>
      </c>
      <c r="R1264" s="74"/>
    </row>
    <row r="1265" spans="2:18" ht="36" hidden="1" customHeight="1" x14ac:dyDescent="0.25">
      <c r="B1265" s="84">
        <v>1825</v>
      </c>
      <c r="C1265" s="83" t="s">
        <v>40</v>
      </c>
      <c r="D1265" s="82" t="s">
        <v>3096</v>
      </c>
      <c r="E1265" s="81">
        <v>43480</v>
      </c>
      <c r="F1265" s="27">
        <f t="shared" ca="1" si="19"/>
        <v>993</v>
      </c>
      <c r="G1265" s="79"/>
      <c r="H1265" s="80"/>
      <c r="I1265" s="80"/>
      <c r="J1265" s="79"/>
      <c r="K1265" s="78" t="s">
        <v>623</v>
      </c>
      <c r="L1265" s="77">
        <v>43510</v>
      </c>
      <c r="M1265" s="68"/>
      <c r="N1265" s="76" t="s">
        <v>3097</v>
      </c>
      <c r="O1265" s="75"/>
      <c r="R1265" s="74"/>
    </row>
    <row r="1266" spans="2:18" ht="36" hidden="1" customHeight="1" x14ac:dyDescent="0.25">
      <c r="B1266" s="84">
        <v>1818</v>
      </c>
      <c r="C1266" s="83" t="s">
        <v>40</v>
      </c>
      <c r="D1266" s="82" t="s">
        <v>1390</v>
      </c>
      <c r="E1266" s="81">
        <v>43481</v>
      </c>
      <c r="F1266" s="27">
        <f t="shared" ca="1" si="19"/>
        <v>992</v>
      </c>
      <c r="G1266" s="79"/>
      <c r="H1266" s="80"/>
      <c r="I1266" s="80"/>
      <c r="J1266" s="79" t="s">
        <v>765</v>
      </c>
      <c r="K1266" s="78" t="s">
        <v>623</v>
      </c>
      <c r="L1266" s="77">
        <v>43522</v>
      </c>
      <c r="M1266" s="68"/>
      <c r="N1266" s="76" t="s">
        <v>1769</v>
      </c>
      <c r="O1266" s="75" t="s">
        <v>1770</v>
      </c>
      <c r="R1266" s="74"/>
    </row>
    <row r="1267" spans="2:18" ht="36" hidden="1" customHeight="1" x14ac:dyDescent="0.25">
      <c r="B1267" s="84">
        <v>1825</v>
      </c>
      <c r="C1267" s="83" t="s">
        <v>40</v>
      </c>
      <c r="D1267" s="82" t="s">
        <v>3106</v>
      </c>
      <c r="E1267" s="81">
        <v>43481</v>
      </c>
      <c r="F1267" s="27">
        <f t="shared" ca="1" si="19"/>
        <v>992</v>
      </c>
      <c r="G1267" s="79"/>
      <c r="H1267" s="80"/>
      <c r="I1267" s="80"/>
      <c r="J1267" s="79" t="s">
        <v>579</v>
      </c>
      <c r="K1267" s="78" t="s">
        <v>623</v>
      </c>
      <c r="L1267" s="77">
        <v>43535</v>
      </c>
      <c r="M1267" s="68"/>
      <c r="N1267" s="76" t="s">
        <v>3103</v>
      </c>
      <c r="O1267" s="75" t="s">
        <v>3104</v>
      </c>
      <c r="R1267" s="74"/>
    </row>
    <row r="1268" spans="2:18" ht="36" hidden="1" customHeight="1" x14ac:dyDescent="0.25">
      <c r="B1268" s="84">
        <v>1817</v>
      </c>
      <c r="C1268" s="83" t="s">
        <v>23</v>
      </c>
      <c r="D1268" s="82" t="s">
        <v>1596</v>
      </c>
      <c r="E1268" s="81">
        <v>43482</v>
      </c>
      <c r="F1268" s="27">
        <f t="shared" ca="1" si="19"/>
        <v>991</v>
      </c>
      <c r="G1268" s="79"/>
      <c r="H1268" s="80"/>
      <c r="I1268" s="80"/>
      <c r="J1268" s="79" t="s">
        <v>579</v>
      </c>
      <c r="K1268" s="78" t="s">
        <v>623</v>
      </c>
      <c r="L1268" s="77">
        <v>43489</v>
      </c>
      <c r="M1268" s="68"/>
      <c r="N1268" s="76" t="s">
        <v>1597</v>
      </c>
      <c r="O1268" s="75" t="s">
        <v>1598</v>
      </c>
      <c r="R1268" s="74"/>
    </row>
    <row r="1269" spans="2:18" ht="36" hidden="1" customHeight="1" x14ac:dyDescent="0.25">
      <c r="B1269" s="84">
        <v>1824</v>
      </c>
      <c r="C1269" s="83" t="s">
        <v>16</v>
      </c>
      <c r="D1269" s="82" t="s">
        <v>2833</v>
      </c>
      <c r="E1269" s="81">
        <v>43482</v>
      </c>
      <c r="F1269" s="27">
        <f t="shared" ca="1" si="19"/>
        <v>991</v>
      </c>
      <c r="G1269" s="79" t="s">
        <v>1677</v>
      </c>
      <c r="H1269" s="80"/>
      <c r="I1269" s="80"/>
      <c r="J1269" s="79" t="s">
        <v>765</v>
      </c>
      <c r="K1269" s="78" t="s">
        <v>623</v>
      </c>
      <c r="L1269" s="77">
        <v>43486</v>
      </c>
      <c r="M1269" s="68"/>
      <c r="N1269" s="76" t="s">
        <v>2453</v>
      </c>
      <c r="O1269" s="75"/>
      <c r="R1269" s="74"/>
    </row>
    <row r="1270" spans="2:18" ht="36" hidden="1" customHeight="1" x14ac:dyDescent="0.25">
      <c r="B1270" s="84">
        <v>1824</v>
      </c>
      <c r="C1270" s="83" t="s">
        <v>16</v>
      </c>
      <c r="D1270" s="82" t="s">
        <v>2834</v>
      </c>
      <c r="E1270" s="81">
        <v>43482</v>
      </c>
      <c r="F1270" s="27">
        <f t="shared" ca="1" si="19"/>
        <v>991</v>
      </c>
      <c r="G1270" s="79" t="s">
        <v>1677</v>
      </c>
      <c r="H1270" s="80"/>
      <c r="I1270" s="80"/>
      <c r="J1270" s="79" t="s">
        <v>765</v>
      </c>
      <c r="K1270" s="78" t="s">
        <v>623</v>
      </c>
      <c r="L1270" s="77">
        <v>43486</v>
      </c>
      <c r="M1270" s="68"/>
      <c r="N1270" s="76" t="s">
        <v>2453</v>
      </c>
      <c r="O1270" s="75"/>
      <c r="R1270" s="74"/>
    </row>
    <row r="1271" spans="2:18" ht="36" hidden="1" customHeight="1" x14ac:dyDescent="0.25">
      <c r="B1271" s="84">
        <v>1825</v>
      </c>
      <c r="C1271" s="83" t="s">
        <v>17</v>
      </c>
      <c r="D1271" s="82" t="s">
        <v>3098</v>
      </c>
      <c r="E1271" s="81">
        <v>43482</v>
      </c>
      <c r="F1271" s="27">
        <f t="shared" ca="1" si="19"/>
        <v>991</v>
      </c>
      <c r="G1271" s="79"/>
      <c r="H1271" s="80"/>
      <c r="I1271" s="80"/>
      <c r="J1271" s="79"/>
      <c r="K1271" s="78" t="s">
        <v>623</v>
      </c>
      <c r="L1271" s="77">
        <v>43510</v>
      </c>
      <c r="M1271" s="68"/>
      <c r="N1271" s="76" t="s">
        <v>3097</v>
      </c>
      <c r="O1271" s="75"/>
      <c r="R1271" s="74"/>
    </row>
    <row r="1272" spans="2:18" ht="36" hidden="1" customHeight="1" x14ac:dyDescent="0.25">
      <c r="B1272" s="84">
        <v>1828</v>
      </c>
      <c r="C1272" s="83" t="s">
        <v>17</v>
      </c>
      <c r="D1272" s="82" t="s">
        <v>1627</v>
      </c>
      <c r="E1272" s="81">
        <v>43482</v>
      </c>
      <c r="F1272" s="27">
        <f t="shared" ca="1" si="19"/>
        <v>991</v>
      </c>
      <c r="G1272" s="79"/>
      <c r="H1272" s="80"/>
      <c r="I1272" s="80"/>
      <c r="J1272" s="79" t="s">
        <v>765</v>
      </c>
      <c r="K1272" s="78" t="s">
        <v>623</v>
      </c>
      <c r="L1272" s="77">
        <v>43501</v>
      </c>
      <c r="M1272" s="68"/>
      <c r="N1272" s="76" t="s">
        <v>2335</v>
      </c>
      <c r="O1272" s="75" t="s">
        <v>3616</v>
      </c>
      <c r="R1272" s="74"/>
    </row>
    <row r="1273" spans="2:18" ht="36" hidden="1" customHeight="1" x14ac:dyDescent="0.25">
      <c r="B1273" s="84">
        <v>1819</v>
      </c>
      <c r="C1273" s="83" t="s">
        <v>23</v>
      </c>
      <c r="D1273" s="82" t="s">
        <v>1972</v>
      </c>
      <c r="E1273" s="81">
        <v>43483</v>
      </c>
      <c r="F1273" s="27">
        <f t="shared" ca="1" si="19"/>
        <v>990</v>
      </c>
      <c r="G1273" s="79"/>
      <c r="H1273" s="80"/>
      <c r="I1273" s="80"/>
      <c r="J1273" s="79" t="s">
        <v>765</v>
      </c>
      <c r="K1273" s="78" t="s">
        <v>623</v>
      </c>
      <c r="L1273" s="77">
        <v>43521</v>
      </c>
      <c r="M1273" s="68"/>
      <c r="N1273" s="76"/>
      <c r="O1273" s="75"/>
      <c r="R1273" s="74"/>
    </row>
    <row r="1274" spans="2:18" ht="36" hidden="1" customHeight="1" x14ac:dyDescent="0.25">
      <c r="B1274" s="84">
        <v>1821</v>
      </c>
      <c r="C1274" s="83" t="s">
        <v>23</v>
      </c>
      <c r="D1274" s="82" t="s">
        <v>2334</v>
      </c>
      <c r="E1274" s="81">
        <v>43483</v>
      </c>
      <c r="F1274" s="27">
        <f t="shared" ca="1" si="19"/>
        <v>990</v>
      </c>
      <c r="G1274" s="79"/>
      <c r="H1274" s="80"/>
      <c r="I1274" s="80"/>
      <c r="J1274" s="79" t="s">
        <v>579</v>
      </c>
      <c r="K1274" s="78" t="s">
        <v>623</v>
      </c>
      <c r="L1274" s="77">
        <v>43501</v>
      </c>
      <c r="M1274" s="68"/>
      <c r="N1274" s="76" t="s">
        <v>2335</v>
      </c>
      <c r="O1274" s="75" t="s">
        <v>2336</v>
      </c>
      <c r="R1274" s="74"/>
    </row>
    <row r="1275" spans="2:18" ht="36" hidden="1" customHeight="1" x14ac:dyDescent="0.25">
      <c r="B1275" s="84">
        <v>1822</v>
      </c>
      <c r="C1275" s="83" t="s">
        <v>27</v>
      </c>
      <c r="D1275" s="82" t="s">
        <v>2452</v>
      </c>
      <c r="E1275" s="81">
        <v>43483</v>
      </c>
      <c r="F1275" s="27">
        <f t="shared" ca="1" si="19"/>
        <v>990</v>
      </c>
      <c r="G1275" s="79"/>
      <c r="H1275" s="80"/>
      <c r="I1275" s="80"/>
      <c r="J1275" s="79" t="s">
        <v>579</v>
      </c>
      <c r="K1275" s="78" t="s">
        <v>623</v>
      </c>
      <c r="L1275" s="77">
        <v>43427</v>
      </c>
      <c r="M1275" s="68"/>
      <c r="N1275" s="76" t="s">
        <v>2453</v>
      </c>
      <c r="O1275" s="75" t="s">
        <v>2454</v>
      </c>
      <c r="R1275" s="74"/>
    </row>
    <row r="1276" spans="2:18" ht="36" hidden="1" customHeight="1" x14ac:dyDescent="0.25">
      <c r="B1276" s="84">
        <v>1823</v>
      </c>
      <c r="C1276" s="83" t="s">
        <v>23</v>
      </c>
      <c r="D1276" s="82" t="s">
        <v>346</v>
      </c>
      <c r="E1276" s="81">
        <v>43483</v>
      </c>
      <c r="F1276" s="27">
        <f t="shared" ca="1" si="19"/>
        <v>990</v>
      </c>
      <c r="G1276" s="79"/>
      <c r="H1276" s="80"/>
      <c r="I1276" s="80"/>
      <c r="J1276" s="79" t="s">
        <v>765</v>
      </c>
      <c r="K1276" s="78" t="s">
        <v>623</v>
      </c>
      <c r="L1276" s="77">
        <v>43500</v>
      </c>
      <c r="M1276" s="68"/>
      <c r="N1276" s="76" t="s">
        <v>1386</v>
      </c>
      <c r="O1276" s="75" t="s">
        <v>2633</v>
      </c>
      <c r="R1276" s="74"/>
    </row>
    <row r="1277" spans="2:18" ht="36" hidden="1" customHeight="1" x14ac:dyDescent="0.25">
      <c r="B1277" s="84">
        <v>1823</v>
      </c>
      <c r="C1277" s="83" t="s">
        <v>23</v>
      </c>
      <c r="D1277" s="82" t="s">
        <v>2635</v>
      </c>
      <c r="E1277" s="81">
        <v>43483</v>
      </c>
      <c r="F1277" s="27">
        <f t="shared" ca="1" si="19"/>
        <v>990</v>
      </c>
      <c r="G1277" s="79"/>
      <c r="H1277" s="80"/>
      <c r="I1277" s="80"/>
      <c r="J1277" s="79" t="s">
        <v>765</v>
      </c>
      <c r="K1277" s="78" t="s">
        <v>623</v>
      </c>
      <c r="L1277" s="77">
        <v>43500</v>
      </c>
      <c r="M1277" s="68"/>
      <c r="N1277" s="76" t="s">
        <v>1386</v>
      </c>
      <c r="O1277" s="75" t="s">
        <v>2633</v>
      </c>
      <c r="R1277" s="74"/>
    </row>
    <row r="1278" spans="2:18" ht="36" hidden="1" customHeight="1" x14ac:dyDescent="0.25">
      <c r="B1278" s="84">
        <v>1830</v>
      </c>
      <c r="C1278" s="83" t="s">
        <v>19</v>
      </c>
      <c r="D1278" s="82" t="s">
        <v>3989</v>
      </c>
      <c r="E1278" s="81">
        <v>43483</v>
      </c>
      <c r="F1278" s="27">
        <f t="shared" ca="1" si="19"/>
        <v>990</v>
      </c>
      <c r="G1278" s="79"/>
      <c r="H1278" s="80"/>
      <c r="I1278" s="80"/>
      <c r="J1278" s="79" t="s">
        <v>579</v>
      </c>
      <c r="K1278" s="78" t="s">
        <v>623</v>
      </c>
      <c r="L1278" s="77">
        <v>43491</v>
      </c>
      <c r="M1278" s="68"/>
      <c r="N1278" s="76" t="s">
        <v>898</v>
      </c>
      <c r="O1278" s="75" t="s">
        <v>3988</v>
      </c>
      <c r="R1278" s="74"/>
    </row>
    <row r="1279" spans="2:18" ht="36" hidden="1" customHeight="1" x14ac:dyDescent="0.25">
      <c r="B1279" s="84">
        <v>1827</v>
      </c>
      <c r="C1279" s="83" t="s">
        <v>23</v>
      </c>
      <c r="D1279" s="82" t="s">
        <v>3397</v>
      </c>
      <c r="E1279" s="81">
        <v>43486</v>
      </c>
      <c r="F1279" s="27">
        <f t="shared" ca="1" si="19"/>
        <v>987</v>
      </c>
      <c r="G1279" s="79"/>
      <c r="H1279" s="80"/>
      <c r="I1279" s="80"/>
      <c r="J1279" s="79" t="s">
        <v>579</v>
      </c>
      <c r="K1279" s="78" t="s">
        <v>623</v>
      </c>
      <c r="L1279" s="77">
        <v>43490</v>
      </c>
      <c r="M1279" s="68"/>
      <c r="N1279" s="76" t="s">
        <v>968</v>
      </c>
      <c r="O1279" s="75" t="s">
        <v>3395</v>
      </c>
      <c r="R1279" s="74"/>
    </row>
    <row r="1280" spans="2:18" ht="36" hidden="1" customHeight="1" x14ac:dyDescent="0.25">
      <c r="B1280" s="84">
        <v>1818</v>
      </c>
      <c r="C1280" s="83" t="s">
        <v>23</v>
      </c>
      <c r="D1280" s="82" t="s">
        <v>1771</v>
      </c>
      <c r="E1280" s="81">
        <v>43487</v>
      </c>
      <c r="F1280" s="27">
        <f t="shared" ca="1" si="19"/>
        <v>986</v>
      </c>
      <c r="G1280" s="79"/>
      <c r="H1280" s="80"/>
      <c r="I1280" s="80"/>
      <c r="J1280" s="79" t="s">
        <v>765</v>
      </c>
      <c r="K1280" s="78" t="s">
        <v>623</v>
      </c>
      <c r="L1280" s="77">
        <v>43522</v>
      </c>
      <c r="M1280" s="68"/>
      <c r="N1280" s="76" t="s">
        <v>1769</v>
      </c>
      <c r="O1280" s="75" t="s">
        <v>1770</v>
      </c>
      <c r="R1280" s="74"/>
    </row>
    <row r="1281" spans="2:18" ht="36" hidden="1" customHeight="1" x14ac:dyDescent="0.25">
      <c r="B1281" s="84">
        <v>1830</v>
      </c>
      <c r="C1281" s="83" t="s">
        <v>19</v>
      </c>
      <c r="D1281" s="82" t="s">
        <v>3989</v>
      </c>
      <c r="E1281" s="81">
        <v>43488</v>
      </c>
      <c r="F1281" s="27">
        <f t="shared" ca="1" si="19"/>
        <v>985</v>
      </c>
      <c r="G1281" s="79"/>
      <c r="H1281" s="80"/>
      <c r="I1281" s="80"/>
      <c r="J1281" s="79" t="s">
        <v>579</v>
      </c>
      <c r="K1281" s="78" t="s">
        <v>623</v>
      </c>
      <c r="L1281" s="77">
        <v>43491</v>
      </c>
      <c r="M1281" s="68"/>
      <c r="N1281" s="76" t="s">
        <v>898</v>
      </c>
      <c r="O1281" s="75" t="s">
        <v>3988</v>
      </c>
      <c r="R1281" s="74"/>
    </row>
    <row r="1282" spans="2:18" ht="36" hidden="1" customHeight="1" x14ac:dyDescent="0.25">
      <c r="B1282" s="84">
        <v>1827</v>
      </c>
      <c r="C1282" s="83" t="s">
        <v>40</v>
      </c>
      <c r="D1282" s="82" t="s">
        <v>3394</v>
      </c>
      <c r="E1282" s="81">
        <v>43489</v>
      </c>
      <c r="F1282" s="27">
        <f t="shared" ca="1" si="19"/>
        <v>984</v>
      </c>
      <c r="G1282" s="79"/>
      <c r="H1282" s="80"/>
      <c r="I1282" s="80"/>
      <c r="J1282" s="79" t="s">
        <v>579</v>
      </c>
      <c r="K1282" s="78" t="s">
        <v>623</v>
      </c>
      <c r="L1282" s="77">
        <v>43490</v>
      </c>
      <c r="M1282" s="68"/>
      <c r="N1282" s="76" t="s">
        <v>968</v>
      </c>
      <c r="O1282" s="75" t="s">
        <v>3395</v>
      </c>
      <c r="R1282" s="74"/>
    </row>
    <row r="1283" spans="2:18" ht="36" hidden="1" customHeight="1" x14ac:dyDescent="0.25">
      <c r="B1283" s="84">
        <v>1827</v>
      </c>
      <c r="C1283" s="83" t="s">
        <v>23</v>
      </c>
      <c r="D1283" s="82" t="s">
        <v>3396</v>
      </c>
      <c r="E1283" s="81">
        <v>43489</v>
      </c>
      <c r="F1283" s="27">
        <f t="shared" ca="1" si="19"/>
        <v>984</v>
      </c>
      <c r="G1283" s="79"/>
      <c r="H1283" s="80"/>
      <c r="I1283" s="80"/>
      <c r="J1283" s="79" t="s">
        <v>579</v>
      </c>
      <c r="K1283" s="78" t="s">
        <v>623</v>
      </c>
      <c r="L1283" s="77">
        <v>43490</v>
      </c>
      <c r="M1283" s="68"/>
      <c r="N1283" s="76" t="s">
        <v>968</v>
      </c>
      <c r="O1283" s="75" t="s">
        <v>3395</v>
      </c>
      <c r="R1283" s="74"/>
    </row>
    <row r="1284" spans="2:18" ht="36" hidden="1" customHeight="1" x14ac:dyDescent="0.25">
      <c r="B1284" s="84">
        <v>1828</v>
      </c>
      <c r="C1284" s="83" t="s">
        <v>39</v>
      </c>
      <c r="D1284" s="82" t="s">
        <v>3617</v>
      </c>
      <c r="E1284" s="81">
        <v>43489</v>
      </c>
      <c r="F1284" s="27">
        <f t="shared" ca="1" si="19"/>
        <v>984</v>
      </c>
      <c r="G1284" s="79"/>
      <c r="H1284" s="80"/>
      <c r="I1284" s="80"/>
      <c r="J1284" s="79" t="s">
        <v>765</v>
      </c>
      <c r="K1284" s="78" t="s">
        <v>623</v>
      </c>
      <c r="L1284" s="77">
        <v>43501</v>
      </c>
      <c r="M1284" s="68"/>
      <c r="N1284" s="76" t="s">
        <v>2335</v>
      </c>
      <c r="O1284" s="75" t="s">
        <v>3616</v>
      </c>
      <c r="R1284" s="74"/>
    </row>
    <row r="1285" spans="2:18" ht="36" hidden="1" customHeight="1" x14ac:dyDescent="0.25">
      <c r="B1285" s="84">
        <v>1644</v>
      </c>
      <c r="C1285" s="83" t="s">
        <v>19</v>
      </c>
      <c r="D1285" s="82" t="s">
        <v>972</v>
      </c>
      <c r="E1285" s="81">
        <v>43490</v>
      </c>
      <c r="F1285" s="27">
        <f t="shared" ca="1" si="19"/>
        <v>983</v>
      </c>
      <c r="G1285" s="79"/>
      <c r="H1285" s="80"/>
      <c r="I1285" s="80"/>
      <c r="J1285" s="79"/>
      <c r="K1285" s="78" t="s">
        <v>580</v>
      </c>
      <c r="L1285" s="77">
        <v>43504</v>
      </c>
      <c r="M1285" s="68"/>
      <c r="N1285" s="76" t="s">
        <v>973</v>
      </c>
      <c r="O1285" s="75"/>
      <c r="R1285" s="74"/>
    </row>
    <row r="1286" spans="2:18" ht="36" hidden="1" customHeight="1" x14ac:dyDescent="0.25">
      <c r="B1286" s="84">
        <v>1645</v>
      </c>
      <c r="C1286" s="83" t="s">
        <v>23</v>
      </c>
      <c r="D1286" s="82" t="s">
        <v>1053</v>
      </c>
      <c r="E1286" s="81">
        <v>43490</v>
      </c>
      <c r="F1286" s="27">
        <f t="shared" ca="1" si="19"/>
        <v>983</v>
      </c>
      <c r="G1286" s="79"/>
      <c r="H1286" s="80"/>
      <c r="I1286" s="80"/>
      <c r="J1286" s="79" t="s">
        <v>975</v>
      </c>
      <c r="K1286" s="78" t="s">
        <v>580</v>
      </c>
      <c r="L1286" s="77">
        <v>43510</v>
      </c>
      <c r="M1286" s="68"/>
      <c r="N1286" s="76"/>
      <c r="O1286" s="75"/>
      <c r="R1286" s="74"/>
    </row>
    <row r="1287" spans="2:18" ht="36" hidden="1" customHeight="1" x14ac:dyDescent="0.25">
      <c r="B1287" s="84">
        <v>1817</v>
      </c>
      <c r="C1287" s="83" t="s">
        <v>19</v>
      </c>
      <c r="D1287" s="82" t="s">
        <v>1599</v>
      </c>
      <c r="E1287" s="81">
        <v>43490</v>
      </c>
      <c r="F1287" s="27">
        <f t="shared" ca="1" si="19"/>
        <v>983</v>
      </c>
      <c r="G1287" s="79"/>
      <c r="H1287" s="80"/>
      <c r="I1287" s="80"/>
      <c r="J1287" s="79" t="s">
        <v>579</v>
      </c>
      <c r="K1287" s="78" t="s">
        <v>623</v>
      </c>
      <c r="L1287" s="77">
        <v>43493</v>
      </c>
      <c r="M1287" s="68"/>
      <c r="N1287" s="76" t="s">
        <v>1600</v>
      </c>
      <c r="O1287" s="75"/>
      <c r="R1287" s="74"/>
    </row>
    <row r="1288" spans="2:18" ht="36" hidden="1" customHeight="1" x14ac:dyDescent="0.25">
      <c r="B1288" s="84">
        <v>1820</v>
      </c>
      <c r="C1288" s="83" t="s">
        <v>19</v>
      </c>
      <c r="D1288" s="82" t="s">
        <v>2159</v>
      </c>
      <c r="E1288" s="81">
        <v>43490</v>
      </c>
      <c r="F1288" s="27">
        <f t="shared" ca="1" si="19"/>
        <v>983</v>
      </c>
      <c r="G1288" s="79"/>
      <c r="H1288" s="80"/>
      <c r="I1288" s="80"/>
      <c r="J1288" s="79" t="s">
        <v>579</v>
      </c>
      <c r="K1288" s="78" t="s">
        <v>623</v>
      </c>
      <c r="L1288" s="77">
        <v>43503</v>
      </c>
      <c r="M1288" s="68"/>
      <c r="N1288" s="76"/>
      <c r="O1288" s="75" t="s">
        <v>2157</v>
      </c>
      <c r="R1288" s="74"/>
    </row>
    <row r="1289" spans="2:18" ht="36" hidden="1" customHeight="1" x14ac:dyDescent="0.25">
      <c r="B1289" s="84">
        <v>1816</v>
      </c>
      <c r="C1289" s="83" t="s">
        <v>37</v>
      </c>
      <c r="D1289" s="82" t="s">
        <v>1388</v>
      </c>
      <c r="E1289" s="81">
        <v>43493</v>
      </c>
      <c r="F1289" s="27">
        <f t="shared" ca="1" si="19"/>
        <v>980</v>
      </c>
      <c r="G1289" s="79"/>
      <c r="H1289" s="80"/>
      <c r="I1289" s="80"/>
      <c r="J1289" s="79" t="s">
        <v>579</v>
      </c>
      <c r="K1289" s="78" t="s">
        <v>623</v>
      </c>
      <c r="L1289" s="77">
        <v>43501</v>
      </c>
      <c r="M1289" s="68"/>
      <c r="N1289" s="76" t="s">
        <v>1386</v>
      </c>
      <c r="O1289" s="75" t="s">
        <v>1387</v>
      </c>
      <c r="R1289" s="74"/>
    </row>
    <row r="1290" spans="2:18" ht="36" hidden="1" customHeight="1" x14ac:dyDescent="0.25">
      <c r="B1290" s="84">
        <v>1819</v>
      </c>
      <c r="C1290" s="83" t="s">
        <v>17</v>
      </c>
      <c r="D1290" s="82" t="s">
        <v>1627</v>
      </c>
      <c r="E1290" s="81">
        <v>43493</v>
      </c>
      <c r="F1290" s="27">
        <f t="shared" ca="1" si="19"/>
        <v>980</v>
      </c>
      <c r="G1290" s="79"/>
      <c r="H1290" s="80"/>
      <c r="I1290" s="80"/>
      <c r="J1290" s="79" t="s">
        <v>765</v>
      </c>
      <c r="K1290" s="78" t="s">
        <v>623</v>
      </c>
      <c r="L1290" s="77">
        <v>43521</v>
      </c>
      <c r="M1290" s="68"/>
      <c r="N1290" s="76"/>
      <c r="O1290" s="75"/>
      <c r="R1290" s="74"/>
    </row>
    <row r="1291" spans="2:18" ht="36" hidden="1" customHeight="1" x14ac:dyDescent="0.25">
      <c r="B1291" s="84">
        <v>1819</v>
      </c>
      <c r="C1291" s="83" t="s">
        <v>37</v>
      </c>
      <c r="D1291" s="82" t="s">
        <v>1388</v>
      </c>
      <c r="E1291" s="81">
        <v>43493</v>
      </c>
      <c r="F1291" s="27">
        <f t="shared" ca="1" si="19"/>
        <v>980</v>
      </c>
      <c r="G1291" s="79"/>
      <c r="H1291" s="80"/>
      <c r="I1291" s="80"/>
      <c r="J1291" s="79" t="s">
        <v>765</v>
      </c>
      <c r="K1291" s="78" t="s">
        <v>623</v>
      </c>
      <c r="L1291" s="77">
        <v>43521</v>
      </c>
      <c r="M1291" s="68"/>
      <c r="N1291" s="76"/>
      <c r="O1291" s="75"/>
      <c r="R1291" s="74"/>
    </row>
    <row r="1292" spans="2:18" ht="36" hidden="1" customHeight="1" x14ac:dyDescent="0.25">
      <c r="B1292" s="84">
        <v>1820</v>
      </c>
      <c r="C1292" s="83" t="s">
        <v>23</v>
      </c>
      <c r="D1292" s="82" t="s">
        <v>2165</v>
      </c>
      <c r="E1292" s="81">
        <v>43493</v>
      </c>
      <c r="F1292" s="27">
        <f t="shared" ca="1" si="19"/>
        <v>980</v>
      </c>
      <c r="G1292" s="79"/>
      <c r="H1292" s="80"/>
      <c r="I1292" s="80"/>
      <c r="J1292" s="79" t="s">
        <v>1301</v>
      </c>
      <c r="K1292" s="78" t="s">
        <v>1301</v>
      </c>
      <c r="L1292" s="77">
        <v>43546</v>
      </c>
      <c r="M1292" s="68"/>
      <c r="N1292" s="76"/>
      <c r="O1292" s="75" t="s">
        <v>2166</v>
      </c>
      <c r="R1292" s="74"/>
    </row>
    <row r="1293" spans="2:18" ht="36" hidden="1" customHeight="1" x14ac:dyDescent="0.25">
      <c r="B1293" s="84">
        <v>1823</v>
      </c>
      <c r="C1293" s="83" t="s">
        <v>37</v>
      </c>
      <c r="D1293" s="82" t="s">
        <v>1388</v>
      </c>
      <c r="E1293" s="81">
        <v>43493</v>
      </c>
      <c r="F1293" s="27">
        <f t="shared" ca="1" si="19"/>
        <v>980</v>
      </c>
      <c r="G1293" s="79"/>
      <c r="H1293" s="80"/>
      <c r="I1293" s="80"/>
      <c r="J1293" s="79" t="s">
        <v>579</v>
      </c>
      <c r="K1293" s="78" t="s">
        <v>623</v>
      </c>
      <c r="L1293" s="77">
        <v>43539</v>
      </c>
      <c r="M1293" s="68"/>
      <c r="N1293" s="76" t="s">
        <v>1797</v>
      </c>
      <c r="O1293" s="75" t="s">
        <v>2639</v>
      </c>
      <c r="R1293" s="74"/>
    </row>
    <row r="1294" spans="2:18" ht="36" hidden="1" customHeight="1" x14ac:dyDescent="0.25">
      <c r="B1294" s="84">
        <v>1825</v>
      </c>
      <c r="C1294" s="83" t="s">
        <v>16</v>
      </c>
      <c r="D1294" s="82" t="s">
        <v>3099</v>
      </c>
      <c r="E1294" s="81">
        <v>43493</v>
      </c>
      <c r="F1294" s="27">
        <f t="shared" ca="1" si="19"/>
        <v>980</v>
      </c>
      <c r="G1294" s="79"/>
      <c r="H1294" s="80"/>
      <c r="I1294" s="80"/>
      <c r="J1294" s="79"/>
      <c r="K1294" s="78" t="s">
        <v>623</v>
      </c>
      <c r="L1294" s="77">
        <v>43510</v>
      </c>
      <c r="M1294" s="68"/>
      <c r="N1294" s="76" t="s">
        <v>3100</v>
      </c>
      <c r="O1294" s="75"/>
      <c r="R1294" s="74"/>
    </row>
    <row r="1295" spans="2:18" ht="36" hidden="1" customHeight="1" x14ac:dyDescent="0.25">
      <c r="B1295" s="84">
        <v>1830</v>
      </c>
      <c r="C1295" s="83" t="s">
        <v>19</v>
      </c>
      <c r="D1295" s="82" t="s">
        <v>3992</v>
      </c>
      <c r="E1295" s="81">
        <v>43493</v>
      </c>
      <c r="F1295" s="27">
        <f t="shared" ca="1" si="19"/>
        <v>980</v>
      </c>
      <c r="G1295" s="79"/>
      <c r="H1295" s="80"/>
      <c r="I1295" s="80"/>
      <c r="J1295" s="79" t="s">
        <v>579</v>
      </c>
      <c r="K1295" s="78" t="s">
        <v>623</v>
      </c>
      <c r="L1295" s="77">
        <v>43539</v>
      </c>
      <c r="M1295" s="68"/>
      <c r="N1295" s="76" t="s">
        <v>968</v>
      </c>
      <c r="O1295" s="75" t="s">
        <v>3993</v>
      </c>
      <c r="R1295" s="74"/>
    </row>
    <row r="1296" spans="2:18" ht="36" hidden="1" customHeight="1" x14ac:dyDescent="0.25">
      <c r="B1296" s="84">
        <v>1641</v>
      </c>
      <c r="C1296" s="83" t="s">
        <v>40</v>
      </c>
      <c r="D1296" s="82" t="s">
        <v>707</v>
      </c>
      <c r="E1296" s="81">
        <v>43840</v>
      </c>
      <c r="F1296" s="27">
        <f t="shared" ref="F1296:F1359" ca="1" si="20">IF(E1296&lt;&gt;"",TODAY()-E1296,"")</f>
        <v>633</v>
      </c>
      <c r="G1296" s="79"/>
      <c r="H1296" s="80"/>
      <c r="I1296" s="80"/>
      <c r="J1296" s="79"/>
      <c r="K1296" s="78"/>
      <c r="L1296" s="77">
        <v>43864</v>
      </c>
      <c r="M1296" s="68"/>
      <c r="N1296" s="76" t="s">
        <v>708</v>
      </c>
      <c r="O1296" s="75"/>
      <c r="R1296" s="74"/>
    </row>
    <row r="1297" spans="2:18" ht="36" hidden="1" customHeight="1" x14ac:dyDescent="0.25">
      <c r="B1297" s="84">
        <v>1820</v>
      </c>
      <c r="C1297" s="83" t="s">
        <v>23</v>
      </c>
      <c r="D1297" s="82" t="s">
        <v>1316</v>
      </c>
      <c r="E1297" s="81">
        <v>43495</v>
      </c>
      <c r="F1297" s="27">
        <f t="shared" ca="1" si="20"/>
        <v>978</v>
      </c>
      <c r="G1297" s="79"/>
      <c r="H1297" s="80"/>
      <c r="I1297" s="80"/>
      <c r="J1297" s="79" t="s">
        <v>579</v>
      </c>
      <c r="K1297" s="78" t="s">
        <v>623</v>
      </c>
      <c r="L1297" s="77">
        <v>43503</v>
      </c>
      <c r="M1297" s="68"/>
      <c r="N1297" s="76" t="s">
        <v>1386</v>
      </c>
      <c r="O1297" s="75" t="s">
        <v>2157</v>
      </c>
      <c r="R1297" s="74"/>
    </row>
    <row r="1298" spans="2:18" ht="36" hidden="1" customHeight="1" x14ac:dyDescent="0.25">
      <c r="B1298" s="84">
        <v>1641</v>
      </c>
      <c r="C1298" s="83" t="s">
        <v>24</v>
      </c>
      <c r="D1298" s="82" t="s">
        <v>668</v>
      </c>
      <c r="E1298" s="81">
        <v>43496</v>
      </c>
      <c r="F1298" s="27">
        <f t="shared" ca="1" si="20"/>
        <v>977</v>
      </c>
      <c r="G1298" s="79"/>
      <c r="H1298" s="80"/>
      <c r="I1298" s="80"/>
      <c r="J1298" s="79" t="s">
        <v>592</v>
      </c>
      <c r="K1298" s="78" t="s">
        <v>580</v>
      </c>
      <c r="L1298" s="77">
        <v>43525</v>
      </c>
      <c r="M1298" s="68"/>
      <c r="N1298" s="76" t="s">
        <v>669</v>
      </c>
      <c r="O1298" s="75" t="s">
        <v>670</v>
      </c>
      <c r="R1298" s="74"/>
    </row>
    <row r="1299" spans="2:18" ht="36" hidden="1" customHeight="1" x14ac:dyDescent="0.25">
      <c r="B1299" s="84">
        <v>1644</v>
      </c>
      <c r="C1299" s="83" t="s">
        <v>19</v>
      </c>
      <c r="D1299" s="82" t="s">
        <v>967</v>
      </c>
      <c r="E1299" s="81">
        <v>43496</v>
      </c>
      <c r="F1299" s="27">
        <f t="shared" ca="1" si="20"/>
        <v>977</v>
      </c>
      <c r="G1299" s="79"/>
      <c r="H1299" s="80"/>
      <c r="I1299" s="80"/>
      <c r="J1299" s="79" t="s">
        <v>592</v>
      </c>
      <c r="K1299" s="78" t="s">
        <v>580</v>
      </c>
      <c r="L1299" s="77">
        <v>43501</v>
      </c>
      <c r="M1299" s="68"/>
      <c r="N1299" s="76" t="s">
        <v>968</v>
      </c>
      <c r="O1299" s="75" t="s">
        <v>969</v>
      </c>
      <c r="R1299" s="74"/>
    </row>
    <row r="1300" spans="2:18" ht="36" hidden="1" customHeight="1" x14ac:dyDescent="0.25">
      <c r="B1300" s="84">
        <v>1816</v>
      </c>
      <c r="C1300" s="83" t="s">
        <v>22</v>
      </c>
      <c r="D1300" s="82" t="s">
        <v>1385</v>
      </c>
      <c r="E1300" s="81">
        <v>43496</v>
      </c>
      <c r="F1300" s="27">
        <f t="shared" ca="1" si="20"/>
        <v>977</v>
      </c>
      <c r="G1300" s="79"/>
      <c r="H1300" s="80"/>
      <c r="I1300" s="80"/>
      <c r="J1300" s="79" t="s">
        <v>579</v>
      </c>
      <c r="K1300" s="78" t="s">
        <v>623</v>
      </c>
      <c r="L1300" s="77">
        <v>43501</v>
      </c>
      <c r="M1300" s="68"/>
      <c r="N1300" s="76" t="s">
        <v>1386</v>
      </c>
      <c r="O1300" s="75" t="s">
        <v>1387</v>
      </c>
      <c r="R1300" s="74"/>
    </row>
    <row r="1301" spans="2:18" ht="36" hidden="1" customHeight="1" x14ac:dyDescent="0.25">
      <c r="B1301" s="84">
        <v>1816</v>
      </c>
      <c r="C1301" s="83" t="s">
        <v>23</v>
      </c>
      <c r="D1301" s="82" t="s">
        <v>458</v>
      </c>
      <c r="E1301" s="81">
        <v>43496</v>
      </c>
      <c r="F1301" s="27">
        <f t="shared" ca="1" si="20"/>
        <v>977</v>
      </c>
      <c r="G1301" s="79"/>
      <c r="H1301" s="80"/>
      <c r="I1301" s="80"/>
      <c r="J1301" s="79" t="s">
        <v>579</v>
      </c>
      <c r="K1301" s="78" t="s">
        <v>623</v>
      </c>
      <c r="L1301" s="77">
        <v>43501</v>
      </c>
      <c r="M1301" s="68"/>
      <c r="N1301" s="76" t="s">
        <v>1386</v>
      </c>
      <c r="O1301" s="75" t="s">
        <v>1389</v>
      </c>
      <c r="R1301" s="74"/>
    </row>
    <row r="1302" spans="2:18" ht="36" hidden="1" customHeight="1" x14ac:dyDescent="0.25">
      <c r="B1302" s="84">
        <v>1820</v>
      </c>
      <c r="C1302" s="83" t="s">
        <v>15</v>
      </c>
      <c r="D1302" s="82" t="s">
        <v>1714</v>
      </c>
      <c r="E1302" s="81">
        <v>43496</v>
      </c>
      <c r="F1302" s="27">
        <f t="shared" ca="1" si="20"/>
        <v>977</v>
      </c>
      <c r="G1302" s="79"/>
      <c r="H1302" s="80"/>
      <c r="I1302" s="80"/>
      <c r="J1302" s="79" t="s">
        <v>579</v>
      </c>
      <c r="K1302" s="78" t="s">
        <v>623</v>
      </c>
      <c r="L1302" s="77">
        <v>43503</v>
      </c>
      <c r="M1302" s="68"/>
      <c r="N1302" s="76" t="s">
        <v>1386</v>
      </c>
      <c r="O1302" s="75" t="s">
        <v>2157</v>
      </c>
      <c r="R1302" s="74"/>
    </row>
    <row r="1303" spans="2:18" ht="36" hidden="1" customHeight="1" x14ac:dyDescent="0.25">
      <c r="B1303" s="84">
        <v>1820</v>
      </c>
      <c r="C1303" s="83" t="s">
        <v>17</v>
      </c>
      <c r="D1303" s="82" t="s">
        <v>2158</v>
      </c>
      <c r="E1303" s="81">
        <v>43496</v>
      </c>
      <c r="F1303" s="27">
        <f t="shared" ca="1" si="20"/>
        <v>977</v>
      </c>
      <c r="G1303" s="79"/>
      <c r="H1303" s="80"/>
      <c r="I1303" s="80"/>
      <c r="J1303" s="79" t="s">
        <v>579</v>
      </c>
      <c r="K1303" s="78" t="s">
        <v>623</v>
      </c>
      <c r="L1303" s="77">
        <v>43503</v>
      </c>
      <c r="M1303" s="68"/>
      <c r="N1303" s="76" t="s">
        <v>1386</v>
      </c>
      <c r="O1303" s="75" t="s">
        <v>2157</v>
      </c>
      <c r="R1303" s="74"/>
    </row>
    <row r="1304" spans="2:18" ht="36" hidden="1" customHeight="1" x14ac:dyDescent="0.25">
      <c r="B1304" s="84">
        <v>1820</v>
      </c>
      <c r="C1304" s="83" t="s">
        <v>19</v>
      </c>
      <c r="D1304" s="82" t="s">
        <v>967</v>
      </c>
      <c r="E1304" s="81">
        <v>43496</v>
      </c>
      <c r="F1304" s="27">
        <f t="shared" ca="1" si="20"/>
        <v>977</v>
      </c>
      <c r="G1304" s="79"/>
      <c r="H1304" s="80"/>
      <c r="I1304" s="80"/>
      <c r="J1304" s="79" t="s">
        <v>579</v>
      </c>
      <c r="K1304" s="78" t="s">
        <v>623</v>
      </c>
      <c r="L1304" s="77">
        <v>43503</v>
      </c>
      <c r="M1304" s="68"/>
      <c r="N1304" s="76" t="s">
        <v>1386</v>
      </c>
      <c r="O1304" s="75" t="s">
        <v>2157</v>
      </c>
      <c r="R1304" s="74"/>
    </row>
    <row r="1305" spans="2:18" ht="36" hidden="1" customHeight="1" x14ac:dyDescent="0.25">
      <c r="B1305" s="84">
        <v>1829</v>
      </c>
      <c r="C1305" s="83" t="s">
        <v>40</v>
      </c>
      <c r="D1305" s="82" t="s">
        <v>3811</v>
      </c>
      <c r="E1305" s="81">
        <v>43496</v>
      </c>
      <c r="F1305" s="27">
        <f t="shared" ca="1" si="20"/>
        <v>977</v>
      </c>
      <c r="G1305" s="79"/>
      <c r="H1305" s="80"/>
      <c r="I1305" s="80"/>
      <c r="J1305" s="79" t="s">
        <v>765</v>
      </c>
      <c r="K1305" s="78" t="s">
        <v>623</v>
      </c>
      <c r="L1305" s="77">
        <v>43504</v>
      </c>
      <c r="M1305" s="68"/>
      <c r="N1305" s="76" t="s">
        <v>3812</v>
      </c>
      <c r="O1305" s="75"/>
      <c r="R1305" s="74"/>
    </row>
    <row r="1306" spans="2:18" ht="36" hidden="1" customHeight="1" x14ac:dyDescent="0.25">
      <c r="B1306" s="84">
        <v>1819</v>
      </c>
      <c r="C1306" s="83" t="s">
        <v>23</v>
      </c>
      <c r="D1306" s="82" t="s">
        <v>1973</v>
      </c>
      <c r="E1306" s="81">
        <v>43497</v>
      </c>
      <c r="F1306" s="27">
        <f t="shared" ca="1" si="20"/>
        <v>976</v>
      </c>
      <c r="G1306" s="79"/>
      <c r="H1306" s="80"/>
      <c r="I1306" s="80"/>
      <c r="J1306" s="79" t="s">
        <v>765</v>
      </c>
      <c r="K1306" s="78" t="s">
        <v>623</v>
      </c>
      <c r="L1306" s="77">
        <v>43521</v>
      </c>
      <c r="M1306" s="68"/>
      <c r="N1306" s="76"/>
      <c r="O1306" s="75"/>
      <c r="R1306" s="74"/>
    </row>
    <row r="1307" spans="2:18" ht="36" hidden="1" customHeight="1" x14ac:dyDescent="0.25">
      <c r="B1307" s="84">
        <v>1821</v>
      </c>
      <c r="C1307" s="83" t="s">
        <v>11</v>
      </c>
      <c r="D1307" s="82" t="s">
        <v>2337</v>
      </c>
      <c r="E1307" s="81">
        <v>43500</v>
      </c>
      <c r="F1307" s="27">
        <f t="shared" ca="1" si="20"/>
        <v>973</v>
      </c>
      <c r="G1307" s="79"/>
      <c r="H1307" s="80"/>
      <c r="I1307" s="80"/>
      <c r="J1307" s="79" t="s">
        <v>579</v>
      </c>
      <c r="K1307" s="78" t="s">
        <v>623</v>
      </c>
      <c r="L1307" s="77">
        <v>43501</v>
      </c>
      <c r="M1307" s="68"/>
      <c r="N1307" s="76" t="s">
        <v>2335</v>
      </c>
      <c r="O1307" s="75" t="s">
        <v>2336</v>
      </c>
      <c r="R1307" s="74"/>
    </row>
    <row r="1308" spans="2:18" ht="36" hidden="1" customHeight="1" x14ac:dyDescent="0.25">
      <c r="B1308" s="84">
        <v>1821</v>
      </c>
      <c r="C1308" s="83" t="s">
        <v>40</v>
      </c>
      <c r="D1308" s="82" t="s">
        <v>2338</v>
      </c>
      <c r="E1308" s="81">
        <v>43500</v>
      </c>
      <c r="F1308" s="27">
        <f t="shared" ca="1" si="20"/>
        <v>973</v>
      </c>
      <c r="G1308" s="79"/>
      <c r="H1308" s="80"/>
      <c r="I1308" s="80"/>
      <c r="J1308" s="79" t="s">
        <v>579</v>
      </c>
      <c r="K1308" s="78" t="s">
        <v>623</v>
      </c>
      <c r="L1308" s="77">
        <v>43501</v>
      </c>
      <c r="M1308" s="68"/>
      <c r="N1308" s="76" t="s">
        <v>2335</v>
      </c>
      <c r="O1308" s="75" t="s">
        <v>2336</v>
      </c>
      <c r="R1308" s="74"/>
    </row>
    <row r="1309" spans="2:18" ht="36" hidden="1" customHeight="1" x14ac:dyDescent="0.25">
      <c r="B1309" s="84">
        <v>1821</v>
      </c>
      <c r="C1309" s="83" t="s">
        <v>40</v>
      </c>
      <c r="D1309" s="82" t="s">
        <v>2339</v>
      </c>
      <c r="E1309" s="81">
        <v>43500</v>
      </c>
      <c r="F1309" s="27">
        <f t="shared" ca="1" si="20"/>
        <v>973</v>
      </c>
      <c r="G1309" s="79"/>
      <c r="H1309" s="80"/>
      <c r="I1309" s="80"/>
      <c r="J1309" s="79" t="s">
        <v>579</v>
      </c>
      <c r="K1309" s="78" t="s">
        <v>623</v>
      </c>
      <c r="L1309" s="77">
        <v>43501</v>
      </c>
      <c r="M1309" s="68"/>
      <c r="N1309" s="76" t="s">
        <v>2335</v>
      </c>
      <c r="O1309" s="75" t="s">
        <v>2336</v>
      </c>
      <c r="R1309" s="74"/>
    </row>
    <row r="1310" spans="2:18" ht="36" hidden="1" customHeight="1" x14ac:dyDescent="0.25">
      <c r="B1310" s="84">
        <v>1821</v>
      </c>
      <c r="C1310" s="83" t="s">
        <v>40</v>
      </c>
      <c r="D1310" s="82" t="s">
        <v>2340</v>
      </c>
      <c r="E1310" s="81">
        <v>43500</v>
      </c>
      <c r="F1310" s="27">
        <f t="shared" ca="1" si="20"/>
        <v>973</v>
      </c>
      <c r="G1310" s="79"/>
      <c r="H1310" s="80"/>
      <c r="I1310" s="80"/>
      <c r="J1310" s="79" t="s">
        <v>579</v>
      </c>
      <c r="K1310" s="78" t="s">
        <v>623</v>
      </c>
      <c r="L1310" s="77">
        <v>43501</v>
      </c>
      <c r="M1310" s="68"/>
      <c r="N1310" s="76" t="s">
        <v>2335</v>
      </c>
      <c r="O1310" s="75" t="s">
        <v>2336</v>
      </c>
      <c r="R1310" s="74"/>
    </row>
    <row r="1311" spans="2:18" ht="36" hidden="1" customHeight="1" x14ac:dyDescent="0.25">
      <c r="B1311" s="84">
        <v>1821</v>
      </c>
      <c r="C1311" s="83" t="s">
        <v>40</v>
      </c>
      <c r="D1311" s="82" t="s">
        <v>2341</v>
      </c>
      <c r="E1311" s="81">
        <v>43500</v>
      </c>
      <c r="F1311" s="27">
        <f t="shared" ca="1" si="20"/>
        <v>973</v>
      </c>
      <c r="G1311" s="79"/>
      <c r="H1311" s="80"/>
      <c r="I1311" s="80"/>
      <c r="J1311" s="79" t="s">
        <v>579</v>
      </c>
      <c r="K1311" s="78" t="s">
        <v>623</v>
      </c>
      <c r="L1311" s="77">
        <v>43501</v>
      </c>
      <c r="M1311" s="68"/>
      <c r="N1311" s="76" t="s">
        <v>2335</v>
      </c>
      <c r="O1311" s="75" t="s">
        <v>2336</v>
      </c>
      <c r="R1311" s="74"/>
    </row>
    <row r="1312" spans="2:18" ht="36" hidden="1" customHeight="1" x14ac:dyDescent="0.25">
      <c r="B1312" s="84">
        <v>1824</v>
      </c>
      <c r="C1312" s="83" t="s">
        <v>30</v>
      </c>
      <c r="D1312" s="82" t="s">
        <v>2835</v>
      </c>
      <c r="E1312" s="81">
        <v>43500</v>
      </c>
      <c r="F1312" s="27">
        <f t="shared" ca="1" si="20"/>
        <v>973</v>
      </c>
      <c r="G1312" s="79"/>
      <c r="H1312" s="80"/>
      <c r="I1312" s="80"/>
      <c r="J1312" s="79" t="s">
        <v>592</v>
      </c>
      <c r="K1312" s="78" t="s">
        <v>623</v>
      </c>
      <c r="L1312" s="77">
        <v>43518</v>
      </c>
      <c r="M1312" s="68"/>
      <c r="N1312" s="76"/>
      <c r="O1312" s="75"/>
      <c r="R1312" s="74"/>
    </row>
    <row r="1313" spans="2:18" ht="36" hidden="1" customHeight="1" x14ac:dyDescent="0.25">
      <c r="B1313" s="84">
        <v>1816</v>
      </c>
      <c r="C1313" s="83" t="s">
        <v>40</v>
      </c>
      <c r="D1313" s="82" t="s">
        <v>1390</v>
      </c>
      <c r="E1313" s="81">
        <v>43501</v>
      </c>
      <c r="F1313" s="27">
        <f t="shared" ca="1" si="20"/>
        <v>972</v>
      </c>
      <c r="G1313" s="79"/>
      <c r="H1313" s="80"/>
      <c r="I1313" s="80"/>
      <c r="J1313" s="79" t="s">
        <v>579</v>
      </c>
      <c r="K1313" s="78" t="s">
        <v>623</v>
      </c>
      <c r="L1313" s="77">
        <v>43504</v>
      </c>
      <c r="M1313" s="68"/>
      <c r="N1313" s="76" t="s">
        <v>973</v>
      </c>
      <c r="O1313" s="75" t="s">
        <v>1391</v>
      </c>
      <c r="R1313" s="74"/>
    </row>
    <row r="1314" spans="2:18" ht="36" hidden="1" customHeight="1" x14ac:dyDescent="0.25">
      <c r="B1314" s="84">
        <v>1825</v>
      </c>
      <c r="C1314" s="83" t="s">
        <v>40</v>
      </c>
      <c r="D1314" s="82" t="s">
        <v>3101</v>
      </c>
      <c r="E1314" s="81">
        <v>43501</v>
      </c>
      <c r="F1314" s="27">
        <f t="shared" ca="1" si="20"/>
        <v>972</v>
      </c>
      <c r="G1314" s="79"/>
      <c r="H1314" s="80"/>
      <c r="I1314" s="80"/>
      <c r="J1314" s="79"/>
      <c r="K1314" s="78" t="s">
        <v>623</v>
      </c>
      <c r="L1314" s="77">
        <v>43510</v>
      </c>
      <c r="M1314" s="68"/>
      <c r="N1314" s="76" t="s">
        <v>3097</v>
      </c>
      <c r="O1314" s="75"/>
      <c r="R1314" s="74"/>
    </row>
    <row r="1315" spans="2:18" ht="36" hidden="1" customHeight="1" x14ac:dyDescent="0.25">
      <c r="B1315" s="84">
        <v>1829</v>
      </c>
      <c r="C1315" s="83" t="s">
        <v>23</v>
      </c>
      <c r="D1315" s="82" t="s">
        <v>346</v>
      </c>
      <c r="E1315" s="81">
        <v>43501</v>
      </c>
      <c r="F1315" s="27">
        <f t="shared" ca="1" si="20"/>
        <v>972</v>
      </c>
      <c r="G1315" s="79"/>
      <c r="H1315" s="80"/>
      <c r="I1315" s="80"/>
      <c r="J1315" s="79" t="s">
        <v>765</v>
      </c>
      <c r="K1315" s="78" t="s">
        <v>623</v>
      </c>
      <c r="L1315" s="77">
        <v>43504</v>
      </c>
      <c r="M1315" s="68"/>
      <c r="N1315" s="76" t="s">
        <v>973</v>
      </c>
      <c r="O1315" s="75" t="s">
        <v>3809</v>
      </c>
      <c r="R1315" s="74"/>
    </row>
    <row r="1316" spans="2:18" ht="36" hidden="1" customHeight="1" x14ac:dyDescent="0.25">
      <c r="B1316" s="84">
        <v>1646</v>
      </c>
      <c r="C1316" s="83" t="s">
        <v>23</v>
      </c>
      <c r="D1316" s="82" t="s">
        <v>1132</v>
      </c>
      <c r="E1316" s="81">
        <v>43502</v>
      </c>
      <c r="F1316" s="27">
        <f t="shared" ca="1" si="20"/>
        <v>971</v>
      </c>
      <c r="G1316" s="79"/>
      <c r="H1316" s="80"/>
      <c r="I1316" s="80"/>
      <c r="J1316" s="79"/>
      <c r="K1316" s="78"/>
      <c r="L1316" s="77">
        <v>43577</v>
      </c>
      <c r="M1316" s="68"/>
      <c r="N1316" s="76" t="s">
        <v>1133</v>
      </c>
      <c r="O1316" s="75" t="s">
        <v>816</v>
      </c>
      <c r="R1316" s="74"/>
    </row>
    <row r="1317" spans="2:18" ht="36" hidden="1" customHeight="1" x14ac:dyDescent="0.25">
      <c r="B1317" s="84">
        <v>1823</v>
      </c>
      <c r="C1317" s="83" t="s">
        <v>16</v>
      </c>
      <c r="D1317" s="82" t="s">
        <v>2636</v>
      </c>
      <c r="E1317" s="81">
        <v>43502</v>
      </c>
      <c r="F1317" s="27">
        <f t="shared" ca="1" si="20"/>
        <v>971</v>
      </c>
      <c r="G1317" s="79"/>
      <c r="H1317" s="80"/>
      <c r="I1317" s="80"/>
      <c r="J1317" s="79" t="s">
        <v>765</v>
      </c>
      <c r="K1317" s="78" t="s">
        <v>623</v>
      </c>
      <c r="L1317" s="77">
        <v>43502</v>
      </c>
      <c r="M1317" s="68"/>
      <c r="N1317" s="76" t="s">
        <v>2637</v>
      </c>
      <c r="O1317" s="75"/>
      <c r="R1317" s="74"/>
    </row>
    <row r="1318" spans="2:18" ht="36" hidden="1" customHeight="1" x14ac:dyDescent="0.25">
      <c r="B1318" s="84">
        <v>1829</v>
      </c>
      <c r="C1318" s="83" t="s">
        <v>20</v>
      </c>
      <c r="D1318" s="82" t="s">
        <v>3810</v>
      </c>
      <c r="E1318" s="81">
        <v>43502</v>
      </c>
      <c r="F1318" s="27">
        <f t="shared" ca="1" si="20"/>
        <v>971</v>
      </c>
      <c r="G1318" s="79"/>
      <c r="H1318" s="80"/>
      <c r="I1318" s="80"/>
      <c r="J1318" s="79" t="s">
        <v>765</v>
      </c>
      <c r="K1318" s="78" t="s">
        <v>623</v>
      </c>
      <c r="L1318" s="77">
        <v>43504</v>
      </c>
      <c r="M1318" s="68"/>
      <c r="N1318" s="76" t="s">
        <v>973</v>
      </c>
      <c r="O1318" s="75" t="s">
        <v>3809</v>
      </c>
      <c r="R1318" s="74"/>
    </row>
    <row r="1319" spans="2:18" ht="36" hidden="1" customHeight="1" x14ac:dyDescent="0.25">
      <c r="B1319" s="84">
        <v>1829</v>
      </c>
      <c r="C1319" s="83" t="s">
        <v>40</v>
      </c>
      <c r="D1319" s="82" t="s">
        <v>1361</v>
      </c>
      <c r="E1319" s="81">
        <v>43502</v>
      </c>
      <c r="F1319" s="27">
        <f t="shared" ca="1" si="20"/>
        <v>971</v>
      </c>
      <c r="G1319" s="79"/>
      <c r="H1319" s="80"/>
      <c r="I1319" s="80"/>
      <c r="J1319" s="79" t="s">
        <v>765</v>
      </c>
      <c r="K1319" s="78" t="s">
        <v>623</v>
      </c>
      <c r="L1319" s="77">
        <v>43504</v>
      </c>
      <c r="M1319" s="68"/>
      <c r="N1319" s="76" t="s">
        <v>973</v>
      </c>
      <c r="O1319" s="75" t="s">
        <v>3809</v>
      </c>
      <c r="R1319" s="74"/>
    </row>
    <row r="1320" spans="2:18" ht="36" hidden="1" customHeight="1" x14ac:dyDescent="0.25">
      <c r="B1320" s="84">
        <v>1816</v>
      </c>
      <c r="C1320" s="83" t="s">
        <v>23</v>
      </c>
      <c r="D1320" s="82" t="s">
        <v>1392</v>
      </c>
      <c r="E1320" s="81">
        <v>43503</v>
      </c>
      <c r="F1320" s="27">
        <f t="shared" ca="1" si="20"/>
        <v>970</v>
      </c>
      <c r="G1320" s="79"/>
      <c r="H1320" s="80"/>
      <c r="I1320" s="80"/>
      <c r="J1320" s="79" t="s">
        <v>579</v>
      </c>
      <c r="K1320" s="78" t="s">
        <v>623</v>
      </c>
      <c r="L1320" s="77">
        <v>43523</v>
      </c>
      <c r="M1320" s="68"/>
      <c r="N1320" s="76" t="s">
        <v>973</v>
      </c>
      <c r="O1320" s="75" t="s">
        <v>1393</v>
      </c>
      <c r="R1320" s="74"/>
    </row>
    <row r="1321" spans="2:18" ht="36" hidden="1" customHeight="1" x14ac:dyDescent="0.25">
      <c r="B1321" s="84">
        <v>1820</v>
      </c>
      <c r="C1321" s="83" t="s">
        <v>23</v>
      </c>
      <c r="D1321" s="82" t="s">
        <v>2068</v>
      </c>
      <c r="E1321" s="81">
        <v>43503</v>
      </c>
      <c r="F1321" s="27">
        <f t="shared" ca="1" si="20"/>
        <v>970</v>
      </c>
      <c r="G1321" s="79"/>
      <c r="H1321" s="80"/>
      <c r="I1321" s="80"/>
      <c r="J1321" s="79" t="s">
        <v>579</v>
      </c>
      <c r="K1321" s="78" t="s">
        <v>623</v>
      </c>
      <c r="L1321" s="77">
        <v>43517</v>
      </c>
      <c r="M1321" s="68"/>
      <c r="N1321" s="76" t="s">
        <v>2160</v>
      </c>
      <c r="O1321" s="75"/>
      <c r="R1321" s="74"/>
    </row>
    <row r="1322" spans="2:18" ht="36" hidden="1" customHeight="1" x14ac:dyDescent="0.25">
      <c r="B1322" s="84">
        <v>1820</v>
      </c>
      <c r="C1322" s="83" t="s">
        <v>19</v>
      </c>
      <c r="D1322" s="82" t="s">
        <v>2172</v>
      </c>
      <c r="E1322" s="81">
        <v>43503</v>
      </c>
      <c r="F1322" s="27">
        <f t="shared" ca="1" si="20"/>
        <v>970</v>
      </c>
      <c r="G1322" s="79"/>
      <c r="H1322" s="80"/>
      <c r="I1322" s="80"/>
      <c r="J1322" s="79"/>
      <c r="K1322" s="78"/>
      <c r="L1322" s="77">
        <v>43577</v>
      </c>
      <c r="M1322" s="68"/>
      <c r="N1322" s="76"/>
      <c r="O1322" s="75" t="s">
        <v>2173</v>
      </c>
      <c r="R1322" s="74"/>
    </row>
    <row r="1323" spans="2:18" ht="36" hidden="1" customHeight="1" x14ac:dyDescent="0.25">
      <c r="B1323" s="84">
        <v>1641</v>
      </c>
      <c r="C1323" s="83" t="s">
        <v>40</v>
      </c>
      <c r="D1323" s="82" t="s">
        <v>665</v>
      </c>
      <c r="E1323" s="81">
        <v>43504</v>
      </c>
      <c r="F1323" s="27">
        <f t="shared" ca="1" si="20"/>
        <v>969</v>
      </c>
      <c r="G1323" s="79"/>
      <c r="H1323" s="80"/>
      <c r="I1323" s="80"/>
      <c r="J1323" s="79" t="s">
        <v>666</v>
      </c>
      <c r="K1323" s="78" t="s">
        <v>580</v>
      </c>
      <c r="L1323" s="77">
        <v>43507</v>
      </c>
      <c r="M1323" s="68"/>
      <c r="N1323" s="76"/>
      <c r="O1323" s="75" t="s">
        <v>667</v>
      </c>
      <c r="R1323" s="74"/>
    </row>
    <row r="1324" spans="2:18" ht="36" hidden="1" customHeight="1" x14ac:dyDescent="0.25">
      <c r="B1324" s="84">
        <v>1642</v>
      </c>
      <c r="C1324" s="83" t="s">
        <v>40</v>
      </c>
      <c r="D1324" s="82" t="s">
        <v>808</v>
      </c>
      <c r="E1324" s="81">
        <v>43504</v>
      </c>
      <c r="F1324" s="27">
        <f t="shared" ca="1" si="20"/>
        <v>969</v>
      </c>
      <c r="G1324" s="79"/>
      <c r="H1324" s="80"/>
      <c r="I1324" s="80"/>
      <c r="J1324" s="79" t="s">
        <v>592</v>
      </c>
      <c r="K1324" s="78" t="s">
        <v>580</v>
      </c>
      <c r="L1324" s="77">
        <v>43512</v>
      </c>
      <c r="M1324" s="68"/>
      <c r="N1324" s="76" t="s">
        <v>809</v>
      </c>
      <c r="O1324" s="75" t="s">
        <v>810</v>
      </c>
      <c r="R1324" s="74"/>
    </row>
    <row r="1325" spans="2:18" ht="36" hidden="1" customHeight="1" x14ac:dyDescent="0.25">
      <c r="B1325" s="84">
        <v>1645</v>
      </c>
      <c r="C1325" s="83" t="s">
        <v>40</v>
      </c>
      <c r="D1325" s="82" t="s">
        <v>808</v>
      </c>
      <c r="E1325" s="81">
        <v>43504</v>
      </c>
      <c r="F1325" s="27">
        <f t="shared" ca="1" si="20"/>
        <v>969</v>
      </c>
      <c r="G1325" s="79"/>
      <c r="H1325" s="80"/>
      <c r="I1325" s="80"/>
      <c r="J1325" s="79" t="s">
        <v>975</v>
      </c>
      <c r="K1325" s="78" t="s">
        <v>580</v>
      </c>
      <c r="L1325" s="77">
        <v>43510</v>
      </c>
      <c r="M1325" s="68"/>
      <c r="N1325" s="76"/>
      <c r="O1325" s="75"/>
      <c r="R1325" s="74"/>
    </row>
    <row r="1326" spans="2:18" ht="36" hidden="1" customHeight="1" x14ac:dyDescent="0.25">
      <c r="B1326" s="84">
        <v>1823</v>
      </c>
      <c r="C1326" s="83" t="s">
        <v>20</v>
      </c>
      <c r="D1326" s="82" t="s">
        <v>2643</v>
      </c>
      <c r="E1326" s="81">
        <v>43504</v>
      </c>
      <c r="F1326" s="27">
        <f t="shared" ca="1" si="20"/>
        <v>969</v>
      </c>
      <c r="G1326" s="79"/>
      <c r="H1326" s="80"/>
      <c r="I1326" s="80"/>
      <c r="J1326" s="79"/>
      <c r="K1326" s="78"/>
      <c r="L1326" s="77">
        <v>43577</v>
      </c>
      <c r="M1326" s="68"/>
      <c r="N1326" s="76" t="s">
        <v>2644</v>
      </c>
      <c r="O1326" s="75" t="s">
        <v>816</v>
      </c>
      <c r="R1326" s="74"/>
    </row>
    <row r="1327" spans="2:18" ht="36" hidden="1" customHeight="1" x14ac:dyDescent="0.25">
      <c r="B1327" s="84">
        <v>1825</v>
      </c>
      <c r="C1327" s="83" t="s">
        <v>12</v>
      </c>
      <c r="D1327" s="82" t="s">
        <v>3094</v>
      </c>
      <c r="E1327" s="81">
        <v>43504</v>
      </c>
      <c r="F1327" s="27">
        <f t="shared" ca="1" si="20"/>
        <v>969</v>
      </c>
      <c r="G1327" s="79"/>
      <c r="H1327" s="80"/>
      <c r="I1327" s="80"/>
      <c r="J1327" s="79" t="s">
        <v>765</v>
      </c>
      <c r="K1327" s="78"/>
      <c r="L1327" s="77">
        <v>43504</v>
      </c>
      <c r="M1327" s="68"/>
      <c r="N1327" s="76" t="s">
        <v>3095</v>
      </c>
      <c r="O1327" s="75"/>
      <c r="R1327" s="74"/>
    </row>
    <row r="1328" spans="2:18" ht="36" hidden="1" customHeight="1" x14ac:dyDescent="0.25">
      <c r="B1328" s="84">
        <v>1824</v>
      </c>
      <c r="C1328" s="83" t="s">
        <v>23</v>
      </c>
      <c r="D1328" s="82" t="s">
        <v>2836</v>
      </c>
      <c r="E1328" s="81">
        <v>43507</v>
      </c>
      <c r="F1328" s="27">
        <f t="shared" ca="1" si="20"/>
        <v>966</v>
      </c>
      <c r="G1328" s="79"/>
      <c r="H1328" s="80"/>
      <c r="I1328" s="80"/>
      <c r="J1328" s="79" t="s">
        <v>592</v>
      </c>
      <c r="K1328" s="78" t="s">
        <v>623</v>
      </c>
      <c r="L1328" s="77">
        <v>43518</v>
      </c>
      <c r="M1328" s="68"/>
      <c r="N1328" s="76"/>
      <c r="O1328" s="75" t="s">
        <v>2837</v>
      </c>
      <c r="R1328" s="74"/>
    </row>
    <row r="1329" spans="2:18" ht="36" hidden="1" customHeight="1" x14ac:dyDescent="0.25">
      <c r="B1329" s="84">
        <v>1824</v>
      </c>
      <c r="C1329" s="83" t="s">
        <v>39</v>
      </c>
      <c r="D1329" s="82" t="s">
        <v>2838</v>
      </c>
      <c r="E1329" s="81">
        <v>43507</v>
      </c>
      <c r="F1329" s="27">
        <f t="shared" ca="1" si="20"/>
        <v>966</v>
      </c>
      <c r="G1329" s="79"/>
      <c r="H1329" s="80"/>
      <c r="I1329" s="80"/>
      <c r="J1329" s="79" t="s">
        <v>592</v>
      </c>
      <c r="K1329" s="78" t="s">
        <v>623</v>
      </c>
      <c r="L1329" s="77">
        <v>43518</v>
      </c>
      <c r="M1329" s="68"/>
      <c r="N1329" s="76"/>
      <c r="O1329" s="75" t="s">
        <v>2839</v>
      </c>
      <c r="R1329" s="74"/>
    </row>
    <row r="1330" spans="2:18" ht="36" hidden="1" customHeight="1" x14ac:dyDescent="0.25">
      <c r="B1330" s="84">
        <v>1820</v>
      </c>
      <c r="C1330" s="83" t="s">
        <v>23</v>
      </c>
      <c r="D1330" s="82" t="s">
        <v>2161</v>
      </c>
      <c r="E1330" s="81">
        <v>43509</v>
      </c>
      <c r="F1330" s="27">
        <f t="shared" ca="1" si="20"/>
        <v>964</v>
      </c>
      <c r="G1330" s="79"/>
      <c r="H1330" s="80"/>
      <c r="I1330" s="80"/>
      <c r="J1330" s="79" t="s">
        <v>579</v>
      </c>
      <c r="K1330" s="78" t="s">
        <v>623</v>
      </c>
      <c r="L1330" s="77">
        <v>43517</v>
      </c>
      <c r="M1330" s="68"/>
      <c r="N1330" s="76" t="s">
        <v>2160</v>
      </c>
      <c r="O1330" s="75"/>
      <c r="R1330" s="74"/>
    </row>
    <row r="1331" spans="2:18" ht="36" hidden="1" customHeight="1" x14ac:dyDescent="0.25">
      <c r="B1331" s="84">
        <v>1644</v>
      </c>
      <c r="C1331" s="83" t="s">
        <v>40</v>
      </c>
      <c r="D1331" s="82" t="s">
        <v>976</v>
      </c>
      <c r="E1331" s="81">
        <v>43510</v>
      </c>
      <c r="F1331" s="27">
        <f t="shared" ca="1" si="20"/>
        <v>963</v>
      </c>
      <c r="G1331" s="79"/>
      <c r="H1331" s="80"/>
      <c r="I1331" s="80"/>
      <c r="J1331" s="79" t="s">
        <v>592</v>
      </c>
      <c r="K1331" s="78" t="s">
        <v>580</v>
      </c>
      <c r="L1331" s="77">
        <v>43515</v>
      </c>
      <c r="M1331" s="68"/>
      <c r="N1331" s="76" t="s">
        <v>977</v>
      </c>
      <c r="O1331" s="75"/>
      <c r="R1331" s="74"/>
    </row>
    <row r="1332" spans="2:18" ht="36" hidden="1" customHeight="1" x14ac:dyDescent="0.25">
      <c r="B1332" s="84">
        <v>1826</v>
      </c>
      <c r="C1332" s="83" t="s">
        <v>11</v>
      </c>
      <c r="D1332" s="82" t="s">
        <v>3244</v>
      </c>
      <c r="E1332" s="81">
        <v>43510</v>
      </c>
      <c r="F1332" s="27">
        <f t="shared" ca="1" si="20"/>
        <v>963</v>
      </c>
      <c r="G1332" s="79"/>
      <c r="H1332" s="80"/>
      <c r="I1332" s="80"/>
      <c r="J1332" s="79" t="s">
        <v>765</v>
      </c>
      <c r="K1332" s="78" t="s">
        <v>623</v>
      </c>
      <c r="L1332" s="77">
        <v>43517</v>
      </c>
      <c r="M1332" s="68"/>
      <c r="N1332" s="76" t="s">
        <v>809</v>
      </c>
      <c r="O1332" s="75" t="s">
        <v>3245</v>
      </c>
      <c r="R1332" s="74"/>
    </row>
    <row r="1333" spans="2:18" ht="36" hidden="1" customHeight="1" x14ac:dyDescent="0.25">
      <c r="B1333" s="84">
        <v>1824</v>
      </c>
      <c r="C1333" s="83" t="s">
        <v>11</v>
      </c>
      <c r="D1333" s="82" t="s">
        <v>2840</v>
      </c>
      <c r="E1333" s="81">
        <v>43511</v>
      </c>
      <c r="F1333" s="27">
        <f t="shared" ca="1" si="20"/>
        <v>962</v>
      </c>
      <c r="G1333" s="79"/>
      <c r="H1333" s="80"/>
      <c r="I1333" s="80"/>
      <c r="J1333" s="79" t="s">
        <v>592</v>
      </c>
      <c r="K1333" s="78" t="s">
        <v>623</v>
      </c>
      <c r="L1333" s="77">
        <v>43518</v>
      </c>
      <c r="M1333" s="68"/>
      <c r="N1333" s="76"/>
      <c r="O1333" s="75" t="s">
        <v>2837</v>
      </c>
      <c r="R1333" s="74"/>
    </row>
    <row r="1334" spans="2:18" ht="36" hidden="1" customHeight="1" x14ac:dyDescent="0.25">
      <c r="B1334" s="84">
        <v>1824</v>
      </c>
      <c r="C1334" s="83" t="s">
        <v>23</v>
      </c>
      <c r="D1334" s="82" t="s">
        <v>2364</v>
      </c>
      <c r="E1334" s="81">
        <v>43511</v>
      </c>
      <c r="F1334" s="27">
        <f t="shared" ca="1" si="20"/>
        <v>962</v>
      </c>
      <c r="G1334" s="79"/>
      <c r="H1334" s="80"/>
      <c r="I1334" s="80"/>
      <c r="J1334" s="79" t="s">
        <v>765</v>
      </c>
      <c r="K1334" s="78" t="s">
        <v>623</v>
      </c>
      <c r="L1334" s="77">
        <v>43518</v>
      </c>
      <c r="M1334" s="68"/>
      <c r="N1334" s="76"/>
      <c r="O1334" s="75" t="s">
        <v>2839</v>
      </c>
      <c r="R1334" s="74"/>
    </row>
    <row r="1335" spans="2:18" ht="36" hidden="1" customHeight="1" x14ac:dyDescent="0.25">
      <c r="B1335" s="84">
        <v>1829</v>
      </c>
      <c r="C1335" s="83" t="s">
        <v>23</v>
      </c>
      <c r="D1335" s="82" t="s">
        <v>3813</v>
      </c>
      <c r="E1335" s="81">
        <v>43511</v>
      </c>
      <c r="F1335" s="27">
        <f t="shared" ca="1" si="20"/>
        <v>962</v>
      </c>
      <c r="G1335" s="79"/>
      <c r="H1335" s="80"/>
      <c r="I1335" s="80"/>
      <c r="J1335" s="79"/>
      <c r="K1335" s="78"/>
      <c r="L1335" s="77">
        <v>43577</v>
      </c>
      <c r="M1335" s="68"/>
      <c r="N1335" s="76" t="s">
        <v>1133</v>
      </c>
      <c r="O1335" s="75" t="s">
        <v>816</v>
      </c>
      <c r="R1335" s="74"/>
    </row>
    <row r="1336" spans="2:18" ht="36" hidden="1" customHeight="1" x14ac:dyDescent="0.25">
      <c r="B1336" s="84">
        <v>1818</v>
      </c>
      <c r="C1336" s="83" t="s">
        <v>31</v>
      </c>
      <c r="D1336" s="82" t="s">
        <v>1096</v>
      </c>
      <c r="E1336" s="81">
        <v>43515</v>
      </c>
      <c r="F1336" s="27">
        <f t="shared" ca="1" si="20"/>
        <v>958</v>
      </c>
      <c r="G1336" s="79"/>
      <c r="H1336" s="80"/>
      <c r="I1336" s="80"/>
      <c r="J1336" s="79" t="s">
        <v>765</v>
      </c>
      <c r="K1336" s="78" t="s">
        <v>623</v>
      </c>
      <c r="L1336" s="77">
        <v>43515</v>
      </c>
      <c r="M1336" s="68"/>
      <c r="N1336" s="76" t="s">
        <v>1767</v>
      </c>
      <c r="O1336" s="75"/>
      <c r="R1336" s="74"/>
    </row>
    <row r="1337" spans="2:18" ht="36" hidden="1" customHeight="1" x14ac:dyDescent="0.25">
      <c r="B1337" s="84">
        <v>1819</v>
      </c>
      <c r="C1337" s="83" t="s">
        <v>16</v>
      </c>
      <c r="D1337" s="82" t="s">
        <v>1970</v>
      </c>
      <c r="E1337" s="81">
        <v>43515</v>
      </c>
      <c r="F1337" s="27">
        <f t="shared" ca="1" si="20"/>
        <v>958</v>
      </c>
      <c r="G1337" s="79"/>
      <c r="H1337" s="80"/>
      <c r="I1337" s="80"/>
      <c r="J1337" s="79" t="s">
        <v>579</v>
      </c>
      <c r="K1337" s="78" t="s">
        <v>623</v>
      </c>
      <c r="L1337" s="77">
        <v>43516</v>
      </c>
      <c r="M1337" s="68"/>
      <c r="N1337" s="76" t="s">
        <v>1971</v>
      </c>
      <c r="O1337" s="75"/>
      <c r="R1337" s="74"/>
    </row>
    <row r="1338" spans="2:18" ht="36" hidden="1" customHeight="1" x14ac:dyDescent="0.25">
      <c r="B1338" s="84">
        <v>1825</v>
      </c>
      <c r="C1338" s="83" t="s">
        <v>17</v>
      </c>
      <c r="D1338" s="82" t="s">
        <v>3102</v>
      </c>
      <c r="E1338" s="81">
        <v>43515</v>
      </c>
      <c r="F1338" s="27">
        <f t="shared" ca="1" si="20"/>
        <v>958</v>
      </c>
      <c r="G1338" s="79"/>
      <c r="H1338" s="80"/>
      <c r="I1338" s="80"/>
      <c r="J1338" s="79" t="s">
        <v>579</v>
      </c>
      <c r="K1338" s="78" t="s">
        <v>623</v>
      </c>
      <c r="L1338" s="77">
        <v>43535</v>
      </c>
      <c r="M1338" s="68"/>
      <c r="N1338" s="76" t="s">
        <v>3103</v>
      </c>
      <c r="O1338" s="75" t="s">
        <v>3104</v>
      </c>
      <c r="R1338" s="74"/>
    </row>
    <row r="1339" spans="2:18" ht="36" hidden="1" customHeight="1" x14ac:dyDescent="0.25">
      <c r="B1339" s="84">
        <v>1828</v>
      </c>
      <c r="C1339" s="83" t="s">
        <v>40</v>
      </c>
      <c r="D1339" s="82" t="s">
        <v>3618</v>
      </c>
      <c r="E1339" s="81">
        <v>43515</v>
      </c>
      <c r="F1339" s="27">
        <f t="shared" ca="1" si="20"/>
        <v>958</v>
      </c>
      <c r="G1339" s="79"/>
      <c r="H1339" s="80"/>
      <c r="I1339" s="80"/>
      <c r="J1339" s="79" t="s">
        <v>579</v>
      </c>
      <c r="K1339" s="78" t="s">
        <v>623</v>
      </c>
      <c r="L1339" s="77">
        <v>43515</v>
      </c>
      <c r="M1339" s="68"/>
      <c r="N1339" s="76"/>
      <c r="O1339" s="75" t="s">
        <v>3619</v>
      </c>
      <c r="R1339" s="74"/>
    </row>
    <row r="1340" spans="2:18" ht="36" hidden="1" customHeight="1" x14ac:dyDescent="0.25">
      <c r="B1340" s="84">
        <v>1647</v>
      </c>
      <c r="C1340" s="83" t="s">
        <v>23</v>
      </c>
      <c r="D1340" s="82" t="s">
        <v>1206</v>
      </c>
      <c r="E1340" s="81">
        <v>43516</v>
      </c>
      <c r="F1340" s="27">
        <f t="shared" ca="1" si="20"/>
        <v>957</v>
      </c>
      <c r="G1340" s="79"/>
      <c r="H1340" s="80"/>
      <c r="I1340" s="80"/>
      <c r="J1340" s="79" t="s">
        <v>592</v>
      </c>
      <c r="K1340" s="78" t="s">
        <v>580</v>
      </c>
      <c r="L1340" s="77">
        <v>43525</v>
      </c>
      <c r="M1340" s="68"/>
      <c r="N1340" s="76" t="s">
        <v>1207</v>
      </c>
      <c r="O1340" s="75" t="s">
        <v>1208</v>
      </c>
      <c r="R1340" s="74"/>
    </row>
    <row r="1341" spans="2:18" ht="36" hidden="1" customHeight="1" x14ac:dyDescent="0.25">
      <c r="B1341" s="84">
        <v>1647</v>
      </c>
      <c r="C1341" s="83" t="s">
        <v>23</v>
      </c>
      <c r="D1341" s="82" t="s">
        <v>1209</v>
      </c>
      <c r="E1341" s="81">
        <v>43516</v>
      </c>
      <c r="F1341" s="27">
        <f t="shared" ca="1" si="20"/>
        <v>957</v>
      </c>
      <c r="G1341" s="79"/>
      <c r="H1341" s="80"/>
      <c r="I1341" s="80"/>
      <c r="J1341" s="79" t="s">
        <v>592</v>
      </c>
      <c r="K1341" s="78" t="s">
        <v>580</v>
      </c>
      <c r="L1341" s="77">
        <v>43525</v>
      </c>
      <c r="M1341" s="68"/>
      <c r="N1341" s="76" t="s">
        <v>1207</v>
      </c>
      <c r="O1341" s="75" t="s">
        <v>1208</v>
      </c>
      <c r="R1341" s="74"/>
    </row>
    <row r="1342" spans="2:18" ht="36" hidden="1" customHeight="1" x14ac:dyDescent="0.25">
      <c r="B1342" s="84">
        <v>1816</v>
      </c>
      <c r="C1342" s="83" t="s">
        <v>40</v>
      </c>
      <c r="D1342" s="82" t="s">
        <v>1394</v>
      </c>
      <c r="E1342" s="81">
        <v>43516</v>
      </c>
      <c r="F1342" s="27">
        <f t="shared" ca="1" si="20"/>
        <v>957</v>
      </c>
      <c r="G1342" s="79"/>
      <c r="H1342" s="80"/>
      <c r="I1342" s="80"/>
      <c r="J1342" s="79"/>
      <c r="K1342" s="78"/>
      <c r="L1342" s="77">
        <v>43577</v>
      </c>
      <c r="M1342" s="68"/>
      <c r="N1342" s="76" t="s">
        <v>1395</v>
      </c>
      <c r="O1342" s="75" t="s">
        <v>816</v>
      </c>
      <c r="R1342" s="74"/>
    </row>
    <row r="1343" spans="2:18" ht="36" hidden="1" customHeight="1" x14ac:dyDescent="0.25">
      <c r="B1343" s="84">
        <v>1825</v>
      </c>
      <c r="C1343" s="83" t="s">
        <v>17</v>
      </c>
      <c r="D1343" s="82" t="s">
        <v>3105</v>
      </c>
      <c r="E1343" s="81">
        <v>43516</v>
      </c>
      <c r="F1343" s="27">
        <f t="shared" ca="1" si="20"/>
        <v>957</v>
      </c>
      <c r="G1343" s="79"/>
      <c r="H1343" s="80"/>
      <c r="I1343" s="80"/>
      <c r="J1343" s="79" t="s">
        <v>579</v>
      </c>
      <c r="K1343" s="78" t="s">
        <v>623</v>
      </c>
      <c r="L1343" s="77">
        <v>43535</v>
      </c>
      <c r="M1343" s="68"/>
      <c r="N1343" s="76" t="s">
        <v>3103</v>
      </c>
      <c r="O1343" s="75" t="s">
        <v>3104</v>
      </c>
      <c r="R1343" s="74"/>
    </row>
    <row r="1344" spans="2:18" ht="36" hidden="1" customHeight="1" x14ac:dyDescent="0.25">
      <c r="B1344" s="84">
        <v>1646</v>
      </c>
      <c r="C1344" s="83" t="s">
        <v>30</v>
      </c>
      <c r="D1344" s="82" t="s">
        <v>1134</v>
      </c>
      <c r="E1344" s="81">
        <v>43517</v>
      </c>
      <c r="F1344" s="27">
        <f t="shared" ca="1" si="20"/>
        <v>956</v>
      </c>
      <c r="G1344" s="79"/>
      <c r="H1344" s="80"/>
      <c r="I1344" s="80"/>
      <c r="J1344" s="79"/>
      <c r="K1344" s="78"/>
      <c r="L1344" s="77">
        <v>43577</v>
      </c>
      <c r="M1344" s="68"/>
      <c r="N1344" s="76" t="s">
        <v>1135</v>
      </c>
      <c r="O1344" s="75" t="s">
        <v>816</v>
      </c>
      <c r="R1344" s="74"/>
    </row>
    <row r="1345" spans="2:18" ht="36" hidden="1" customHeight="1" x14ac:dyDescent="0.25">
      <c r="B1345" s="84">
        <v>1641</v>
      </c>
      <c r="C1345" s="83" t="s">
        <v>40</v>
      </c>
      <c r="D1345" s="82" t="s">
        <v>671</v>
      </c>
      <c r="E1345" s="81">
        <v>43518</v>
      </c>
      <c r="F1345" s="27">
        <f t="shared" ca="1" si="20"/>
        <v>955</v>
      </c>
      <c r="G1345" s="79"/>
      <c r="H1345" s="80"/>
      <c r="I1345" s="80"/>
      <c r="J1345" s="79" t="s">
        <v>592</v>
      </c>
      <c r="K1345" s="78" t="s">
        <v>580</v>
      </c>
      <c r="L1345" s="77">
        <v>43525</v>
      </c>
      <c r="M1345" s="68"/>
      <c r="N1345" s="76" t="s">
        <v>669</v>
      </c>
      <c r="O1345" s="75" t="s">
        <v>670</v>
      </c>
      <c r="R1345" s="74"/>
    </row>
    <row r="1346" spans="2:18" ht="36" hidden="1" customHeight="1" x14ac:dyDescent="0.25">
      <c r="B1346" s="84">
        <v>1816</v>
      </c>
      <c r="C1346" s="83" t="s">
        <v>16</v>
      </c>
      <c r="D1346" s="82" t="s">
        <v>1396</v>
      </c>
      <c r="E1346" s="81">
        <v>43518</v>
      </c>
      <c r="F1346" s="27">
        <f t="shared" ca="1" si="20"/>
        <v>955</v>
      </c>
      <c r="G1346" s="79"/>
      <c r="H1346" s="80"/>
      <c r="I1346" s="80"/>
      <c r="J1346" s="79"/>
      <c r="K1346" s="78"/>
      <c r="L1346" s="77">
        <v>43577</v>
      </c>
      <c r="M1346" s="68"/>
      <c r="N1346" s="76" t="s">
        <v>1395</v>
      </c>
      <c r="O1346" s="75" t="s">
        <v>816</v>
      </c>
      <c r="R1346" s="74"/>
    </row>
    <row r="1347" spans="2:18" ht="36" hidden="1" customHeight="1" x14ac:dyDescent="0.25">
      <c r="B1347" s="84">
        <v>1816</v>
      </c>
      <c r="C1347" s="83" t="s">
        <v>36</v>
      </c>
      <c r="D1347" s="82" t="s">
        <v>1397</v>
      </c>
      <c r="E1347" s="81">
        <v>43518</v>
      </c>
      <c r="F1347" s="27">
        <f t="shared" ca="1" si="20"/>
        <v>955</v>
      </c>
      <c r="G1347" s="79"/>
      <c r="H1347" s="80"/>
      <c r="I1347" s="80"/>
      <c r="J1347" s="79"/>
      <c r="K1347" s="78"/>
      <c r="L1347" s="77">
        <v>43577</v>
      </c>
      <c r="M1347" s="68"/>
      <c r="N1347" s="76" t="s">
        <v>1395</v>
      </c>
      <c r="O1347" s="75" t="s">
        <v>816</v>
      </c>
      <c r="R1347" s="74"/>
    </row>
    <row r="1348" spans="2:18" ht="36" hidden="1" customHeight="1" x14ac:dyDescent="0.25">
      <c r="B1348" s="84">
        <v>1816</v>
      </c>
      <c r="C1348" s="83" t="s">
        <v>40</v>
      </c>
      <c r="D1348" s="82" t="s">
        <v>1398</v>
      </c>
      <c r="E1348" s="81">
        <v>43518</v>
      </c>
      <c r="F1348" s="27">
        <f t="shared" ca="1" si="20"/>
        <v>955</v>
      </c>
      <c r="G1348" s="79"/>
      <c r="H1348" s="80"/>
      <c r="I1348" s="80"/>
      <c r="J1348" s="79"/>
      <c r="K1348" s="78"/>
      <c r="L1348" s="77">
        <v>43577</v>
      </c>
      <c r="M1348" s="68"/>
      <c r="N1348" s="76" t="s">
        <v>1395</v>
      </c>
      <c r="O1348" s="75" t="s">
        <v>816</v>
      </c>
      <c r="R1348" s="74"/>
    </row>
    <row r="1349" spans="2:18" ht="36" hidden="1" customHeight="1" x14ac:dyDescent="0.25">
      <c r="B1349" s="84">
        <v>1816</v>
      </c>
      <c r="C1349" s="83" t="s">
        <v>40</v>
      </c>
      <c r="D1349" s="82" t="s">
        <v>1399</v>
      </c>
      <c r="E1349" s="81">
        <v>43518</v>
      </c>
      <c r="F1349" s="27">
        <f t="shared" ca="1" si="20"/>
        <v>955</v>
      </c>
      <c r="G1349" s="79"/>
      <c r="H1349" s="80"/>
      <c r="I1349" s="80"/>
      <c r="J1349" s="79"/>
      <c r="K1349" s="78"/>
      <c r="L1349" s="77">
        <v>43577</v>
      </c>
      <c r="M1349" s="68"/>
      <c r="N1349" s="76" t="s">
        <v>1395</v>
      </c>
      <c r="O1349" s="75" t="s">
        <v>816</v>
      </c>
      <c r="R1349" s="74"/>
    </row>
    <row r="1350" spans="2:18" ht="36" hidden="1" customHeight="1" x14ac:dyDescent="0.25">
      <c r="B1350" s="84">
        <v>1818</v>
      </c>
      <c r="C1350" s="83" t="s">
        <v>16</v>
      </c>
      <c r="D1350" s="82" t="s">
        <v>1772</v>
      </c>
      <c r="E1350" s="81">
        <v>43518</v>
      </c>
      <c r="F1350" s="27">
        <f t="shared" ca="1" si="20"/>
        <v>955</v>
      </c>
      <c r="G1350" s="79"/>
      <c r="H1350" s="80"/>
      <c r="I1350" s="80"/>
      <c r="J1350" s="79" t="s">
        <v>765</v>
      </c>
      <c r="K1350" s="78" t="s">
        <v>623</v>
      </c>
      <c r="L1350" s="77">
        <v>43522</v>
      </c>
      <c r="M1350" s="68"/>
      <c r="N1350" s="76" t="s">
        <v>1769</v>
      </c>
      <c r="O1350" s="75" t="s">
        <v>1770</v>
      </c>
      <c r="R1350" s="74"/>
    </row>
    <row r="1351" spans="2:18" ht="36" hidden="1" customHeight="1" x14ac:dyDescent="0.25">
      <c r="B1351" s="84">
        <v>1827</v>
      </c>
      <c r="C1351" s="83" t="s">
        <v>23</v>
      </c>
      <c r="D1351" s="82" t="s">
        <v>1160</v>
      </c>
      <c r="E1351" s="81">
        <v>43518</v>
      </c>
      <c r="F1351" s="27">
        <f t="shared" ca="1" si="20"/>
        <v>955</v>
      </c>
      <c r="G1351" s="79"/>
      <c r="H1351" s="80"/>
      <c r="I1351" s="80"/>
      <c r="J1351" s="79" t="s">
        <v>765</v>
      </c>
      <c r="K1351" s="78" t="s">
        <v>623</v>
      </c>
      <c r="L1351" s="77">
        <v>43521</v>
      </c>
      <c r="M1351" s="68"/>
      <c r="N1351" s="76" t="s">
        <v>3398</v>
      </c>
      <c r="O1351" s="75" t="s">
        <v>3399</v>
      </c>
      <c r="R1351" s="74"/>
    </row>
    <row r="1352" spans="2:18" ht="36" hidden="1" customHeight="1" x14ac:dyDescent="0.25">
      <c r="B1352" s="84">
        <v>1827</v>
      </c>
      <c r="C1352" s="83" t="s">
        <v>20</v>
      </c>
      <c r="D1352" s="82" t="s">
        <v>3400</v>
      </c>
      <c r="E1352" s="81">
        <v>43518</v>
      </c>
      <c r="F1352" s="27">
        <f t="shared" ca="1" si="20"/>
        <v>955</v>
      </c>
      <c r="G1352" s="79"/>
      <c r="H1352" s="80"/>
      <c r="I1352" s="80"/>
      <c r="J1352" s="79" t="s">
        <v>765</v>
      </c>
      <c r="K1352" s="78" t="s">
        <v>623</v>
      </c>
      <c r="L1352" s="77">
        <v>43521</v>
      </c>
      <c r="M1352" s="68"/>
      <c r="N1352" s="76" t="s">
        <v>3398</v>
      </c>
      <c r="O1352" s="75" t="s">
        <v>3399</v>
      </c>
      <c r="R1352" s="74"/>
    </row>
    <row r="1353" spans="2:18" ht="36" hidden="1" customHeight="1" x14ac:dyDescent="0.25">
      <c r="B1353" s="84">
        <v>1827</v>
      </c>
      <c r="C1353" s="83" t="s">
        <v>21</v>
      </c>
      <c r="D1353" s="82" t="s">
        <v>3401</v>
      </c>
      <c r="E1353" s="81">
        <v>43518</v>
      </c>
      <c r="F1353" s="27">
        <f t="shared" ca="1" si="20"/>
        <v>955</v>
      </c>
      <c r="G1353" s="79"/>
      <c r="H1353" s="80"/>
      <c r="I1353" s="80"/>
      <c r="J1353" s="79" t="s">
        <v>765</v>
      </c>
      <c r="K1353" s="78" t="s">
        <v>623</v>
      </c>
      <c r="L1353" s="77">
        <v>43521</v>
      </c>
      <c r="M1353" s="68"/>
      <c r="N1353" s="76" t="s">
        <v>3398</v>
      </c>
      <c r="O1353" s="75" t="s">
        <v>3399</v>
      </c>
      <c r="R1353" s="74"/>
    </row>
    <row r="1354" spans="2:18" ht="36" hidden="1" customHeight="1" x14ac:dyDescent="0.25">
      <c r="B1354" s="84">
        <v>1827</v>
      </c>
      <c r="C1354" s="83" t="s">
        <v>36</v>
      </c>
      <c r="D1354" s="82" t="s">
        <v>3402</v>
      </c>
      <c r="E1354" s="81">
        <v>43518</v>
      </c>
      <c r="F1354" s="27">
        <f t="shared" ca="1" si="20"/>
        <v>955</v>
      </c>
      <c r="G1354" s="79"/>
      <c r="H1354" s="80"/>
      <c r="I1354" s="80"/>
      <c r="J1354" s="79" t="s">
        <v>765</v>
      </c>
      <c r="K1354" s="78" t="s">
        <v>623</v>
      </c>
      <c r="L1354" s="77">
        <v>43521</v>
      </c>
      <c r="M1354" s="68"/>
      <c r="N1354" s="76" t="s">
        <v>3398</v>
      </c>
      <c r="O1354" s="75" t="s">
        <v>3399</v>
      </c>
      <c r="R1354" s="74"/>
    </row>
    <row r="1355" spans="2:18" ht="36" hidden="1" customHeight="1" x14ac:dyDescent="0.25">
      <c r="B1355" s="84">
        <v>1827</v>
      </c>
      <c r="C1355" s="83" t="s">
        <v>35</v>
      </c>
      <c r="D1355" s="82" t="s">
        <v>3407</v>
      </c>
      <c r="E1355" s="81">
        <v>43518</v>
      </c>
      <c r="F1355" s="27">
        <f t="shared" ca="1" si="20"/>
        <v>955</v>
      </c>
      <c r="G1355" s="79"/>
      <c r="H1355" s="80"/>
      <c r="I1355" s="80"/>
      <c r="J1355" s="79" t="s">
        <v>765</v>
      </c>
      <c r="K1355" s="78" t="s">
        <v>623</v>
      </c>
      <c r="L1355" s="77">
        <v>43539</v>
      </c>
      <c r="M1355" s="68"/>
      <c r="N1355" s="76" t="s">
        <v>3408</v>
      </c>
      <c r="O1355" s="75" t="s">
        <v>3409</v>
      </c>
      <c r="R1355" s="74"/>
    </row>
    <row r="1356" spans="2:18" ht="36" hidden="1" customHeight="1" x14ac:dyDescent="0.25">
      <c r="B1356" s="84">
        <v>1641</v>
      </c>
      <c r="C1356" s="83" t="s">
        <v>19</v>
      </c>
      <c r="D1356" s="82" t="s">
        <v>672</v>
      </c>
      <c r="E1356" s="81">
        <v>43522</v>
      </c>
      <c r="F1356" s="27">
        <f t="shared" ca="1" si="20"/>
        <v>951</v>
      </c>
      <c r="G1356" s="79"/>
      <c r="H1356" s="80"/>
      <c r="I1356" s="80"/>
      <c r="J1356" s="79" t="s">
        <v>592</v>
      </c>
      <c r="K1356" s="78" t="s">
        <v>580</v>
      </c>
      <c r="L1356" s="77">
        <v>43525</v>
      </c>
      <c r="M1356" s="68"/>
      <c r="N1356" s="76" t="s">
        <v>669</v>
      </c>
      <c r="O1356" s="75" t="s">
        <v>670</v>
      </c>
      <c r="R1356" s="74"/>
    </row>
    <row r="1357" spans="2:18" ht="36" hidden="1" customHeight="1" x14ac:dyDescent="0.25">
      <c r="B1357" s="84">
        <v>1647</v>
      </c>
      <c r="C1357" s="83" t="s">
        <v>19</v>
      </c>
      <c r="D1357" s="82" t="s">
        <v>1210</v>
      </c>
      <c r="E1357" s="81">
        <v>43522</v>
      </c>
      <c r="F1357" s="27">
        <f t="shared" ca="1" si="20"/>
        <v>951</v>
      </c>
      <c r="G1357" s="79"/>
      <c r="H1357" s="80"/>
      <c r="I1357" s="80"/>
      <c r="J1357" s="79" t="s">
        <v>592</v>
      </c>
      <c r="K1357" s="78" t="s">
        <v>580</v>
      </c>
      <c r="L1357" s="77">
        <v>43525</v>
      </c>
      <c r="M1357" s="68"/>
      <c r="N1357" s="76" t="s">
        <v>1207</v>
      </c>
      <c r="O1357" s="75" t="s">
        <v>1211</v>
      </c>
      <c r="R1357" s="74"/>
    </row>
    <row r="1358" spans="2:18" ht="36" hidden="1" customHeight="1" x14ac:dyDescent="0.25">
      <c r="B1358" s="84">
        <v>1647</v>
      </c>
      <c r="C1358" s="83" t="s">
        <v>23</v>
      </c>
      <c r="D1358" s="82" t="s">
        <v>1218</v>
      </c>
      <c r="E1358" s="81">
        <v>43522</v>
      </c>
      <c r="F1358" s="27">
        <f t="shared" ca="1" si="20"/>
        <v>951</v>
      </c>
      <c r="G1358" s="79"/>
      <c r="H1358" s="80"/>
      <c r="I1358" s="80"/>
      <c r="J1358" s="79"/>
      <c r="K1358" s="78"/>
      <c r="L1358" s="77">
        <v>43577</v>
      </c>
      <c r="M1358" s="68"/>
      <c r="N1358" s="76" t="s">
        <v>1133</v>
      </c>
      <c r="O1358" s="75" t="s">
        <v>1219</v>
      </c>
      <c r="R1358" s="74"/>
    </row>
    <row r="1359" spans="2:18" ht="36" hidden="1" customHeight="1" x14ac:dyDescent="0.25">
      <c r="B1359" s="84">
        <v>1818</v>
      </c>
      <c r="C1359" s="83" t="s">
        <v>36</v>
      </c>
      <c r="D1359" s="82" t="s">
        <v>1768</v>
      </c>
      <c r="E1359" s="81">
        <v>43522</v>
      </c>
      <c r="F1359" s="27">
        <f t="shared" ca="1" si="20"/>
        <v>951</v>
      </c>
      <c r="G1359" s="79"/>
      <c r="H1359" s="80"/>
      <c r="I1359" s="80"/>
      <c r="J1359" s="79" t="s">
        <v>592</v>
      </c>
      <c r="K1359" s="78" t="s">
        <v>623</v>
      </c>
      <c r="L1359" s="77">
        <v>43522</v>
      </c>
      <c r="M1359" s="68"/>
      <c r="N1359" s="76" t="s">
        <v>1769</v>
      </c>
      <c r="O1359" s="75" t="s">
        <v>1770</v>
      </c>
      <c r="R1359" s="74"/>
    </row>
    <row r="1360" spans="2:18" ht="36" hidden="1" customHeight="1" x14ac:dyDescent="0.25">
      <c r="B1360" s="84">
        <v>1827</v>
      </c>
      <c r="C1360" s="83" t="s">
        <v>17</v>
      </c>
      <c r="D1360" s="82" t="s">
        <v>3403</v>
      </c>
      <c r="E1360" s="81">
        <v>43522</v>
      </c>
      <c r="F1360" s="27">
        <f t="shared" ref="F1360:F1423" ca="1" si="21">IF(E1360&lt;&gt;"",TODAY()-E1360,"")</f>
        <v>951</v>
      </c>
      <c r="G1360" s="79"/>
      <c r="H1360" s="80"/>
      <c r="I1360" s="80"/>
      <c r="J1360" s="79" t="s">
        <v>579</v>
      </c>
      <c r="K1360" s="78" t="s">
        <v>623</v>
      </c>
      <c r="L1360" s="77">
        <v>43526</v>
      </c>
      <c r="M1360" s="68"/>
      <c r="N1360" s="76" t="s">
        <v>3404</v>
      </c>
      <c r="O1360" s="75" t="s">
        <v>3405</v>
      </c>
      <c r="R1360" s="74"/>
    </row>
    <row r="1361" spans="2:18" ht="36" hidden="1" customHeight="1" x14ac:dyDescent="0.25">
      <c r="B1361" s="84">
        <v>1827</v>
      </c>
      <c r="C1361" s="83" t="s">
        <v>21</v>
      </c>
      <c r="D1361" s="82" t="s">
        <v>3410</v>
      </c>
      <c r="E1361" s="81">
        <v>43522</v>
      </c>
      <c r="F1361" s="27">
        <f t="shared" ca="1" si="21"/>
        <v>951</v>
      </c>
      <c r="G1361" s="79"/>
      <c r="H1361" s="80"/>
      <c r="I1361" s="80"/>
      <c r="J1361" s="79"/>
      <c r="K1361" s="78"/>
      <c r="L1361" s="77">
        <v>43577</v>
      </c>
      <c r="M1361" s="68"/>
      <c r="N1361" s="76" t="s">
        <v>3404</v>
      </c>
      <c r="O1361" s="75" t="s">
        <v>816</v>
      </c>
      <c r="R1361" s="74"/>
    </row>
    <row r="1362" spans="2:18" ht="36" hidden="1" customHeight="1" x14ac:dyDescent="0.25">
      <c r="B1362" s="84">
        <v>1825</v>
      </c>
      <c r="C1362" s="83" t="s">
        <v>11</v>
      </c>
      <c r="D1362" s="82" t="s">
        <v>3107</v>
      </c>
      <c r="E1362" s="81">
        <v>43523</v>
      </c>
      <c r="F1362" s="27">
        <f t="shared" ca="1" si="21"/>
        <v>950</v>
      </c>
      <c r="G1362" s="79"/>
      <c r="H1362" s="80"/>
      <c r="I1362" s="80"/>
      <c r="J1362" s="79" t="s">
        <v>579</v>
      </c>
      <c r="K1362" s="78" t="s">
        <v>623</v>
      </c>
      <c r="L1362" s="77">
        <v>43535</v>
      </c>
      <c r="M1362" s="68"/>
      <c r="N1362" s="76" t="s">
        <v>3103</v>
      </c>
      <c r="O1362" s="75" t="s">
        <v>3104</v>
      </c>
      <c r="R1362" s="74"/>
    </row>
    <row r="1363" spans="2:18" ht="36" hidden="1" customHeight="1" x14ac:dyDescent="0.25">
      <c r="B1363" s="84">
        <v>1641</v>
      </c>
      <c r="C1363" s="83" t="s">
        <v>8</v>
      </c>
      <c r="D1363" s="82" t="s">
        <v>673</v>
      </c>
      <c r="E1363" s="81">
        <v>43524</v>
      </c>
      <c r="F1363" s="27">
        <f t="shared" ca="1" si="21"/>
        <v>949</v>
      </c>
      <c r="G1363" s="79"/>
      <c r="H1363" s="80"/>
      <c r="I1363" s="80"/>
      <c r="J1363" s="79" t="s">
        <v>592</v>
      </c>
      <c r="K1363" s="78" t="s">
        <v>580</v>
      </c>
      <c r="L1363" s="77">
        <v>43525</v>
      </c>
      <c r="M1363" s="68"/>
      <c r="N1363" s="76" t="s">
        <v>669</v>
      </c>
      <c r="O1363" s="75" t="s">
        <v>670</v>
      </c>
      <c r="R1363" s="74"/>
    </row>
    <row r="1364" spans="2:18" ht="36" hidden="1" customHeight="1" x14ac:dyDescent="0.25">
      <c r="B1364" s="84">
        <v>1830</v>
      </c>
      <c r="C1364" s="83" t="s">
        <v>19</v>
      </c>
      <c r="D1364" s="82" t="s">
        <v>3990</v>
      </c>
      <c r="E1364" s="81">
        <v>43524</v>
      </c>
      <c r="F1364" s="27">
        <f t="shared" ca="1" si="21"/>
        <v>949</v>
      </c>
      <c r="G1364" s="79"/>
      <c r="H1364" s="80"/>
      <c r="I1364" s="80"/>
      <c r="J1364" s="79" t="s">
        <v>765</v>
      </c>
      <c r="K1364" s="78" t="s">
        <v>623</v>
      </c>
      <c r="L1364" s="77">
        <v>43524</v>
      </c>
      <c r="M1364" s="68"/>
      <c r="N1364" s="76" t="s">
        <v>3991</v>
      </c>
      <c r="O1364" s="75"/>
      <c r="R1364" s="74"/>
    </row>
    <row r="1365" spans="2:18" ht="36" hidden="1" customHeight="1" x14ac:dyDescent="0.25">
      <c r="B1365" s="84">
        <v>1830</v>
      </c>
      <c r="C1365" s="83" t="s">
        <v>23</v>
      </c>
      <c r="D1365" s="82" t="s">
        <v>3999</v>
      </c>
      <c r="E1365" s="81">
        <v>43524</v>
      </c>
      <c r="F1365" s="27">
        <f t="shared" ca="1" si="21"/>
        <v>949</v>
      </c>
      <c r="G1365" s="79"/>
      <c r="H1365" s="80"/>
      <c r="I1365" s="80"/>
      <c r="J1365" s="79"/>
      <c r="K1365" s="78"/>
      <c r="L1365" s="77">
        <v>43577</v>
      </c>
      <c r="M1365" s="68"/>
      <c r="N1365" s="76" t="s">
        <v>4000</v>
      </c>
      <c r="O1365" s="75" t="s">
        <v>816</v>
      </c>
      <c r="R1365" s="74"/>
    </row>
    <row r="1366" spans="2:18" ht="36" hidden="1" customHeight="1" x14ac:dyDescent="0.25">
      <c r="B1366" s="84">
        <v>1827</v>
      </c>
      <c r="C1366" s="83" t="s">
        <v>40</v>
      </c>
      <c r="D1366" s="82" t="s">
        <v>3406</v>
      </c>
      <c r="E1366" s="81">
        <v>43525</v>
      </c>
      <c r="F1366" s="27">
        <f t="shared" ca="1" si="21"/>
        <v>948</v>
      </c>
      <c r="G1366" s="79"/>
      <c r="H1366" s="80"/>
      <c r="I1366" s="80"/>
      <c r="J1366" s="79" t="s">
        <v>579</v>
      </c>
      <c r="K1366" s="78" t="s">
        <v>623</v>
      </c>
      <c r="L1366" s="77">
        <v>43526</v>
      </c>
      <c r="M1366" s="68"/>
      <c r="N1366" s="76" t="s">
        <v>3404</v>
      </c>
      <c r="O1366" s="75" t="s">
        <v>3405</v>
      </c>
      <c r="R1366" s="74"/>
    </row>
    <row r="1367" spans="2:18" ht="36" hidden="1" customHeight="1" x14ac:dyDescent="0.25">
      <c r="B1367" s="84">
        <v>1828</v>
      </c>
      <c r="C1367" s="83" t="s">
        <v>40</v>
      </c>
      <c r="D1367" s="82" t="s">
        <v>3462</v>
      </c>
      <c r="E1367" s="81">
        <v>43525</v>
      </c>
      <c r="F1367" s="27">
        <f t="shared" ca="1" si="21"/>
        <v>948</v>
      </c>
      <c r="G1367" s="79"/>
      <c r="H1367" s="80"/>
      <c r="I1367" s="80"/>
      <c r="J1367" s="79"/>
      <c r="K1367" s="78"/>
      <c r="L1367" s="77">
        <v>43577</v>
      </c>
      <c r="M1367" s="68"/>
      <c r="N1367" s="76" t="s">
        <v>812</v>
      </c>
      <c r="O1367" s="75" t="s">
        <v>816</v>
      </c>
      <c r="R1367" s="74"/>
    </row>
    <row r="1368" spans="2:18" ht="36" hidden="1" customHeight="1" x14ac:dyDescent="0.25">
      <c r="B1368" s="84">
        <v>1829</v>
      </c>
      <c r="C1368" s="83" t="s">
        <v>31</v>
      </c>
      <c r="D1368" s="82" t="s">
        <v>3814</v>
      </c>
      <c r="E1368" s="81">
        <v>43525</v>
      </c>
      <c r="F1368" s="27">
        <f t="shared" ca="1" si="21"/>
        <v>948</v>
      </c>
      <c r="G1368" s="79"/>
      <c r="H1368" s="80"/>
      <c r="I1368" s="80"/>
      <c r="J1368" s="79"/>
      <c r="K1368" s="78"/>
      <c r="L1368" s="77">
        <v>43577</v>
      </c>
      <c r="M1368" s="68"/>
      <c r="N1368" s="76" t="s">
        <v>1980</v>
      </c>
      <c r="O1368" s="75" t="s">
        <v>816</v>
      </c>
      <c r="R1368" s="74"/>
    </row>
    <row r="1369" spans="2:18" ht="36" hidden="1" customHeight="1" x14ac:dyDescent="0.25">
      <c r="B1369" s="84">
        <v>1816</v>
      </c>
      <c r="C1369" s="83" t="s">
        <v>17</v>
      </c>
      <c r="D1369" s="82" t="s">
        <v>1406</v>
      </c>
      <c r="E1369" s="81">
        <v>43528</v>
      </c>
      <c r="F1369" s="27">
        <f t="shared" ca="1" si="21"/>
        <v>945</v>
      </c>
      <c r="G1369" s="79"/>
      <c r="H1369" s="80"/>
      <c r="I1369" s="80"/>
      <c r="J1369" s="79"/>
      <c r="K1369" s="78"/>
      <c r="L1369" s="77">
        <v>43587</v>
      </c>
      <c r="M1369" s="68"/>
      <c r="N1369" s="76" t="s">
        <v>1407</v>
      </c>
      <c r="O1369" s="75" t="s">
        <v>1408</v>
      </c>
      <c r="R1369" s="74"/>
    </row>
    <row r="1370" spans="2:18" ht="36" hidden="1" customHeight="1" x14ac:dyDescent="0.25">
      <c r="B1370" s="84">
        <v>1825</v>
      </c>
      <c r="C1370" s="83" t="s">
        <v>15</v>
      </c>
      <c r="D1370" s="82" t="s">
        <v>3108</v>
      </c>
      <c r="E1370" s="81">
        <v>43528</v>
      </c>
      <c r="F1370" s="27">
        <f t="shared" ca="1" si="21"/>
        <v>945</v>
      </c>
      <c r="G1370" s="79"/>
      <c r="H1370" s="80"/>
      <c r="I1370" s="80"/>
      <c r="J1370" s="79" t="s">
        <v>579</v>
      </c>
      <c r="K1370" s="78" t="s">
        <v>623</v>
      </c>
      <c r="L1370" s="77">
        <v>43535</v>
      </c>
      <c r="M1370" s="68"/>
      <c r="N1370" s="76" t="s">
        <v>3103</v>
      </c>
      <c r="O1370" s="75" t="s">
        <v>3104</v>
      </c>
      <c r="R1370" s="74"/>
    </row>
    <row r="1371" spans="2:18" ht="36" hidden="1" customHeight="1" x14ac:dyDescent="0.25">
      <c r="B1371" s="84">
        <v>1829</v>
      </c>
      <c r="C1371" s="83" t="s">
        <v>23</v>
      </c>
      <c r="D1371" s="82" t="s">
        <v>2879</v>
      </c>
      <c r="E1371" s="81">
        <v>43528</v>
      </c>
      <c r="F1371" s="27">
        <f t="shared" ca="1" si="21"/>
        <v>945</v>
      </c>
      <c r="G1371" s="79"/>
      <c r="H1371" s="80"/>
      <c r="I1371" s="80"/>
      <c r="J1371" s="79"/>
      <c r="K1371" s="78"/>
      <c r="L1371" s="77">
        <v>43577</v>
      </c>
      <c r="M1371" s="68"/>
      <c r="N1371" s="76" t="s">
        <v>1133</v>
      </c>
      <c r="O1371" s="75" t="s">
        <v>816</v>
      </c>
      <c r="R1371" s="74"/>
    </row>
    <row r="1372" spans="2:18" ht="36" hidden="1" customHeight="1" x14ac:dyDescent="0.25">
      <c r="B1372" s="84">
        <v>1642</v>
      </c>
      <c r="C1372" s="83" t="s">
        <v>12</v>
      </c>
      <c r="D1372" s="82" t="s">
        <v>811</v>
      </c>
      <c r="E1372" s="81">
        <v>43529</v>
      </c>
      <c r="F1372" s="27">
        <f t="shared" ca="1" si="21"/>
        <v>944</v>
      </c>
      <c r="G1372" s="79"/>
      <c r="H1372" s="80"/>
      <c r="I1372" s="80"/>
      <c r="J1372" s="79" t="s">
        <v>592</v>
      </c>
      <c r="K1372" s="78" t="s">
        <v>580</v>
      </c>
      <c r="L1372" s="77">
        <v>43539</v>
      </c>
      <c r="M1372" s="68"/>
      <c r="N1372" s="76" t="s">
        <v>812</v>
      </c>
      <c r="O1372" s="75" t="s">
        <v>813</v>
      </c>
      <c r="R1372" s="74"/>
    </row>
    <row r="1373" spans="2:18" ht="36" hidden="1" customHeight="1" x14ac:dyDescent="0.25">
      <c r="B1373" s="84">
        <v>1647</v>
      </c>
      <c r="C1373" s="83" t="s">
        <v>23</v>
      </c>
      <c r="D1373" s="82" t="s">
        <v>1220</v>
      </c>
      <c r="E1373" s="81">
        <v>43529</v>
      </c>
      <c r="F1373" s="27">
        <f t="shared" ca="1" si="21"/>
        <v>944</v>
      </c>
      <c r="G1373" s="79"/>
      <c r="H1373" s="80"/>
      <c r="I1373" s="80"/>
      <c r="J1373" s="79"/>
      <c r="K1373" s="78"/>
      <c r="L1373" s="77">
        <v>43577</v>
      </c>
      <c r="M1373" s="68"/>
      <c r="N1373" s="76" t="s">
        <v>1133</v>
      </c>
      <c r="O1373" s="75" t="s">
        <v>816</v>
      </c>
      <c r="R1373" s="74"/>
    </row>
    <row r="1374" spans="2:18" ht="36" hidden="1" customHeight="1" x14ac:dyDescent="0.25">
      <c r="B1374" s="84">
        <v>1830</v>
      </c>
      <c r="C1374" s="83" t="s">
        <v>18</v>
      </c>
      <c r="D1374" s="82" t="s">
        <v>3994</v>
      </c>
      <c r="E1374" s="81">
        <v>43531</v>
      </c>
      <c r="F1374" s="27">
        <f t="shared" ca="1" si="21"/>
        <v>942</v>
      </c>
      <c r="G1374" s="79"/>
      <c r="H1374" s="80"/>
      <c r="I1374" s="80"/>
      <c r="J1374" s="79" t="s">
        <v>1301</v>
      </c>
      <c r="K1374" s="78" t="s">
        <v>1301</v>
      </c>
      <c r="L1374" s="77">
        <v>43545</v>
      </c>
      <c r="M1374" s="68"/>
      <c r="N1374" s="76" t="s">
        <v>1055</v>
      </c>
      <c r="O1374" s="75" t="s">
        <v>3995</v>
      </c>
      <c r="R1374" s="74"/>
    </row>
    <row r="1375" spans="2:18" ht="36" hidden="1" customHeight="1" x14ac:dyDescent="0.25">
      <c r="B1375" s="84">
        <v>1822</v>
      </c>
      <c r="C1375" s="83" t="s">
        <v>21</v>
      </c>
      <c r="D1375" s="82" t="s">
        <v>2463</v>
      </c>
      <c r="E1375" s="81">
        <v>43532</v>
      </c>
      <c r="F1375" s="27">
        <f t="shared" ca="1" si="21"/>
        <v>941</v>
      </c>
      <c r="G1375" s="79"/>
      <c r="H1375" s="80"/>
      <c r="I1375" s="80"/>
      <c r="J1375" s="79"/>
      <c r="K1375" s="78"/>
      <c r="L1375" s="77">
        <v>43577</v>
      </c>
      <c r="M1375" s="68"/>
      <c r="N1375" s="76" t="s">
        <v>2464</v>
      </c>
      <c r="O1375" s="75" t="s">
        <v>816</v>
      </c>
      <c r="R1375" s="74"/>
    </row>
    <row r="1376" spans="2:18" ht="36" hidden="1" customHeight="1" x14ac:dyDescent="0.25">
      <c r="B1376" s="84">
        <v>1822</v>
      </c>
      <c r="C1376" s="83" t="s">
        <v>21</v>
      </c>
      <c r="D1376" s="82" t="s">
        <v>2465</v>
      </c>
      <c r="E1376" s="81">
        <v>43532</v>
      </c>
      <c r="F1376" s="27">
        <f t="shared" ca="1" si="21"/>
        <v>941</v>
      </c>
      <c r="G1376" s="79"/>
      <c r="H1376" s="80"/>
      <c r="I1376" s="80"/>
      <c r="J1376" s="79"/>
      <c r="K1376" s="78"/>
      <c r="L1376" s="77">
        <v>43577</v>
      </c>
      <c r="M1376" s="68"/>
      <c r="N1376" s="76" t="s">
        <v>2464</v>
      </c>
      <c r="O1376" s="75" t="s">
        <v>816</v>
      </c>
      <c r="R1376" s="74"/>
    </row>
    <row r="1377" spans="2:18" ht="36" hidden="1" customHeight="1" x14ac:dyDescent="0.25">
      <c r="B1377" s="84">
        <v>1823</v>
      </c>
      <c r="C1377" s="83" t="s">
        <v>16</v>
      </c>
      <c r="D1377" s="82" t="s">
        <v>2645</v>
      </c>
      <c r="E1377" s="81">
        <v>43532</v>
      </c>
      <c r="F1377" s="27">
        <f t="shared" ca="1" si="21"/>
        <v>941</v>
      </c>
      <c r="G1377" s="79"/>
      <c r="H1377" s="80"/>
      <c r="I1377" s="80"/>
      <c r="J1377" s="79"/>
      <c r="K1377" s="78"/>
      <c r="L1377" s="77">
        <v>43577</v>
      </c>
      <c r="M1377" s="68"/>
      <c r="N1377" s="76" t="s">
        <v>2644</v>
      </c>
      <c r="O1377" s="75" t="s">
        <v>816</v>
      </c>
      <c r="R1377" s="74"/>
    </row>
    <row r="1378" spans="2:18" ht="36" hidden="1" customHeight="1" x14ac:dyDescent="0.25">
      <c r="B1378" s="84">
        <v>1824</v>
      </c>
      <c r="C1378" s="83" t="s">
        <v>16</v>
      </c>
      <c r="D1378" s="82" t="s">
        <v>2841</v>
      </c>
      <c r="E1378" s="81">
        <v>43532</v>
      </c>
      <c r="F1378" s="27">
        <f t="shared" ca="1" si="21"/>
        <v>941</v>
      </c>
      <c r="G1378" s="79"/>
      <c r="H1378" s="80"/>
      <c r="I1378" s="80"/>
      <c r="J1378" s="79" t="s">
        <v>579</v>
      </c>
      <c r="K1378" s="78" t="s">
        <v>623</v>
      </c>
      <c r="L1378" s="77">
        <v>43539</v>
      </c>
      <c r="M1378" s="68"/>
      <c r="N1378" s="76" t="s">
        <v>2842</v>
      </c>
      <c r="O1378" s="75" t="s">
        <v>2843</v>
      </c>
      <c r="R1378" s="74"/>
    </row>
    <row r="1379" spans="2:18" ht="36" hidden="1" customHeight="1" x14ac:dyDescent="0.25">
      <c r="B1379" s="84">
        <v>1819</v>
      </c>
      <c r="C1379" s="83" t="s">
        <v>23</v>
      </c>
      <c r="D1379" s="82" t="s">
        <v>347</v>
      </c>
      <c r="E1379" s="81">
        <v>43535</v>
      </c>
      <c r="F1379" s="27">
        <f t="shared" ca="1" si="21"/>
        <v>938</v>
      </c>
      <c r="G1379" s="79"/>
      <c r="H1379" s="80"/>
      <c r="I1379" s="80"/>
      <c r="J1379" s="79" t="s">
        <v>1301</v>
      </c>
      <c r="K1379" s="78" t="s">
        <v>1301</v>
      </c>
      <c r="L1379" s="77">
        <v>43543</v>
      </c>
      <c r="M1379" s="68"/>
      <c r="N1379" s="76" t="s">
        <v>1974</v>
      </c>
      <c r="O1379" s="75" t="s">
        <v>1975</v>
      </c>
      <c r="R1379" s="74"/>
    </row>
    <row r="1380" spans="2:18" ht="36" hidden="1" customHeight="1" x14ac:dyDescent="0.25">
      <c r="B1380" s="84">
        <v>1819</v>
      </c>
      <c r="C1380" s="83" t="s">
        <v>23</v>
      </c>
      <c r="D1380" s="82" t="s">
        <v>1976</v>
      </c>
      <c r="E1380" s="81">
        <v>43535</v>
      </c>
      <c r="F1380" s="27">
        <f t="shared" ca="1" si="21"/>
        <v>938</v>
      </c>
      <c r="G1380" s="79"/>
      <c r="H1380" s="80"/>
      <c r="I1380" s="80"/>
      <c r="J1380" s="79" t="s">
        <v>1301</v>
      </c>
      <c r="K1380" s="78" t="s">
        <v>1301</v>
      </c>
      <c r="L1380" s="77">
        <v>43543</v>
      </c>
      <c r="M1380" s="68"/>
      <c r="N1380" s="76"/>
      <c r="O1380" s="75" t="s">
        <v>1975</v>
      </c>
      <c r="R1380" s="74"/>
    </row>
    <row r="1381" spans="2:18" ht="36" hidden="1" customHeight="1" x14ac:dyDescent="0.25">
      <c r="B1381" s="84">
        <v>1828</v>
      </c>
      <c r="C1381" s="83" t="s">
        <v>12</v>
      </c>
      <c r="D1381" s="82" t="s">
        <v>3620</v>
      </c>
      <c r="E1381" s="81">
        <v>43535</v>
      </c>
      <c r="F1381" s="27">
        <f t="shared" ca="1" si="21"/>
        <v>938</v>
      </c>
      <c r="G1381" s="79"/>
      <c r="H1381" s="80"/>
      <c r="I1381" s="80"/>
      <c r="J1381" s="79" t="s">
        <v>579</v>
      </c>
      <c r="K1381" s="78" t="s">
        <v>623</v>
      </c>
      <c r="L1381" s="77">
        <v>43536</v>
      </c>
      <c r="M1381" s="68"/>
      <c r="N1381" s="76" t="s">
        <v>812</v>
      </c>
      <c r="O1381" s="75"/>
      <c r="R1381" s="74"/>
    </row>
    <row r="1382" spans="2:18" ht="36" hidden="1" customHeight="1" x14ac:dyDescent="0.25">
      <c r="B1382" s="84">
        <v>1816</v>
      </c>
      <c r="C1382" s="83" t="s">
        <v>23</v>
      </c>
      <c r="D1382" s="82" t="s">
        <v>346</v>
      </c>
      <c r="E1382" s="81">
        <v>43536</v>
      </c>
      <c r="F1382" s="27">
        <f t="shared" ca="1" si="21"/>
        <v>937</v>
      </c>
      <c r="G1382" s="79"/>
      <c r="H1382" s="80"/>
      <c r="I1382" s="80"/>
      <c r="J1382" s="79"/>
      <c r="K1382" s="78"/>
      <c r="L1382" s="77">
        <v>43577</v>
      </c>
      <c r="M1382" s="68"/>
      <c r="N1382" s="76" t="s">
        <v>1395</v>
      </c>
      <c r="O1382" s="75" t="s">
        <v>816</v>
      </c>
      <c r="R1382" s="74"/>
    </row>
    <row r="1383" spans="2:18" ht="36" hidden="1" customHeight="1" x14ac:dyDescent="0.25">
      <c r="B1383" s="84">
        <v>1816</v>
      </c>
      <c r="C1383" s="83" t="s">
        <v>23</v>
      </c>
      <c r="D1383" s="82" t="s">
        <v>1400</v>
      </c>
      <c r="E1383" s="81">
        <v>43536</v>
      </c>
      <c r="F1383" s="27">
        <f t="shared" ca="1" si="21"/>
        <v>937</v>
      </c>
      <c r="G1383" s="79"/>
      <c r="H1383" s="80"/>
      <c r="I1383" s="80"/>
      <c r="J1383" s="79"/>
      <c r="K1383" s="78"/>
      <c r="L1383" s="77">
        <v>43577</v>
      </c>
      <c r="M1383" s="68"/>
      <c r="N1383" s="76" t="s">
        <v>1395</v>
      </c>
      <c r="O1383" s="75" t="s">
        <v>816</v>
      </c>
      <c r="R1383" s="74"/>
    </row>
    <row r="1384" spans="2:18" ht="36" hidden="1" customHeight="1" x14ac:dyDescent="0.25">
      <c r="B1384" s="84">
        <v>1819</v>
      </c>
      <c r="C1384" s="83" t="s">
        <v>9</v>
      </c>
      <c r="D1384" s="82" t="s">
        <v>1977</v>
      </c>
      <c r="E1384" s="81">
        <v>43536</v>
      </c>
      <c r="F1384" s="27">
        <f t="shared" ca="1" si="21"/>
        <v>937</v>
      </c>
      <c r="G1384" s="79"/>
      <c r="H1384" s="80"/>
      <c r="I1384" s="80"/>
      <c r="J1384" s="79" t="s">
        <v>1301</v>
      </c>
      <c r="K1384" s="78" t="s">
        <v>1301</v>
      </c>
      <c r="L1384" s="77">
        <v>43543</v>
      </c>
      <c r="M1384" s="68"/>
      <c r="N1384" s="76" t="s">
        <v>1974</v>
      </c>
      <c r="O1384" s="75" t="s">
        <v>1978</v>
      </c>
      <c r="R1384" s="74"/>
    </row>
    <row r="1385" spans="2:18" ht="36" hidden="1" customHeight="1" x14ac:dyDescent="0.25">
      <c r="B1385" s="84">
        <v>1820</v>
      </c>
      <c r="C1385" s="83" t="s">
        <v>16</v>
      </c>
      <c r="D1385" s="82" t="s">
        <v>2162</v>
      </c>
      <c r="E1385" s="81">
        <v>43536</v>
      </c>
      <c r="F1385" s="27">
        <f t="shared" ca="1" si="21"/>
        <v>937</v>
      </c>
      <c r="G1385" s="79"/>
      <c r="H1385" s="80"/>
      <c r="I1385" s="80"/>
      <c r="J1385" s="79" t="s">
        <v>579</v>
      </c>
      <c r="K1385" s="78" t="s">
        <v>623</v>
      </c>
      <c r="L1385" s="77">
        <v>43536</v>
      </c>
      <c r="M1385" s="68"/>
      <c r="N1385" s="76" t="s">
        <v>2163</v>
      </c>
      <c r="O1385" s="75" t="s">
        <v>2164</v>
      </c>
      <c r="R1385" s="74"/>
    </row>
    <row r="1386" spans="2:18" ht="36" hidden="1" customHeight="1" x14ac:dyDescent="0.25">
      <c r="B1386" s="84">
        <v>1824</v>
      </c>
      <c r="C1386" s="83" t="s">
        <v>23</v>
      </c>
      <c r="D1386" s="82" t="s">
        <v>2844</v>
      </c>
      <c r="E1386" s="81">
        <v>43536</v>
      </c>
      <c r="F1386" s="27">
        <f t="shared" ca="1" si="21"/>
        <v>937</v>
      </c>
      <c r="G1386" s="79"/>
      <c r="H1386" s="80"/>
      <c r="I1386" s="80"/>
      <c r="J1386" s="79" t="s">
        <v>579</v>
      </c>
      <c r="K1386" s="78" t="s">
        <v>623</v>
      </c>
      <c r="L1386" s="77">
        <v>43539</v>
      </c>
      <c r="M1386" s="68"/>
      <c r="N1386" s="76" t="s">
        <v>2842</v>
      </c>
      <c r="O1386" s="75" t="s">
        <v>2843</v>
      </c>
      <c r="R1386" s="74"/>
    </row>
    <row r="1387" spans="2:18" ht="36" hidden="1" customHeight="1" x14ac:dyDescent="0.25">
      <c r="B1387" s="84">
        <v>1824</v>
      </c>
      <c r="C1387" s="83" t="s">
        <v>16</v>
      </c>
      <c r="D1387" s="82" t="s">
        <v>2845</v>
      </c>
      <c r="E1387" s="81">
        <v>43536</v>
      </c>
      <c r="F1387" s="27">
        <f t="shared" ca="1" si="21"/>
        <v>937</v>
      </c>
      <c r="G1387" s="79"/>
      <c r="H1387" s="80"/>
      <c r="I1387" s="80"/>
      <c r="J1387" s="79" t="s">
        <v>579</v>
      </c>
      <c r="K1387" s="78" t="s">
        <v>623</v>
      </c>
      <c r="L1387" s="77">
        <v>43539</v>
      </c>
      <c r="M1387" s="68"/>
      <c r="N1387" s="76" t="s">
        <v>2842</v>
      </c>
      <c r="O1387" s="75" t="s">
        <v>2843</v>
      </c>
      <c r="R1387" s="74"/>
    </row>
    <row r="1388" spans="2:18" ht="36" hidden="1" customHeight="1" x14ac:dyDescent="0.25">
      <c r="B1388" s="84">
        <v>1824</v>
      </c>
      <c r="C1388" s="83" t="s">
        <v>12</v>
      </c>
      <c r="D1388" s="82" t="s">
        <v>2849</v>
      </c>
      <c r="E1388" s="81">
        <v>43537</v>
      </c>
      <c r="F1388" s="27">
        <f t="shared" ca="1" si="21"/>
        <v>936</v>
      </c>
      <c r="G1388" s="79"/>
      <c r="H1388" s="80"/>
      <c r="I1388" s="80"/>
      <c r="J1388" s="79"/>
      <c r="K1388" s="78"/>
      <c r="L1388" s="77">
        <v>43577</v>
      </c>
      <c r="M1388" s="68"/>
      <c r="N1388" s="76" t="s">
        <v>2842</v>
      </c>
      <c r="O1388" s="75" t="s">
        <v>816</v>
      </c>
      <c r="R1388" s="74"/>
    </row>
    <row r="1389" spans="2:18" ht="36" hidden="1" customHeight="1" x14ac:dyDescent="0.25">
      <c r="B1389" s="84">
        <v>1823</v>
      </c>
      <c r="C1389" s="83" t="s">
        <v>30</v>
      </c>
      <c r="D1389" s="82" t="s">
        <v>2646</v>
      </c>
      <c r="E1389" s="81">
        <v>43538</v>
      </c>
      <c r="F1389" s="27">
        <f t="shared" ca="1" si="21"/>
        <v>935</v>
      </c>
      <c r="G1389" s="79"/>
      <c r="H1389" s="80"/>
      <c r="I1389" s="80"/>
      <c r="J1389" s="79"/>
      <c r="K1389" s="78"/>
      <c r="L1389" s="77">
        <v>43577</v>
      </c>
      <c r="M1389" s="68"/>
      <c r="N1389" s="76" t="s">
        <v>2644</v>
      </c>
      <c r="O1389" s="75" t="s">
        <v>816</v>
      </c>
      <c r="R1389" s="74"/>
    </row>
    <row r="1390" spans="2:18" ht="36" hidden="1" customHeight="1" x14ac:dyDescent="0.25">
      <c r="B1390" s="84">
        <v>1823</v>
      </c>
      <c r="C1390" s="83" t="s">
        <v>39</v>
      </c>
      <c r="D1390" s="82" t="s">
        <v>1969</v>
      </c>
      <c r="E1390" s="81">
        <v>43538</v>
      </c>
      <c r="F1390" s="27">
        <f t="shared" ca="1" si="21"/>
        <v>935</v>
      </c>
      <c r="G1390" s="79"/>
      <c r="H1390" s="80"/>
      <c r="I1390" s="80"/>
      <c r="J1390" s="79"/>
      <c r="K1390" s="78"/>
      <c r="L1390" s="77">
        <v>43577</v>
      </c>
      <c r="M1390" s="68"/>
      <c r="N1390" s="76" t="s">
        <v>2644</v>
      </c>
      <c r="O1390" s="75" t="s">
        <v>816</v>
      </c>
      <c r="R1390" s="74"/>
    </row>
    <row r="1391" spans="2:18" ht="36" hidden="1" customHeight="1" x14ac:dyDescent="0.25">
      <c r="B1391" s="84">
        <v>1818</v>
      </c>
      <c r="C1391" s="83" t="s">
        <v>12</v>
      </c>
      <c r="D1391" s="82" t="s">
        <v>1773</v>
      </c>
      <c r="E1391" s="81">
        <v>43539</v>
      </c>
      <c r="F1391" s="27">
        <f t="shared" ca="1" si="21"/>
        <v>934</v>
      </c>
      <c r="G1391" s="79"/>
      <c r="H1391" s="80"/>
      <c r="I1391" s="80"/>
      <c r="J1391" s="79"/>
      <c r="K1391" s="78"/>
      <c r="L1391" s="77">
        <v>43577</v>
      </c>
      <c r="M1391" s="68"/>
      <c r="N1391" s="76" t="s">
        <v>1774</v>
      </c>
      <c r="O1391" s="75" t="s">
        <v>1775</v>
      </c>
      <c r="R1391" s="74"/>
    </row>
    <row r="1392" spans="2:18" ht="36" hidden="1" customHeight="1" x14ac:dyDescent="0.25">
      <c r="B1392" s="84">
        <v>1827</v>
      </c>
      <c r="C1392" s="83" t="s">
        <v>23</v>
      </c>
      <c r="D1392" s="82" t="s">
        <v>346</v>
      </c>
      <c r="E1392" s="81">
        <v>43539</v>
      </c>
      <c r="F1392" s="27">
        <f t="shared" ca="1" si="21"/>
        <v>934</v>
      </c>
      <c r="G1392" s="79"/>
      <c r="H1392" s="80"/>
      <c r="I1392" s="80"/>
      <c r="J1392" s="79"/>
      <c r="K1392" s="78"/>
      <c r="L1392" s="77">
        <v>43577</v>
      </c>
      <c r="M1392" s="68"/>
      <c r="N1392" s="76" t="s">
        <v>1980</v>
      </c>
      <c r="O1392" s="75" t="s">
        <v>816</v>
      </c>
      <c r="R1392" s="74"/>
    </row>
    <row r="1393" spans="2:18" ht="36" hidden="1" customHeight="1" x14ac:dyDescent="0.25">
      <c r="B1393" s="84">
        <v>1642</v>
      </c>
      <c r="C1393" s="83" t="s">
        <v>11</v>
      </c>
      <c r="D1393" s="82" t="s">
        <v>814</v>
      </c>
      <c r="E1393" s="81">
        <v>43542</v>
      </c>
      <c r="F1393" s="27">
        <f t="shared" ca="1" si="21"/>
        <v>931</v>
      </c>
      <c r="G1393" s="79"/>
      <c r="H1393" s="80"/>
      <c r="I1393" s="80"/>
      <c r="J1393" s="79"/>
      <c r="K1393" s="78"/>
      <c r="L1393" s="77">
        <v>43577</v>
      </c>
      <c r="M1393" s="68"/>
      <c r="N1393" s="76" t="s">
        <v>815</v>
      </c>
      <c r="O1393" s="75" t="s">
        <v>816</v>
      </c>
      <c r="R1393" s="74"/>
    </row>
    <row r="1394" spans="2:18" ht="36" hidden="1" customHeight="1" x14ac:dyDescent="0.25">
      <c r="B1394" s="84">
        <v>1647</v>
      </c>
      <c r="C1394" s="83" t="s">
        <v>39</v>
      </c>
      <c r="D1394" s="82" t="s">
        <v>1212</v>
      </c>
      <c r="E1394" s="81">
        <v>43542</v>
      </c>
      <c r="F1394" s="27">
        <f t="shared" ca="1" si="21"/>
        <v>931</v>
      </c>
      <c r="G1394" s="79"/>
      <c r="H1394" s="80"/>
      <c r="I1394" s="80"/>
      <c r="J1394" s="79" t="s">
        <v>592</v>
      </c>
      <c r="K1394" s="78" t="s">
        <v>580</v>
      </c>
      <c r="L1394" s="77">
        <v>43544</v>
      </c>
      <c r="M1394" s="68"/>
      <c r="N1394" s="76" t="s">
        <v>1213</v>
      </c>
      <c r="O1394" s="75" t="s">
        <v>1214</v>
      </c>
      <c r="R1394" s="74"/>
    </row>
    <row r="1395" spans="2:18" ht="36" hidden="1" customHeight="1" x14ac:dyDescent="0.25">
      <c r="B1395" s="84">
        <v>1647</v>
      </c>
      <c r="C1395" s="83" t="s">
        <v>12</v>
      </c>
      <c r="D1395" s="82" t="s">
        <v>1215</v>
      </c>
      <c r="E1395" s="81">
        <v>43542</v>
      </c>
      <c r="F1395" s="27">
        <f t="shared" ca="1" si="21"/>
        <v>931</v>
      </c>
      <c r="G1395" s="79"/>
      <c r="H1395" s="80"/>
      <c r="I1395" s="80"/>
      <c r="J1395" s="79" t="s">
        <v>592</v>
      </c>
      <c r="K1395" s="78" t="s">
        <v>580</v>
      </c>
      <c r="L1395" s="77">
        <v>43544</v>
      </c>
      <c r="M1395" s="68"/>
      <c r="N1395" s="76" t="s">
        <v>1216</v>
      </c>
      <c r="O1395" s="75" t="s">
        <v>1217</v>
      </c>
      <c r="R1395" s="74"/>
    </row>
    <row r="1396" spans="2:18" ht="36" hidden="1" customHeight="1" x14ac:dyDescent="0.25">
      <c r="B1396" s="84">
        <v>1820</v>
      </c>
      <c r="C1396" s="83" t="s">
        <v>16</v>
      </c>
      <c r="D1396" s="82" t="s">
        <v>2167</v>
      </c>
      <c r="E1396" s="81">
        <v>43543</v>
      </c>
      <c r="F1396" s="27">
        <f t="shared" ca="1" si="21"/>
        <v>930</v>
      </c>
      <c r="G1396" s="79"/>
      <c r="H1396" s="80"/>
      <c r="I1396" s="80"/>
      <c r="J1396" s="79" t="s">
        <v>1301</v>
      </c>
      <c r="K1396" s="78" t="s">
        <v>1301</v>
      </c>
      <c r="L1396" s="77">
        <v>43546</v>
      </c>
      <c r="M1396" s="68"/>
      <c r="N1396" s="76" t="s">
        <v>2168</v>
      </c>
      <c r="O1396" s="75" t="s">
        <v>2169</v>
      </c>
      <c r="R1396" s="74"/>
    </row>
    <row r="1397" spans="2:18" ht="36" hidden="1" customHeight="1" x14ac:dyDescent="0.25">
      <c r="B1397" s="84">
        <v>1820</v>
      </c>
      <c r="C1397" s="83" t="s">
        <v>23</v>
      </c>
      <c r="D1397" s="82" t="s">
        <v>2068</v>
      </c>
      <c r="E1397" s="81">
        <v>43543</v>
      </c>
      <c r="F1397" s="27">
        <f t="shared" ca="1" si="21"/>
        <v>930</v>
      </c>
      <c r="G1397" s="79"/>
      <c r="H1397" s="80"/>
      <c r="I1397" s="80"/>
      <c r="J1397" s="79" t="s">
        <v>1301</v>
      </c>
      <c r="K1397" s="78" t="s">
        <v>1301</v>
      </c>
      <c r="L1397" s="77">
        <v>43546</v>
      </c>
      <c r="M1397" s="68"/>
      <c r="N1397" s="76" t="s">
        <v>2168</v>
      </c>
      <c r="O1397" s="75" t="s">
        <v>2169</v>
      </c>
      <c r="R1397" s="74"/>
    </row>
    <row r="1398" spans="2:18" ht="36" hidden="1" customHeight="1" x14ac:dyDescent="0.25">
      <c r="B1398" s="84">
        <v>1820</v>
      </c>
      <c r="C1398" s="83" t="s">
        <v>40</v>
      </c>
      <c r="D1398" s="82" t="s">
        <v>2170</v>
      </c>
      <c r="E1398" s="81">
        <v>43543</v>
      </c>
      <c r="F1398" s="27">
        <f t="shared" ca="1" si="21"/>
        <v>930</v>
      </c>
      <c r="G1398" s="79"/>
      <c r="H1398" s="80"/>
      <c r="I1398" s="80"/>
      <c r="J1398" s="79" t="s">
        <v>1301</v>
      </c>
      <c r="K1398" s="78" t="s">
        <v>1301</v>
      </c>
      <c r="L1398" s="77">
        <v>43546</v>
      </c>
      <c r="M1398" s="68"/>
      <c r="N1398" s="76" t="s">
        <v>2168</v>
      </c>
      <c r="O1398" s="75" t="s">
        <v>2169</v>
      </c>
      <c r="R1398" s="74"/>
    </row>
    <row r="1399" spans="2:18" ht="36" hidden="1" customHeight="1" x14ac:dyDescent="0.25">
      <c r="B1399" s="84">
        <v>1820</v>
      </c>
      <c r="C1399" s="83" t="s">
        <v>40</v>
      </c>
      <c r="D1399" s="82" t="s">
        <v>2171</v>
      </c>
      <c r="E1399" s="81">
        <v>43543</v>
      </c>
      <c r="F1399" s="27">
        <f t="shared" ca="1" si="21"/>
        <v>930</v>
      </c>
      <c r="G1399" s="79"/>
      <c r="H1399" s="80"/>
      <c r="I1399" s="80"/>
      <c r="J1399" s="79" t="s">
        <v>1301</v>
      </c>
      <c r="K1399" s="78" t="s">
        <v>1301</v>
      </c>
      <c r="L1399" s="77">
        <v>43546</v>
      </c>
      <c r="M1399" s="68"/>
      <c r="N1399" s="76" t="s">
        <v>2168</v>
      </c>
      <c r="O1399" s="75" t="s">
        <v>2169</v>
      </c>
      <c r="R1399" s="74"/>
    </row>
    <row r="1400" spans="2:18" ht="36" hidden="1" customHeight="1" x14ac:dyDescent="0.25">
      <c r="B1400" s="84">
        <v>1824</v>
      </c>
      <c r="C1400" s="83" t="s">
        <v>40</v>
      </c>
      <c r="D1400" s="82" t="s">
        <v>2852</v>
      </c>
      <c r="E1400" s="81">
        <v>43543</v>
      </c>
      <c r="F1400" s="27">
        <f t="shared" ca="1" si="21"/>
        <v>930</v>
      </c>
      <c r="G1400" s="79"/>
      <c r="H1400" s="80"/>
      <c r="I1400" s="80"/>
      <c r="J1400" s="79"/>
      <c r="K1400" s="78"/>
      <c r="L1400" s="77">
        <v>43580</v>
      </c>
      <c r="M1400" s="68"/>
      <c r="N1400" s="76" t="s">
        <v>2853</v>
      </c>
      <c r="O1400" s="75" t="s">
        <v>1806</v>
      </c>
      <c r="R1400" s="74"/>
    </row>
    <row r="1401" spans="2:18" ht="36" hidden="1" customHeight="1" x14ac:dyDescent="0.25">
      <c r="B1401" s="84">
        <v>1645</v>
      </c>
      <c r="C1401" s="83" t="s">
        <v>19</v>
      </c>
      <c r="D1401" s="82" t="s">
        <v>1054</v>
      </c>
      <c r="E1401" s="81">
        <v>43544</v>
      </c>
      <c r="F1401" s="27">
        <f t="shared" ca="1" si="21"/>
        <v>929</v>
      </c>
      <c r="G1401" s="79"/>
      <c r="H1401" s="80"/>
      <c r="I1401" s="80"/>
      <c r="J1401" s="79"/>
      <c r="K1401" s="78"/>
      <c r="L1401" s="77">
        <v>43577</v>
      </c>
      <c r="M1401" s="68"/>
      <c r="N1401" s="76" t="s">
        <v>1055</v>
      </c>
      <c r="O1401" s="75" t="s">
        <v>816</v>
      </c>
      <c r="R1401" s="74"/>
    </row>
    <row r="1402" spans="2:18" ht="36" hidden="1" customHeight="1" x14ac:dyDescent="0.25">
      <c r="B1402" s="84">
        <v>1819</v>
      </c>
      <c r="C1402" s="83" t="s">
        <v>23</v>
      </c>
      <c r="D1402" s="82" t="s">
        <v>346</v>
      </c>
      <c r="E1402" s="81">
        <v>43544</v>
      </c>
      <c r="F1402" s="27">
        <f t="shared" ca="1" si="21"/>
        <v>929</v>
      </c>
      <c r="G1402" s="79"/>
      <c r="H1402" s="80"/>
      <c r="I1402" s="80"/>
      <c r="J1402" s="79" t="s">
        <v>1301</v>
      </c>
      <c r="K1402" s="78" t="s">
        <v>1301</v>
      </c>
      <c r="L1402" s="77">
        <v>43543</v>
      </c>
      <c r="M1402" s="68"/>
      <c r="N1402" s="76" t="s">
        <v>1055</v>
      </c>
      <c r="O1402" s="75" t="s">
        <v>1975</v>
      </c>
      <c r="R1402" s="74"/>
    </row>
    <row r="1403" spans="2:18" ht="36" hidden="1" customHeight="1" x14ac:dyDescent="0.25">
      <c r="B1403" s="84">
        <v>1824</v>
      </c>
      <c r="C1403" s="83" t="s">
        <v>35</v>
      </c>
      <c r="D1403" s="82" t="s">
        <v>2846</v>
      </c>
      <c r="E1403" s="81">
        <v>43544</v>
      </c>
      <c r="F1403" s="27">
        <f t="shared" ca="1" si="21"/>
        <v>929</v>
      </c>
      <c r="G1403" s="79"/>
      <c r="H1403" s="80"/>
      <c r="I1403" s="80"/>
      <c r="J1403" s="79"/>
      <c r="K1403" s="78"/>
      <c r="L1403" s="77">
        <v>43544</v>
      </c>
      <c r="M1403" s="68"/>
      <c r="N1403" s="76"/>
      <c r="O1403" s="75" t="s">
        <v>2847</v>
      </c>
      <c r="R1403" s="74"/>
    </row>
    <row r="1404" spans="2:18" ht="36" hidden="1" customHeight="1" x14ac:dyDescent="0.25">
      <c r="B1404" s="84">
        <v>1830</v>
      </c>
      <c r="C1404" s="83" t="s">
        <v>11</v>
      </c>
      <c r="D1404" s="82" t="s">
        <v>3996</v>
      </c>
      <c r="E1404" s="81">
        <v>43545</v>
      </c>
      <c r="F1404" s="27">
        <f t="shared" ca="1" si="21"/>
        <v>928</v>
      </c>
      <c r="G1404" s="79"/>
      <c r="H1404" s="80"/>
      <c r="I1404" s="80"/>
      <c r="J1404" s="79" t="s">
        <v>1301</v>
      </c>
      <c r="K1404" s="78" t="s">
        <v>1301</v>
      </c>
      <c r="L1404" s="77">
        <v>43545</v>
      </c>
      <c r="M1404" s="68"/>
      <c r="N1404" s="76" t="s">
        <v>1055</v>
      </c>
      <c r="O1404" s="75" t="s">
        <v>3997</v>
      </c>
      <c r="R1404" s="74"/>
    </row>
    <row r="1405" spans="2:18" ht="36" hidden="1" customHeight="1" x14ac:dyDescent="0.25">
      <c r="B1405" s="84">
        <v>1643</v>
      </c>
      <c r="C1405" s="83" t="s">
        <v>12</v>
      </c>
      <c r="D1405" s="82" t="s">
        <v>900</v>
      </c>
      <c r="E1405" s="81">
        <v>43546</v>
      </c>
      <c r="F1405" s="27">
        <f t="shared" ca="1" si="21"/>
        <v>927</v>
      </c>
      <c r="G1405" s="79"/>
      <c r="H1405" s="80"/>
      <c r="I1405" s="80"/>
      <c r="J1405" s="79"/>
      <c r="K1405" s="78"/>
      <c r="L1405" s="77">
        <v>43577</v>
      </c>
      <c r="M1405" s="68"/>
      <c r="N1405" s="76" t="s">
        <v>901</v>
      </c>
      <c r="O1405" s="75" t="s">
        <v>816</v>
      </c>
      <c r="R1405" s="74"/>
    </row>
    <row r="1406" spans="2:18" ht="36" hidden="1" customHeight="1" x14ac:dyDescent="0.25">
      <c r="B1406" s="84">
        <v>1647</v>
      </c>
      <c r="C1406" s="83" t="s">
        <v>11</v>
      </c>
      <c r="D1406" s="82" t="s">
        <v>1221</v>
      </c>
      <c r="E1406" s="81">
        <v>43546</v>
      </c>
      <c r="F1406" s="27">
        <f t="shared" ca="1" si="21"/>
        <v>927</v>
      </c>
      <c r="G1406" s="79"/>
      <c r="H1406" s="80"/>
      <c r="I1406" s="80"/>
      <c r="J1406" s="79"/>
      <c r="K1406" s="78"/>
      <c r="L1406" s="77">
        <v>43577</v>
      </c>
      <c r="M1406" s="68"/>
      <c r="N1406" s="76" t="s">
        <v>901</v>
      </c>
      <c r="O1406" s="75" t="s">
        <v>816</v>
      </c>
      <c r="R1406" s="74"/>
    </row>
    <row r="1407" spans="2:18" ht="36" hidden="1" customHeight="1" x14ac:dyDescent="0.25">
      <c r="B1407" s="84">
        <v>1817</v>
      </c>
      <c r="C1407" s="83" t="s">
        <v>23</v>
      </c>
      <c r="D1407" s="82" t="s">
        <v>143</v>
      </c>
      <c r="E1407" s="81">
        <v>43546</v>
      </c>
      <c r="F1407" s="27">
        <f t="shared" ca="1" si="21"/>
        <v>927</v>
      </c>
      <c r="G1407" s="79"/>
      <c r="H1407" s="80"/>
      <c r="I1407" s="80"/>
      <c r="J1407" s="79"/>
      <c r="K1407" s="78"/>
      <c r="L1407" s="77">
        <v>43577</v>
      </c>
      <c r="M1407" s="68"/>
      <c r="N1407" s="76" t="s">
        <v>901</v>
      </c>
      <c r="O1407" s="75" t="s">
        <v>816</v>
      </c>
      <c r="R1407" s="74"/>
    </row>
    <row r="1408" spans="2:18" ht="36" hidden="1" customHeight="1" x14ac:dyDescent="0.25">
      <c r="B1408" s="84">
        <v>1817</v>
      </c>
      <c r="C1408" s="83" t="s">
        <v>23</v>
      </c>
      <c r="D1408" s="82" t="s">
        <v>1605</v>
      </c>
      <c r="E1408" s="81">
        <v>43546</v>
      </c>
      <c r="F1408" s="27">
        <f t="shared" ca="1" si="21"/>
        <v>927</v>
      </c>
      <c r="G1408" s="79"/>
      <c r="H1408" s="80"/>
      <c r="I1408" s="80"/>
      <c r="J1408" s="79"/>
      <c r="K1408" s="78"/>
      <c r="L1408" s="77">
        <v>43577</v>
      </c>
      <c r="M1408" s="68"/>
      <c r="N1408" s="76" t="s">
        <v>1606</v>
      </c>
      <c r="O1408" s="75" t="s">
        <v>816</v>
      </c>
      <c r="R1408" s="74"/>
    </row>
    <row r="1409" spans="2:18" ht="36" hidden="1" customHeight="1" x14ac:dyDescent="0.25">
      <c r="B1409" s="84">
        <v>1828</v>
      </c>
      <c r="C1409" s="83" t="s">
        <v>23</v>
      </c>
      <c r="D1409" s="82" t="s">
        <v>458</v>
      </c>
      <c r="E1409" s="81">
        <v>43549</v>
      </c>
      <c r="F1409" s="27">
        <f t="shared" ca="1" si="21"/>
        <v>924</v>
      </c>
      <c r="G1409" s="79"/>
      <c r="H1409" s="80"/>
      <c r="I1409" s="80"/>
      <c r="J1409" s="79"/>
      <c r="K1409" s="78"/>
      <c r="L1409" s="77">
        <v>43593</v>
      </c>
      <c r="M1409" s="68"/>
      <c r="N1409" s="76"/>
      <c r="O1409" s="75" t="s">
        <v>3622</v>
      </c>
      <c r="R1409" s="74"/>
    </row>
    <row r="1410" spans="2:18" ht="36" hidden="1" customHeight="1" x14ac:dyDescent="0.25">
      <c r="B1410" s="84">
        <v>1819</v>
      </c>
      <c r="C1410" s="83" t="s">
        <v>12</v>
      </c>
      <c r="D1410" s="82" t="s">
        <v>1979</v>
      </c>
      <c r="E1410" s="81">
        <v>43550</v>
      </c>
      <c r="F1410" s="27">
        <f t="shared" ca="1" si="21"/>
        <v>923</v>
      </c>
      <c r="G1410" s="79"/>
      <c r="H1410" s="80"/>
      <c r="I1410" s="80"/>
      <c r="J1410" s="79"/>
      <c r="K1410" s="78"/>
      <c r="L1410" s="77">
        <v>43577</v>
      </c>
      <c r="M1410" s="68"/>
      <c r="N1410" s="76" t="s">
        <v>1980</v>
      </c>
      <c r="O1410" s="75" t="s">
        <v>816</v>
      </c>
      <c r="R1410" s="74"/>
    </row>
    <row r="1411" spans="2:18" ht="36" hidden="1" customHeight="1" x14ac:dyDescent="0.25">
      <c r="B1411" s="84">
        <v>1828</v>
      </c>
      <c r="C1411" s="83" t="s">
        <v>12</v>
      </c>
      <c r="D1411" s="82" t="s">
        <v>1979</v>
      </c>
      <c r="E1411" s="81">
        <v>43550</v>
      </c>
      <c r="F1411" s="27">
        <f t="shared" ca="1" si="21"/>
        <v>923</v>
      </c>
      <c r="G1411" s="79"/>
      <c r="H1411" s="80"/>
      <c r="I1411" s="80"/>
      <c r="J1411" s="79"/>
      <c r="K1411" s="78"/>
      <c r="L1411" s="77">
        <v>43577</v>
      </c>
      <c r="M1411" s="68"/>
      <c r="N1411" s="76" t="s">
        <v>901</v>
      </c>
      <c r="O1411" s="75" t="s">
        <v>816</v>
      </c>
      <c r="R1411" s="74"/>
    </row>
    <row r="1412" spans="2:18" ht="36" hidden="1" customHeight="1" x14ac:dyDescent="0.25">
      <c r="B1412" s="84">
        <v>1646</v>
      </c>
      <c r="C1412" s="83" t="s">
        <v>40</v>
      </c>
      <c r="D1412" s="82" t="s">
        <v>1136</v>
      </c>
      <c r="E1412" s="81">
        <v>43551</v>
      </c>
      <c r="F1412" s="27">
        <f t="shared" ca="1" si="21"/>
        <v>922</v>
      </c>
      <c r="G1412" s="79"/>
      <c r="H1412" s="80"/>
      <c r="I1412" s="80"/>
      <c r="J1412" s="79"/>
      <c r="K1412" s="78"/>
      <c r="L1412" s="77">
        <v>43577</v>
      </c>
      <c r="M1412" s="68"/>
      <c r="N1412" s="76" t="s">
        <v>901</v>
      </c>
      <c r="O1412" s="75" t="s">
        <v>816</v>
      </c>
      <c r="R1412" s="74"/>
    </row>
    <row r="1413" spans="2:18" ht="36" hidden="1" customHeight="1" x14ac:dyDescent="0.25">
      <c r="B1413" s="84">
        <v>1819</v>
      </c>
      <c r="C1413" s="83" t="s">
        <v>23</v>
      </c>
      <c r="D1413" s="82" t="s">
        <v>346</v>
      </c>
      <c r="E1413" s="81">
        <v>43551</v>
      </c>
      <c r="F1413" s="27">
        <f t="shared" ca="1" si="21"/>
        <v>922</v>
      </c>
      <c r="G1413" s="79"/>
      <c r="H1413" s="80"/>
      <c r="I1413" s="80"/>
      <c r="J1413" s="79"/>
      <c r="K1413" s="78"/>
      <c r="L1413" s="77">
        <v>43577</v>
      </c>
      <c r="M1413" s="68"/>
      <c r="N1413" s="76" t="s">
        <v>1980</v>
      </c>
      <c r="O1413" s="75" t="s">
        <v>816</v>
      </c>
      <c r="R1413" s="74"/>
    </row>
    <row r="1414" spans="2:18" ht="36" hidden="1" customHeight="1" x14ac:dyDescent="0.25">
      <c r="B1414" s="84">
        <v>1824</v>
      </c>
      <c r="C1414" s="83" t="s">
        <v>31</v>
      </c>
      <c r="D1414" s="82" t="s">
        <v>2848</v>
      </c>
      <c r="E1414" s="81">
        <v>43551</v>
      </c>
      <c r="F1414" s="27">
        <f t="shared" ca="1" si="21"/>
        <v>922</v>
      </c>
      <c r="G1414" s="79"/>
      <c r="H1414" s="80"/>
      <c r="I1414" s="80"/>
      <c r="J1414" s="79" t="s">
        <v>765</v>
      </c>
      <c r="K1414" s="78" t="s">
        <v>623</v>
      </c>
      <c r="L1414" s="77">
        <v>43553</v>
      </c>
      <c r="M1414" s="68"/>
      <c r="N1414" s="76" t="s">
        <v>1980</v>
      </c>
      <c r="O1414" s="75" t="s">
        <v>52</v>
      </c>
      <c r="R1414" s="74"/>
    </row>
    <row r="1415" spans="2:18" ht="36" hidden="1" customHeight="1" x14ac:dyDescent="0.25">
      <c r="B1415" s="84">
        <v>1828</v>
      </c>
      <c r="C1415" s="83" t="s">
        <v>11</v>
      </c>
      <c r="D1415" s="82" t="s">
        <v>3621</v>
      </c>
      <c r="E1415" s="81">
        <v>43551</v>
      </c>
      <c r="F1415" s="27">
        <f t="shared" ca="1" si="21"/>
        <v>922</v>
      </c>
      <c r="G1415" s="79"/>
      <c r="H1415" s="80"/>
      <c r="I1415" s="80"/>
      <c r="J1415" s="79"/>
      <c r="K1415" s="78"/>
      <c r="L1415" s="77">
        <v>43577</v>
      </c>
      <c r="M1415" s="68"/>
      <c r="N1415" s="76" t="s">
        <v>901</v>
      </c>
      <c r="O1415" s="75" t="s">
        <v>816</v>
      </c>
      <c r="R1415" s="74"/>
    </row>
    <row r="1416" spans="2:18" ht="36" hidden="1" customHeight="1" x14ac:dyDescent="0.25">
      <c r="B1416" s="84">
        <v>1829</v>
      </c>
      <c r="C1416" s="83" t="s">
        <v>23</v>
      </c>
      <c r="D1416" s="82" t="s">
        <v>3815</v>
      </c>
      <c r="E1416" s="81">
        <v>43551</v>
      </c>
      <c r="F1416" s="27">
        <f t="shared" ca="1" si="21"/>
        <v>922</v>
      </c>
      <c r="G1416" s="79"/>
      <c r="H1416" s="80"/>
      <c r="I1416" s="80"/>
      <c r="J1416" s="79"/>
      <c r="K1416" s="78"/>
      <c r="L1416" s="77">
        <v>43577</v>
      </c>
      <c r="M1416" s="68"/>
      <c r="N1416" s="76" t="s">
        <v>1980</v>
      </c>
      <c r="O1416" s="75" t="s">
        <v>816</v>
      </c>
      <c r="R1416" s="74"/>
    </row>
    <row r="1417" spans="2:18" ht="36" hidden="1" customHeight="1" x14ac:dyDescent="0.25">
      <c r="B1417" s="84">
        <v>1823</v>
      </c>
      <c r="C1417" s="83" t="s">
        <v>24</v>
      </c>
      <c r="D1417" s="82" t="s">
        <v>2647</v>
      </c>
      <c r="E1417" s="81">
        <v>43552</v>
      </c>
      <c r="F1417" s="27">
        <f t="shared" ca="1" si="21"/>
        <v>921</v>
      </c>
      <c r="G1417" s="79"/>
      <c r="H1417" s="80"/>
      <c r="I1417" s="80"/>
      <c r="J1417" s="79"/>
      <c r="K1417" s="78"/>
      <c r="L1417" s="77">
        <v>43577</v>
      </c>
      <c r="M1417" s="68"/>
      <c r="N1417" s="76" t="s">
        <v>2648</v>
      </c>
      <c r="O1417" s="75" t="s">
        <v>816</v>
      </c>
      <c r="R1417" s="74"/>
    </row>
    <row r="1418" spans="2:18" ht="36" hidden="1" customHeight="1" x14ac:dyDescent="0.25">
      <c r="B1418" s="84">
        <v>1827</v>
      </c>
      <c r="C1418" s="83" t="s">
        <v>12</v>
      </c>
      <c r="D1418" s="82" t="s">
        <v>3411</v>
      </c>
      <c r="E1418" s="81">
        <v>43552</v>
      </c>
      <c r="F1418" s="27">
        <f t="shared" ca="1" si="21"/>
        <v>921</v>
      </c>
      <c r="G1418" s="79"/>
      <c r="H1418" s="80"/>
      <c r="I1418" s="80"/>
      <c r="J1418" s="79"/>
      <c r="K1418" s="78"/>
      <c r="L1418" s="77">
        <v>43577</v>
      </c>
      <c r="M1418" s="68"/>
      <c r="N1418" s="76" t="s">
        <v>1980</v>
      </c>
      <c r="O1418" s="75" t="s">
        <v>816</v>
      </c>
      <c r="R1418" s="74"/>
    </row>
    <row r="1419" spans="2:18" ht="36" hidden="1" customHeight="1" x14ac:dyDescent="0.25">
      <c r="B1419" s="84">
        <v>1829</v>
      </c>
      <c r="C1419" s="83" t="s">
        <v>23</v>
      </c>
      <c r="D1419" s="82" t="s">
        <v>3816</v>
      </c>
      <c r="E1419" s="81">
        <v>43552</v>
      </c>
      <c r="F1419" s="27">
        <f t="shared" ca="1" si="21"/>
        <v>921</v>
      </c>
      <c r="G1419" s="79"/>
      <c r="H1419" s="80"/>
      <c r="I1419" s="80"/>
      <c r="J1419" s="79"/>
      <c r="K1419" s="78"/>
      <c r="L1419" s="77">
        <v>43577</v>
      </c>
      <c r="M1419" s="68"/>
      <c r="N1419" s="76" t="s">
        <v>1980</v>
      </c>
      <c r="O1419" s="75" t="s">
        <v>816</v>
      </c>
      <c r="R1419" s="74"/>
    </row>
    <row r="1420" spans="2:18" ht="36" hidden="1" customHeight="1" x14ac:dyDescent="0.25">
      <c r="B1420" s="84">
        <v>1817</v>
      </c>
      <c r="C1420" s="83" t="s">
        <v>40</v>
      </c>
      <c r="D1420" s="82" t="s">
        <v>1607</v>
      </c>
      <c r="E1420" s="81">
        <v>43553</v>
      </c>
      <c r="F1420" s="27">
        <f t="shared" ca="1" si="21"/>
        <v>920</v>
      </c>
      <c r="G1420" s="79"/>
      <c r="H1420" s="80"/>
      <c r="I1420" s="80"/>
      <c r="J1420" s="79"/>
      <c r="K1420" s="78"/>
      <c r="L1420" s="77">
        <v>43577</v>
      </c>
      <c r="M1420" s="68"/>
      <c r="N1420" s="76" t="s">
        <v>1608</v>
      </c>
      <c r="O1420" s="75" t="s">
        <v>816</v>
      </c>
      <c r="R1420" s="74"/>
    </row>
    <row r="1421" spans="2:18" ht="36" hidden="1" customHeight="1" x14ac:dyDescent="0.25">
      <c r="B1421" s="84">
        <v>1817</v>
      </c>
      <c r="C1421" s="83" t="s">
        <v>15</v>
      </c>
      <c r="D1421" s="82" t="s">
        <v>1403</v>
      </c>
      <c r="E1421" s="81">
        <v>43553</v>
      </c>
      <c r="F1421" s="27">
        <f t="shared" ca="1" si="21"/>
        <v>920</v>
      </c>
      <c r="G1421" s="79"/>
      <c r="H1421" s="80"/>
      <c r="I1421" s="80"/>
      <c r="J1421" s="79"/>
      <c r="K1421" s="78"/>
      <c r="L1421" s="77">
        <v>43577</v>
      </c>
      <c r="M1421" s="68"/>
      <c r="N1421" s="76" t="s">
        <v>1608</v>
      </c>
      <c r="O1421" s="75" t="s">
        <v>816</v>
      </c>
      <c r="R1421" s="74"/>
    </row>
    <row r="1422" spans="2:18" ht="36" hidden="1" customHeight="1" x14ac:dyDescent="0.25">
      <c r="B1422" s="84">
        <v>1823</v>
      </c>
      <c r="C1422" s="83" t="s">
        <v>19</v>
      </c>
      <c r="D1422" s="82" t="s">
        <v>2640</v>
      </c>
      <c r="E1422" s="81">
        <v>43553</v>
      </c>
      <c r="F1422" s="27">
        <f t="shared" ca="1" si="21"/>
        <v>920</v>
      </c>
      <c r="G1422" s="79"/>
      <c r="H1422" s="80"/>
      <c r="I1422" s="80"/>
      <c r="J1422" s="79"/>
      <c r="K1422" s="78"/>
      <c r="L1422" s="77">
        <v>43563</v>
      </c>
      <c r="M1422" s="68"/>
      <c r="N1422" s="76" t="s">
        <v>2641</v>
      </c>
      <c r="O1422" s="75" t="s">
        <v>2642</v>
      </c>
      <c r="R1422" s="74"/>
    </row>
    <row r="1423" spans="2:18" ht="36" hidden="1" customHeight="1" x14ac:dyDescent="0.25">
      <c r="B1423" s="84">
        <v>1825</v>
      </c>
      <c r="C1423" s="83" t="s">
        <v>23</v>
      </c>
      <c r="D1423" s="82" t="s">
        <v>346</v>
      </c>
      <c r="E1423" s="81">
        <v>43553</v>
      </c>
      <c r="F1423" s="27">
        <f t="shared" ca="1" si="21"/>
        <v>920</v>
      </c>
      <c r="G1423" s="79"/>
      <c r="H1423" s="80"/>
      <c r="I1423" s="80"/>
      <c r="J1423" s="79"/>
      <c r="K1423" s="78"/>
      <c r="L1423" s="77">
        <v>43577</v>
      </c>
      <c r="M1423" s="68"/>
      <c r="N1423" s="76" t="s">
        <v>903</v>
      </c>
      <c r="O1423" s="75" t="s">
        <v>816</v>
      </c>
      <c r="R1423" s="74"/>
    </row>
    <row r="1424" spans="2:18" ht="36" hidden="1" customHeight="1" x14ac:dyDescent="0.25">
      <c r="B1424" s="84">
        <v>1817</v>
      </c>
      <c r="C1424" s="83" t="s">
        <v>34</v>
      </c>
      <c r="D1424" s="82" t="s">
        <v>1609</v>
      </c>
      <c r="E1424" s="81">
        <v>43557</v>
      </c>
      <c r="F1424" s="27">
        <f t="shared" ref="F1424:F1487" ca="1" si="22">IF(E1424&lt;&gt;"",TODAY()-E1424,"")</f>
        <v>916</v>
      </c>
      <c r="G1424" s="79"/>
      <c r="H1424" s="80"/>
      <c r="I1424" s="80"/>
      <c r="J1424" s="79"/>
      <c r="K1424" s="78"/>
      <c r="L1424" s="77">
        <v>43577</v>
      </c>
      <c r="M1424" s="68"/>
      <c r="N1424" s="76" t="s">
        <v>1608</v>
      </c>
      <c r="O1424" s="75" t="s">
        <v>816</v>
      </c>
      <c r="R1424" s="74"/>
    </row>
    <row r="1425" spans="2:18" ht="36" hidden="1" customHeight="1" x14ac:dyDescent="0.25">
      <c r="B1425" s="84">
        <v>1829</v>
      </c>
      <c r="C1425" s="83" t="s">
        <v>15</v>
      </c>
      <c r="D1425" s="82" t="s">
        <v>3819</v>
      </c>
      <c r="E1425" s="81">
        <v>43557</v>
      </c>
      <c r="F1425" s="27">
        <f t="shared" ca="1" si="22"/>
        <v>916</v>
      </c>
      <c r="G1425" s="79"/>
      <c r="H1425" s="80"/>
      <c r="I1425" s="80"/>
      <c r="J1425" s="79"/>
      <c r="K1425" s="78"/>
      <c r="L1425" s="77">
        <v>43586</v>
      </c>
      <c r="M1425" s="68"/>
      <c r="N1425" s="76" t="s">
        <v>3247</v>
      </c>
      <c r="O1425" s="75" t="s">
        <v>3820</v>
      </c>
      <c r="R1425" s="74"/>
    </row>
    <row r="1426" spans="2:18" ht="36" hidden="1" customHeight="1" x14ac:dyDescent="0.25">
      <c r="B1426" s="84">
        <v>1642</v>
      </c>
      <c r="C1426" s="83" t="s">
        <v>40</v>
      </c>
      <c r="D1426" s="82" t="s">
        <v>817</v>
      </c>
      <c r="E1426" s="81">
        <v>43559</v>
      </c>
      <c r="F1426" s="27">
        <f t="shared" ca="1" si="22"/>
        <v>914</v>
      </c>
      <c r="G1426" s="79"/>
      <c r="H1426" s="80"/>
      <c r="I1426" s="80"/>
      <c r="J1426" s="79"/>
      <c r="K1426" s="78"/>
      <c r="L1426" s="77">
        <v>43579</v>
      </c>
      <c r="M1426" s="68"/>
      <c r="N1426" s="76" t="s">
        <v>818</v>
      </c>
      <c r="O1426" s="75"/>
      <c r="R1426" s="74"/>
    </row>
    <row r="1427" spans="2:18" ht="36" hidden="1" customHeight="1" x14ac:dyDescent="0.25">
      <c r="B1427" s="84">
        <v>1817</v>
      </c>
      <c r="C1427" s="83" t="s">
        <v>11</v>
      </c>
      <c r="D1427" s="82" t="s">
        <v>1610</v>
      </c>
      <c r="E1427" s="81">
        <v>43559</v>
      </c>
      <c r="F1427" s="27">
        <f t="shared" ca="1" si="22"/>
        <v>914</v>
      </c>
      <c r="G1427" s="79"/>
      <c r="H1427" s="80"/>
      <c r="I1427" s="80"/>
      <c r="J1427" s="79"/>
      <c r="K1427" s="78"/>
      <c r="L1427" s="77">
        <v>43577</v>
      </c>
      <c r="M1427" s="68"/>
      <c r="N1427" s="76" t="s">
        <v>1608</v>
      </c>
      <c r="O1427" s="75" t="s">
        <v>816</v>
      </c>
      <c r="R1427" s="74"/>
    </row>
    <row r="1428" spans="2:18" ht="36" hidden="1" customHeight="1" x14ac:dyDescent="0.25">
      <c r="B1428" s="84">
        <v>1817</v>
      </c>
      <c r="C1428" s="83" t="s">
        <v>23</v>
      </c>
      <c r="D1428" s="82" t="s">
        <v>1611</v>
      </c>
      <c r="E1428" s="81">
        <v>43559</v>
      </c>
      <c r="F1428" s="27">
        <f t="shared" ca="1" si="22"/>
        <v>914</v>
      </c>
      <c r="G1428" s="79"/>
      <c r="H1428" s="80"/>
      <c r="I1428" s="80"/>
      <c r="J1428" s="79"/>
      <c r="K1428" s="78"/>
      <c r="L1428" s="77">
        <v>43577</v>
      </c>
      <c r="M1428" s="68"/>
      <c r="N1428" s="76" t="s">
        <v>1608</v>
      </c>
      <c r="O1428" s="75" t="s">
        <v>816</v>
      </c>
      <c r="R1428" s="74"/>
    </row>
    <row r="1429" spans="2:18" ht="36" hidden="1" customHeight="1" x14ac:dyDescent="0.25">
      <c r="B1429" s="84">
        <v>1829</v>
      </c>
      <c r="C1429" s="83" t="s">
        <v>20</v>
      </c>
      <c r="D1429" s="82" t="s">
        <v>3817</v>
      </c>
      <c r="E1429" s="81">
        <v>43559</v>
      </c>
      <c r="F1429" s="27">
        <f t="shared" ca="1" si="22"/>
        <v>914</v>
      </c>
      <c r="G1429" s="79"/>
      <c r="H1429" s="80"/>
      <c r="I1429" s="80"/>
      <c r="J1429" s="79"/>
      <c r="K1429" s="78"/>
      <c r="L1429" s="77">
        <v>43577</v>
      </c>
      <c r="M1429" s="68"/>
      <c r="N1429" s="76" t="s">
        <v>3818</v>
      </c>
      <c r="O1429" s="75" t="s">
        <v>816</v>
      </c>
      <c r="R1429" s="74"/>
    </row>
    <row r="1430" spans="2:18" ht="36" hidden="1" customHeight="1" x14ac:dyDescent="0.25">
      <c r="B1430" s="84">
        <v>1830</v>
      </c>
      <c r="C1430" s="83" t="s">
        <v>9</v>
      </c>
      <c r="D1430" s="82" t="s">
        <v>4001</v>
      </c>
      <c r="E1430" s="81">
        <v>43559</v>
      </c>
      <c r="F1430" s="27">
        <f t="shared" ca="1" si="22"/>
        <v>914</v>
      </c>
      <c r="G1430" s="79"/>
      <c r="H1430" s="80"/>
      <c r="I1430" s="80"/>
      <c r="J1430" s="79"/>
      <c r="K1430" s="78"/>
      <c r="L1430" s="77">
        <v>43577</v>
      </c>
      <c r="M1430" s="68"/>
      <c r="N1430" s="76" t="s">
        <v>3818</v>
      </c>
      <c r="O1430" s="75" t="s">
        <v>816</v>
      </c>
      <c r="R1430" s="74"/>
    </row>
    <row r="1431" spans="2:18" ht="36" hidden="1" customHeight="1" x14ac:dyDescent="0.25">
      <c r="B1431" s="84">
        <v>1817</v>
      </c>
      <c r="C1431" s="83" t="s">
        <v>23</v>
      </c>
      <c r="D1431" s="82" t="s">
        <v>1612</v>
      </c>
      <c r="E1431" s="81">
        <v>43560</v>
      </c>
      <c r="F1431" s="27">
        <f t="shared" ca="1" si="22"/>
        <v>913</v>
      </c>
      <c r="G1431" s="79"/>
      <c r="H1431" s="80"/>
      <c r="I1431" s="80"/>
      <c r="J1431" s="79"/>
      <c r="K1431" s="78"/>
      <c r="L1431" s="77">
        <v>43577</v>
      </c>
      <c r="M1431" s="68"/>
      <c r="N1431" s="76" t="s">
        <v>1606</v>
      </c>
      <c r="O1431" s="75" t="s">
        <v>816</v>
      </c>
      <c r="R1431" s="74"/>
    </row>
    <row r="1432" spans="2:18" ht="36" hidden="1" customHeight="1" x14ac:dyDescent="0.25">
      <c r="B1432" s="84">
        <v>1817</v>
      </c>
      <c r="C1432" s="83" t="s">
        <v>10</v>
      </c>
      <c r="D1432" s="82" t="s">
        <v>1613</v>
      </c>
      <c r="E1432" s="81">
        <v>43560</v>
      </c>
      <c r="F1432" s="27">
        <f t="shared" ca="1" si="22"/>
        <v>913</v>
      </c>
      <c r="G1432" s="79"/>
      <c r="H1432" s="80"/>
      <c r="I1432" s="80"/>
      <c r="J1432" s="79"/>
      <c r="K1432" s="78"/>
      <c r="L1432" s="77">
        <v>43577</v>
      </c>
      <c r="M1432" s="68"/>
      <c r="N1432" s="76" t="s">
        <v>1606</v>
      </c>
      <c r="O1432" s="75" t="s">
        <v>816</v>
      </c>
      <c r="R1432" s="74"/>
    </row>
    <row r="1433" spans="2:18" ht="36" hidden="1" customHeight="1" x14ac:dyDescent="0.25">
      <c r="B1433" s="84">
        <v>1643</v>
      </c>
      <c r="C1433" s="83" t="s">
        <v>36</v>
      </c>
      <c r="D1433" s="82" t="s">
        <v>902</v>
      </c>
      <c r="E1433" s="81">
        <v>43563</v>
      </c>
      <c r="F1433" s="27">
        <f t="shared" ca="1" si="22"/>
        <v>910</v>
      </c>
      <c r="G1433" s="79"/>
      <c r="H1433" s="80"/>
      <c r="I1433" s="80"/>
      <c r="J1433" s="79"/>
      <c r="K1433" s="78"/>
      <c r="L1433" s="77">
        <v>43577</v>
      </c>
      <c r="M1433" s="68"/>
      <c r="N1433" s="76" t="s">
        <v>903</v>
      </c>
      <c r="O1433" s="75" t="s">
        <v>816</v>
      </c>
      <c r="R1433" s="74"/>
    </row>
    <row r="1434" spans="2:18" ht="36" hidden="1" customHeight="1" x14ac:dyDescent="0.25">
      <c r="B1434" s="84">
        <v>1645</v>
      </c>
      <c r="C1434" s="83" t="s">
        <v>40</v>
      </c>
      <c r="D1434" s="82" t="s">
        <v>1056</v>
      </c>
      <c r="E1434" s="81">
        <v>43563</v>
      </c>
      <c r="F1434" s="27">
        <f t="shared" ca="1" si="22"/>
        <v>910</v>
      </c>
      <c r="G1434" s="79"/>
      <c r="H1434" s="80"/>
      <c r="I1434" s="80"/>
      <c r="J1434" s="79"/>
      <c r="K1434" s="78"/>
      <c r="L1434" s="77">
        <v>43579</v>
      </c>
      <c r="M1434" s="68"/>
      <c r="N1434" s="76" t="s">
        <v>1057</v>
      </c>
      <c r="O1434" s="75"/>
      <c r="R1434" s="74"/>
    </row>
    <row r="1435" spans="2:18" ht="36" hidden="1" customHeight="1" x14ac:dyDescent="0.25">
      <c r="B1435" s="84">
        <v>1822</v>
      </c>
      <c r="C1435" s="83" t="s">
        <v>40</v>
      </c>
      <c r="D1435" s="82" t="s">
        <v>331</v>
      </c>
      <c r="E1435" s="81">
        <v>43563</v>
      </c>
      <c r="F1435" s="27">
        <f t="shared" ca="1" si="22"/>
        <v>910</v>
      </c>
      <c r="G1435" s="79"/>
      <c r="H1435" s="80"/>
      <c r="I1435" s="80"/>
      <c r="J1435" s="79"/>
      <c r="K1435" s="78"/>
      <c r="L1435" s="77">
        <v>43577</v>
      </c>
      <c r="M1435" s="68"/>
      <c r="N1435" s="76" t="s">
        <v>2464</v>
      </c>
      <c r="O1435" s="75" t="s">
        <v>816</v>
      </c>
      <c r="R1435" s="74"/>
    </row>
    <row r="1436" spans="2:18" ht="36" hidden="1" customHeight="1" x14ac:dyDescent="0.25">
      <c r="B1436" s="84">
        <v>1822</v>
      </c>
      <c r="C1436" s="83" t="s">
        <v>23</v>
      </c>
      <c r="D1436" s="82" t="s">
        <v>346</v>
      </c>
      <c r="E1436" s="81">
        <v>43563</v>
      </c>
      <c r="F1436" s="27">
        <f t="shared" ca="1" si="22"/>
        <v>910</v>
      </c>
      <c r="G1436" s="79"/>
      <c r="H1436" s="80"/>
      <c r="I1436" s="80"/>
      <c r="J1436" s="79"/>
      <c r="K1436" s="78"/>
      <c r="L1436" s="77">
        <v>43577</v>
      </c>
      <c r="M1436" s="68"/>
      <c r="N1436" s="76" t="s">
        <v>2464</v>
      </c>
      <c r="O1436" s="75" t="s">
        <v>816</v>
      </c>
      <c r="R1436" s="74"/>
    </row>
    <row r="1437" spans="2:18" ht="36" hidden="1" customHeight="1" x14ac:dyDescent="0.25">
      <c r="B1437" s="84">
        <v>1825</v>
      </c>
      <c r="C1437" s="83" t="s">
        <v>23</v>
      </c>
      <c r="D1437" s="82" t="s">
        <v>3109</v>
      </c>
      <c r="E1437" s="81">
        <v>43563</v>
      </c>
      <c r="F1437" s="27">
        <f t="shared" ca="1" si="22"/>
        <v>910</v>
      </c>
      <c r="G1437" s="79"/>
      <c r="H1437" s="80"/>
      <c r="I1437" s="80"/>
      <c r="J1437" s="79"/>
      <c r="K1437" s="78"/>
      <c r="L1437" s="77">
        <v>43577</v>
      </c>
      <c r="M1437" s="68"/>
      <c r="N1437" s="76" t="s">
        <v>903</v>
      </c>
      <c r="O1437" s="75" t="s">
        <v>816</v>
      </c>
      <c r="R1437" s="74"/>
    </row>
    <row r="1438" spans="2:18" ht="36" hidden="1" customHeight="1" x14ac:dyDescent="0.25">
      <c r="B1438" s="84">
        <v>1828</v>
      </c>
      <c r="C1438" s="83" t="s">
        <v>23</v>
      </c>
      <c r="D1438" s="82" t="s">
        <v>3623</v>
      </c>
      <c r="E1438" s="81">
        <v>43563</v>
      </c>
      <c r="F1438" s="27">
        <f t="shared" ca="1" si="22"/>
        <v>910</v>
      </c>
      <c r="G1438" s="79"/>
      <c r="H1438" s="80"/>
      <c r="I1438" s="80"/>
      <c r="J1438" s="79"/>
      <c r="K1438" s="78"/>
      <c r="L1438" s="77">
        <v>43593</v>
      </c>
      <c r="M1438" s="68"/>
      <c r="N1438" s="76"/>
      <c r="O1438" s="75" t="s">
        <v>3624</v>
      </c>
      <c r="R1438" s="74"/>
    </row>
    <row r="1439" spans="2:18" ht="36" hidden="1" customHeight="1" x14ac:dyDescent="0.25">
      <c r="B1439" s="84">
        <v>1829</v>
      </c>
      <c r="C1439" s="83" t="s">
        <v>39</v>
      </c>
      <c r="D1439" s="82" t="s">
        <v>3821</v>
      </c>
      <c r="E1439" s="81">
        <v>43563</v>
      </c>
      <c r="F1439" s="27">
        <f t="shared" ca="1" si="22"/>
        <v>910</v>
      </c>
      <c r="G1439" s="79"/>
      <c r="H1439" s="80"/>
      <c r="I1439" s="80"/>
      <c r="J1439" s="79"/>
      <c r="K1439" s="78"/>
      <c r="L1439" s="77">
        <v>43586</v>
      </c>
      <c r="M1439" s="68"/>
      <c r="N1439" s="76" t="s">
        <v>3247</v>
      </c>
      <c r="O1439" s="75"/>
      <c r="R1439" s="74"/>
    </row>
    <row r="1440" spans="2:18" ht="36" hidden="1" customHeight="1" x14ac:dyDescent="0.25">
      <c r="B1440" s="84">
        <v>1817</v>
      </c>
      <c r="C1440" s="83" t="s">
        <v>23</v>
      </c>
      <c r="D1440" s="82" t="s">
        <v>58</v>
      </c>
      <c r="E1440" s="81">
        <v>43564</v>
      </c>
      <c r="F1440" s="27">
        <f t="shared" ca="1" si="22"/>
        <v>909</v>
      </c>
      <c r="G1440" s="79"/>
      <c r="H1440" s="80"/>
      <c r="I1440" s="80"/>
      <c r="J1440" s="79"/>
      <c r="K1440" s="78"/>
      <c r="L1440" s="77">
        <v>43573</v>
      </c>
      <c r="M1440" s="68"/>
      <c r="N1440" s="76" t="s">
        <v>1603</v>
      </c>
      <c r="O1440" s="75" t="s">
        <v>1604</v>
      </c>
      <c r="R1440" s="74"/>
    </row>
    <row r="1441" spans="2:18" ht="36" hidden="1" customHeight="1" x14ac:dyDescent="0.25">
      <c r="B1441" s="84">
        <v>1821</v>
      </c>
      <c r="C1441" s="83" t="s">
        <v>23</v>
      </c>
      <c r="D1441" s="82" t="s">
        <v>2342</v>
      </c>
      <c r="E1441" s="81">
        <v>43564</v>
      </c>
      <c r="F1441" s="27">
        <f t="shared" ca="1" si="22"/>
        <v>909</v>
      </c>
      <c r="G1441" s="79"/>
      <c r="H1441" s="80"/>
      <c r="I1441" s="80"/>
      <c r="J1441" s="79"/>
      <c r="K1441" s="78"/>
      <c r="L1441" s="77">
        <v>43577</v>
      </c>
      <c r="M1441" s="68"/>
      <c r="N1441" s="76" t="s">
        <v>2343</v>
      </c>
      <c r="O1441" s="75" t="s">
        <v>816</v>
      </c>
      <c r="R1441" s="74"/>
    </row>
    <row r="1442" spans="2:18" ht="36" hidden="1" customHeight="1" x14ac:dyDescent="0.25">
      <c r="B1442" s="84">
        <v>1824</v>
      </c>
      <c r="C1442" s="83" t="s">
        <v>32</v>
      </c>
      <c r="D1442" s="82" t="s">
        <v>2850</v>
      </c>
      <c r="E1442" s="81">
        <v>43564</v>
      </c>
      <c r="F1442" s="27">
        <f t="shared" ca="1" si="22"/>
        <v>909</v>
      </c>
      <c r="G1442" s="79"/>
      <c r="H1442" s="80"/>
      <c r="I1442" s="80"/>
      <c r="J1442" s="79"/>
      <c r="K1442" s="78"/>
      <c r="L1442" s="77">
        <v>43577</v>
      </c>
      <c r="M1442" s="68"/>
      <c r="N1442" s="76" t="s">
        <v>1606</v>
      </c>
      <c r="O1442" s="75" t="s">
        <v>2851</v>
      </c>
      <c r="R1442" s="74"/>
    </row>
    <row r="1443" spans="2:18" ht="36" hidden="1" customHeight="1" x14ac:dyDescent="0.25">
      <c r="B1443" s="84">
        <v>1825</v>
      </c>
      <c r="C1443" s="83" t="s">
        <v>23</v>
      </c>
      <c r="D1443" s="82" t="s">
        <v>58</v>
      </c>
      <c r="E1443" s="81">
        <v>43564</v>
      </c>
      <c r="F1443" s="27">
        <f t="shared" ca="1" si="22"/>
        <v>909</v>
      </c>
      <c r="G1443" s="79"/>
      <c r="H1443" s="80"/>
      <c r="I1443" s="80"/>
      <c r="J1443" s="79"/>
      <c r="K1443" s="78"/>
      <c r="L1443" s="77">
        <v>43577</v>
      </c>
      <c r="M1443" s="68"/>
      <c r="N1443" s="76" t="s">
        <v>903</v>
      </c>
      <c r="O1443" s="75" t="s">
        <v>816</v>
      </c>
      <c r="R1443" s="74"/>
    </row>
    <row r="1444" spans="2:18" ht="36" hidden="1" customHeight="1" x14ac:dyDescent="0.25">
      <c r="B1444" s="84">
        <v>1827</v>
      </c>
      <c r="C1444" s="83" t="s">
        <v>16</v>
      </c>
      <c r="D1444" s="82" t="s">
        <v>3412</v>
      </c>
      <c r="E1444" s="81">
        <v>43564</v>
      </c>
      <c r="F1444" s="27">
        <f t="shared" ca="1" si="22"/>
        <v>909</v>
      </c>
      <c r="G1444" s="79"/>
      <c r="H1444" s="80"/>
      <c r="I1444" s="80"/>
      <c r="J1444" s="79"/>
      <c r="K1444" s="78"/>
      <c r="L1444" s="77">
        <v>43577</v>
      </c>
      <c r="M1444" s="68"/>
      <c r="N1444" s="76" t="s">
        <v>903</v>
      </c>
      <c r="O1444" s="75" t="s">
        <v>816</v>
      </c>
      <c r="R1444" s="74"/>
    </row>
    <row r="1445" spans="2:18" ht="36" hidden="1" customHeight="1" x14ac:dyDescent="0.25">
      <c r="B1445" s="84">
        <v>1828</v>
      </c>
      <c r="C1445" s="83" t="s">
        <v>40</v>
      </c>
      <c r="D1445" s="82" t="s">
        <v>3625</v>
      </c>
      <c r="E1445" s="81">
        <v>43564</v>
      </c>
      <c r="F1445" s="27">
        <f t="shared" ca="1" si="22"/>
        <v>909</v>
      </c>
      <c r="G1445" s="79"/>
      <c r="H1445" s="80"/>
      <c r="I1445" s="80"/>
      <c r="J1445" s="79"/>
      <c r="K1445" s="78"/>
      <c r="L1445" s="77">
        <v>43593</v>
      </c>
      <c r="M1445" s="68"/>
      <c r="N1445" s="76"/>
      <c r="O1445" s="75" t="s">
        <v>3626</v>
      </c>
      <c r="R1445" s="74"/>
    </row>
    <row r="1446" spans="2:18" ht="36" hidden="1" customHeight="1" x14ac:dyDescent="0.25">
      <c r="B1446" s="84">
        <v>1828</v>
      </c>
      <c r="C1446" s="83" t="s">
        <v>40</v>
      </c>
      <c r="D1446" s="82" t="s">
        <v>3627</v>
      </c>
      <c r="E1446" s="81">
        <v>43564</v>
      </c>
      <c r="F1446" s="27">
        <f t="shared" ca="1" si="22"/>
        <v>909</v>
      </c>
      <c r="G1446" s="79"/>
      <c r="H1446" s="80"/>
      <c r="I1446" s="80"/>
      <c r="J1446" s="79"/>
      <c r="K1446" s="78"/>
      <c r="L1446" s="77">
        <v>43593</v>
      </c>
      <c r="M1446" s="68"/>
      <c r="N1446" s="76"/>
      <c r="O1446" s="75" t="s">
        <v>3628</v>
      </c>
      <c r="R1446" s="74"/>
    </row>
    <row r="1447" spans="2:18" ht="36" hidden="1" customHeight="1" x14ac:dyDescent="0.25">
      <c r="B1447" s="84">
        <v>1641</v>
      </c>
      <c r="C1447" s="83" t="s">
        <v>12</v>
      </c>
      <c r="D1447" s="82" t="s">
        <v>674</v>
      </c>
      <c r="E1447" s="81">
        <v>43566</v>
      </c>
      <c r="F1447" s="27">
        <f t="shared" ca="1" si="22"/>
        <v>907</v>
      </c>
      <c r="G1447" s="79"/>
      <c r="H1447" s="80"/>
      <c r="I1447" s="80"/>
      <c r="J1447" s="79"/>
      <c r="K1447" s="78"/>
      <c r="L1447" s="77">
        <v>43577</v>
      </c>
      <c r="M1447" s="68"/>
      <c r="N1447" s="76" t="s">
        <v>675</v>
      </c>
      <c r="O1447" s="75" t="s">
        <v>676</v>
      </c>
      <c r="R1447" s="74"/>
    </row>
    <row r="1448" spans="2:18" ht="36" hidden="1" customHeight="1" x14ac:dyDescent="0.25">
      <c r="B1448" s="84">
        <v>1822</v>
      </c>
      <c r="C1448" s="83" t="s">
        <v>37</v>
      </c>
      <c r="D1448" s="82" t="s">
        <v>2461</v>
      </c>
      <c r="E1448" s="81">
        <v>43566</v>
      </c>
      <c r="F1448" s="27">
        <f t="shared" ca="1" si="22"/>
        <v>907</v>
      </c>
      <c r="G1448" s="79"/>
      <c r="H1448" s="80"/>
      <c r="I1448" s="80"/>
      <c r="J1448" s="79"/>
      <c r="K1448" s="78"/>
      <c r="L1448" s="77">
        <v>43567</v>
      </c>
      <c r="M1448" s="68"/>
      <c r="N1448" s="76" t="s">
        <v>2462</v>
      </c>
      <c r="O1448" s="75"/>
      <c r="R1448" s="74"/>
    </row>
    <row r="1449" spans="2:18" ht="36" hidden="1" customHeight="1" x14ac:dyDescent="0.25">
      <c r="B1449" s="84">
        <v>1822</v>
      </c>
      <c r="C1449" s="83" t="s">
        <v>23</v>
      </c>
      <c r="D1449" s="82" t="s">
        <v>2466</v>
      </c>
      <c r="E1449" s="81">
        <v>43567</v>
      </c>
      <c r="F1449" s="27">
        <f t="shared" ca="1" si="22"/>
        <v>906</v>
      </c>
      <c r="G1449" s="79"/>
      <c r="H1449" s="80"/>
      <c r="I1449" s="80"/>
      <c r="J1449" s="79"/>
      <c r="K1449" s="78"/>
      <c r="L1449" s="77">
        <v>43577</v>
      </c>
      <c r="M1449" s="68"/>
      <c r="N1449" s="76" t="s">
        <v>903</v>
      </c>
      <c r="O1449" s="75" t="s">
        <v>816</v>
      </c>
      <c r="R1449" s="74"/>
    </row>
    <row r="1450" spans="2:18" ht="36" hidden="1" customHeight="1" x14ac:dyDescent="0.25">
      <c r="B1450" s="84">
        <v>1823</v>
      </c>
      <c r="C1450" s="83" t="s">
        <v>15</v>
      </c>
      <c r="D1450" s="82" t="s">
        <v>2649</v>
      </c>
      <c r="E1450" s="81">
        <v>43570</v>
      </c>
      <c r="F1450" s="27">
        <f t="shared" ca="1" si="22"/>
        <v>903</v>
      </c>
      <c r="G1450" s="79"/>
      <c r="H1450" s="80"/>
      <c r="I1450" s="80"/>
      <c r="J1450" s="79"/>
      <c r="K1450" s="78"/>
      <c r="L1450" s="77">
        <v>43581</v>
      </c>
      <c r="M1450" s="68"/>
      <c r="N1450" s="76" t="s">
        <v>2650</v>
      </c>
      <c r="O1450" s="75" t="s">
        <v>2113</v>
      </c>
      <c r="R1450" s="74"/>
    </row>
    <row r="1451" spans="2:18" ht="36" hidden="1" customHeight="1" x14ac:dyDescent="0.25">
      <c r="B1451" s="84">
        <v>1824</v>
      </c>
      <c r="C1451" s="83" t="s">
        <v>38</v>
      </c>
      <c r="D1451" s="82" t="s">
        <v>2854</v>
      </c>
      <c r="E1451" s="81">
        <v>43570</v>
      </c>
      <c r="F1451" s="27">
        <f t="shared" ca="1" si="22"/>
        <v>903</v>
      </c>
      <c r="G1451" s="79"/>
      <c r="H1451" s="80"/>
      <c r="I1451" s="80"/>
      <c r="J1451" s="79"/>
      <c r="K1451" s="78"/>
      <c r="L1451" s="77">
        <v>43580</v>
      </c>
      <c r="M1451" s="68"/>
      <c r="N1451" s="76" t="s">
        <v>2853</v>
      </c>
      <c r="O1451" s="75" t="s">
        <v>595</v>
      </c>
      <c r="R1451" s="74"/>
    </row>
    <row r="1452" spans="2:18" ht="36" hidden="1" customHeight="1" x14ac:dyDescent="0.25">
      <c r="B1452" s="84">
        <v>1817</v>
      </c>
      <c r="C1452" s="83" t="s">
        <v>11</v>
      </c>
      <c r="D1452" s="82" t="s">
        <v>1601</v>
      </c>
      <c r="E1452" s="81">
        <v>43571</v>
      </c>
      <c r="F1452" s="27">
        <f t="shared" ca="1" si="22"/>
        <v>902</v>
      </c>
      <c r="G1452" s="79"/>
      <c r="H1452" s="80"/>
      <c r="I1452" s="80"/>
      <c r="J1452" s="79"/>
      <c r="K1452" s="78"/>
      <c r="L1452" s="77">
        <v>43572</v>
      </c>
      <c r="M1452" s="68"/>
      <c r="N1452" s="76" t="s">
        <v>1602</v>
      </c>
      <c r="O1452" s="75"/>
      <c r="R1452" s="74"/>
    </row>
    <row r="1453" spans="2:18" ht="36" hidden="1" customHeight="1" x14ac:dyDescent="0.25">
      <c r="B1453" s="84">
        <v>1818</v>
      </c>
      <c r="C1453" s="83" t="s">
        <v>15</v>
      </c>
      <c r="D1453" s="82" t="s">
        <v>1776</v>
      </c>
      <c r="E1453" s="81">
        <v>43573</v>
      </c>
      <c r="F1453" s="27">
        <f t="shared" ca="1" si="22"/>
        <v>900</v>
      </c>
      <c r="G1453" s="79"/>
      <c r="H1453" s="80"/>
      <c r="I1453" s="80"/>
      <c r="J1453" s="79"/>
      <c r="K1453" s="78"/>
      <c r="L1453" s="77">
        <v>43577</v>
      </c>
      <c r="M1453" s="68"/>
      <c r="N1453" s="76" t="s">
        <v>1603</v>
      </c>
      <c r="O1453" s="75" t="s">
        <v>816</v>
      </c>
      <c r="R1453" s="74"/>
    </row>
    <row r="1454" spans="2:18" ht="36" hidden="1" customHeight="1" x14ac:dyDescent="0.25">
      <c r="B1454" s="84">
        <v>1818</v>
      </c>
      <c r="C1454" s="83" t="s">
        <v>36</v>
      </c>
      <c r="D1454" s="82" t="s">
        <v>1777</v>
      </c>
      <c r="E1454" s="81">
        <v>43573</v>
      </c>
      <c r="F1454" s="27">
        <f t="shared" ca="1" si="22"/>
        <v>900</v>
      </c>
      <c r="G1454" s="79"/>
      <c r="H1454" s="80"/>
      <c r="I1454" s="80"/>
      <c r="J1454" s="79"/>
      <c r="K1454" s="78"/>
      <c r="L1454" s="77">
        <v>43580</v>
      </c>
      <c r="M1454" s="68"/>
      <c r="N1454" s="76" t="s">
        <v>1778</v>
      </c>
      <c r="O1454" s="75" t="s">
        <v>1779</v>
      </c>
      <c r="R1454" s="74"/>
    </row>
    <row r="1455" spans="2:18" ht="36" hidden="1" customHeight="1" x14ac:dyDescent="0.25">
      <c r="B1455" s="84">
        <v>1818</v>
      </c>
      <c r="C1455" s="83" t="s">
        <v>40</v>
      </c>
      <c r="D1455" s="82" t="s">
        <v>1780</v>
      </c>
      <c r="E1455" s="81">
        <v>43573</v>
      </c>
      <c r="F1455" s="27">
        <f t="shared" ca="1" si="22"/>
        <v>900</v>
      </c>
      <c r="G1455" s="79"/>
      <c r="H1455" s="80"/>
      <c r="I1455" s="80"/>
      <c r="J1455" s="79"/>
      <c r="K1455" s="78"/>
      <c r="L1455" s="77">
        <v>43580</v>
      </c>
      <c r="M1455" s="68"/>
      <c r="N1455" s="76" t="s">
        <v>1778</v>
      </c>
      <c r="O1455" s="75" t="s">
        <v>1779</v>
      </c>
      <c r="R1455" s="74"/>
    </row>
    <row r="1456" spans="2:18" ht="36" hidden="1" customHeight="1" x14ac:dyDescent="0.25">
      <c r="B1456" s="84">
        <v>1818</v>
      </c>
      <c r="C1456" s="83" t="s">
        <v>36</v>
      </c>
      <c r="D1456" s="82" t="s">
        <v>1781</v>
      </c>
      <c r="E1456" s="81">
        <v>43573</v>
      </c>
      <c r="F1456" s="27">
        <f t="shared" ca="1" si="22"/>
        <v>900</v>
      </c>
      <c r="G1456" s="79"/>
      <c r="H1456" s="80"/>
      <c r="I1456" s="80"/>
      <c r="J1456" s="79"/>
      <c r="K1456" s="78"/>
      <c r="L1456" s="77">
        <v>43580</v>
      </c>
      <c r="M1456" s="68"/>
      <c r="N1456" s="76" t="s">
        <v>1778</v>
      </c>
      <c r="O1456" s="75" t="s">
        <v>1779</v>
      </c>
      <c r="R1456" s="74"/>
    </row>
    <row r="1457" spans="2:18" ht="36" hidden="1" customHeight="1" x14ac:dyDescent="0.25">
      <c r="B1457" s="84">
        <v>1825</v>
      </c>
      <c r="C1457" s="83" t="s">
        <v>16</v>
      </c>
      <c r="D1457" s="82" t="s">
        <v>3110</v>
      </c>
      <c r="E1457" s="81">
        <v>43573</v>
      </c>
      <c r="F1457" s="27">
        <f t="shared" ca="1" si="22"/>
        <v>900</v>
      </c>
      <c r="G1457" s="79"/>
      <c r="H1457" s="80"/>
      <c r="I1457" s="80"/>
      <c r="J1457" s="79"/>
      <c r="K1457" s="78"/>
      <c r="L1457" s="77">
        <v>43578</v>
      </c>
      <c r="M1457" s="68"/>
      <c r="N1457" s="76" t="s">
        <v>3111</v>
      </c>
      <c r="O1457" s="75" t="s">
        <v>3112</v>
      </c>
      <c r="R1457" s="74"/>
    </row>
    <row r="1458" spans="2:18" ht="36" hidden="1" customHeight="1" x14ac:dyDescent="0.25">
      <c r="B1458" s="84">
        <v>1825</v>
      </c>
      <c r="C1458" s="83" t="s">
        <v>19</v>
      </c>
      <c r="D1458" s="82" t="s">
        <v>3113</v>
      </c>
      <c r="E1458" s="81">
        <v>43573</v>
      </c>
      <c r="F1458" s="27">
        <f t="shared" ca="1" si="22"/>
        <v>900</v>
      </c>
      <c r="G1458" s="79"/>
      <c r="H1458" s="80"/>
      <c r="I1458" s="80"/>
      <c r="J1458" s="79"/>
      <c r="K1458" s="78"/>
      <c r="L1458" s="77">
        <v>43578</v>
      </c>
      <c r="M1458" s="68"/>
      <c r="N1458" s="76" t="s">
        <v>3111</v>
      </c>
      <c r="O1458" s="75"/>
      <c r="R1458" s="74"/>
    </row>
    <row r="1459" spans="2:18" ht="36" hidden="1" customHeight="1" x14ac:dyDescent="0.25">
      <c r="B1459" s="84">
        <v>1646</v>
      </c>
      <c r="C1459" s="83" t="s">
        <v>40</v>
      </c>
      <c r="D1459" s="82" t="s">
        <v>1146</v>
      </c>
      <c r="E1459" s="81">
        <v>43578</v>
      </c>
      <c r="F1459" s="27">
        <f t="shared" ca="1" si="22"/>
        <v>895</v>
      </c>
      <c r="G1459" s="79"/>
      <c r="H1459" s="80"/>
      <c r="I1459" s="80"/>
      <c r="J1459" s="79"/>
      <c r="K1459" s="78"/>
      <c r="L1459" s="77">
        <v>43640</v>
      </c>
      <c r="M1459" s="68"/>
      <c r="N1459" s="76" t="s">
        <v>1147</v>
      </c>
      <c r="O1459" s="75" t="s">
        <v>1148</v>
      </c>
      <c r="R1459" s="74"/>
    </row>
    <row r="1460" spans="2:18" ht="36" hidden="1" customHeight="1" x14ac:dyDescent="0.25">
      <c r="B1460" s="84">
        <v>1823</v>
      </c>
      <c r="C1460" s="83" t="s">
        <v>23</v>
      </c>
      <c r="D1460" s="82" t="s">
        <v>458</v>
      </c>
      <c r="E1460" s="81">
        <v>43578</v>
      </c>
      <c r="F1460" s="27">
        <f t="shared" ca="1" si="22"/>
        <v>895</v>
      </c>
      <c r="G1460" s="79"/>
      <c r="H1460" s="80"/>
      <c r="I1460" s="80"/>
      <c r="J1460" s="79"/>
      <c r="K1460" s="78"/>
      <c r="L1460" s="77">
        <v>43581</v>
      </c>
      <c r="M1460" s="68"/>
      <c r="N1460" s="76" t="s">
        <v>2650</v>
      </c>
      <c r="O1460" s="75" t="s">
        <v>595</v>
      </c>
      <c r="R1460" s="74"/>
    </row>
    <row r="1461" spans="2:18" ht="36" hidden="1" customHeight="1" x14ac:dyDescent="0.25">
      <c r="B1461" s="84">
        <v>1823</v>
      </c>
      <c r="C1461" s="83" t="s">
        <v>40</v>
      </c>
      <c r="D1461" s="82" t="s">
        <v>2651</v>
      </c>
      <c r="E1461" s="81">
        <v>43580</v>
      </c>
      <c r="F1461" s="27">
        <f t="shared" ca="1" si="22"/>
        <v>893</v>
      </c>
      <c r="G1461" s="79"/>
      <c r="H1461" s="80"/>
      <c r="I1461" s="80"/>
      <c r="J1461" s="79"/>
      <c r="K1461" s="78"/>
      <c r="L1461" s="77">
        <v>43581</v>
      </c>
      <c r="M1461" s="68"/>
      <c r="N1461" s="76" t="s">
        <v>2650</v>
      </c>
      <c r="O1461" s="75" t="s">
        <v>595</v>
      </c>
      <c r="R1461" s="74"/>
    </row>
    <row r="1462" spans="2:18" ht="36" hidden="1" customHeight="1" x14ac:dyDescent="0.25">
      <c r="B1462" s="84">
        <v>1823</v>
      </c>
      <c r="C1462" s="83" t="s">
        <v>11</v>
      </c>
      <c r="D1462" s="82" t="s">
        <v>2652</v>
      </c>
      <c r="E1462" s="81">
        <v>43580</v>
      </c>
      <c r="F1462" s="27">
        <f t="shared" ca="1" si="22"/>
        <v>893</v>
      </c>
      <c r="G1462" s="79"/>
      <c r="H1462" s="80"/>
      <c r="I1462" s="80"/>
      <c r="J1462" s="79"/>
      <c r="K1462" s="78"/>
      <c r="L1462" s="77">
        <v>43593</v>
      </c>
      <c r="M1462" s="68"/>
      <c r="N1462" s="76" t="s">
        <v>2653</v>
      </c>
      <c r="O1462" s="75" t="s">
        <v>2654</v>
      </c>
      <c r="R1462" s="74"/>
    </row>
    <row r="1463" spans="2:18" ht="36" hidden="1" customHeight="1" x14ac:dyDescent="0.25">
      <c r="B1463" s="84">
        <v>1825</v>
      </c>
      <c r="C1463" s="83" t="s">
        <v>19</v>
      </c>
      <c r="D1463" s="82" t="s">
        <v>3114</v>
      </c>
      <c r="E1463" s="81">
        <v>43580</v>
      </c>
      <c r="F1463" s="27">
        <f t="shared" ca="1" si="22"/>
        <v>893</v>
      </c>
      <c r="G1463" s="79"/>
      <c r="H1463" s="80"/>
      <c r="I1463" s="80"/>
      <c r="J1463" s="79"/>
      <c r="K1463" s="78"/>
      <c r="L1463" s="77">
        <v>43584</v>
      </c>
      <c r="M1463" s="68"/>
      <c r="N1463" s="76" t="s">
        <v>2856</v>
      </c>
      <c r="O1463" s="75" t="s">
        <v>3115</v>
      </c>
      <c r="R1463" s="74"/>
    </row>
    <row r="1464" spans="2:18" ht="36" hidden="1" customHeight="1" x14ac:dyDescent="0.25">
      <c r="B1464" s="84">
        <v>1825</v>
      </c>
      <c r="C1464" s="83" t="s">
        <v>11</v>
      </c>
      <c r="D1464" s="82" t="s">
        <v>3116</v>
      </c>
      <c r="E1464" s="81">
        <v>43580</v>
      </c>
      <c r="F1464" s="27">
        <f t="shared" ca="1" si="22"/>
        <v>893</v>
      </c>
      <c r="G1464" s="79"/>
      <c r="H1464" s="80"/>
      <c r="I1464" s="80"/>
      <c r="J1464" s="79"/>
      <c r="K1464" s="78"/>
      <c r="L1464" s="77">
        <v>43584</v>
      </c>
      <c r="M1464" s="68"/>
      <c r="N1464" s="76" t="s">
        <v>2856</v>
      </c>
      <c r="O1464" s="75" t="s">
        <v>3117</v>
      </c>
      <c r="R1464" s="74"/>
    </row>
    <row r="1465" spans="2:18" ht="36" hidden="1" customHeight="1" x14ac:dyDescent="0.25">
      <c r="B1465" s="84">
        <v>1824</v>
      </c>
      <c r="C1465" s="83" t="s">
        <v>15</v>
      </c>
      <c r="D1465" s="82" t="s">
        <v>2855</v>
      </c>
      <c r="E1465" s="81">
        <v>43581</v>
      </c>
      <c r="F1465" s="27">
        <f t="shared" ca="1" si="22"/>
        <v>892</v>
      </c>
      <c r="G1465" s="79"/>
      <c r="H1465" s="80"/>
      <c r="I1465" s="80"/>
      <c r="J1465" s="79"/>
      <c r="K1465" s="78"/>
      <c r="L1465" s="77">
        <v>43584</v>
      </c>
      <c r="M1465" s="68"/>
      <c r="N1465" s="76" t="s">
        <v>2856</v>
      </c>
      <c r="O1465" s="75" t="s">
        <v>2857</v>
      </c>
      <c r="R1465" s="74"/>
    </row>
    <row r="1466" spans="2:18" ht="36" hidden="1" customHeight="1" x14ac:dyDescent="0.25">
      <c r="B1466" s="84">
        <v>1829</v>
      </c>
      <c r="C1466" s="83" t="s">
        <v>23</v>
      </c>
      <c r="D1466" s="82" t="s">
        <v>346</v>
      </c>
      <c r="E1466" s="81">
        <v>43581</v>
      </c>
      <c r="F1466" s="27">
        <f t="shared" ca="1" si="22"/>
        <v>892</v>
      </c>
      <c r="G1466" s="79"/>
      <c r="H1466" s="80"/>
      <c r="I1466" s="80"/>
      <c r="J1466" s="79"/>
      <c r="K1466" s="78"/>
      <c r="L1466" s="77">
        <v>43586</v>
      </c>
      <c r="M1466" s="68"/>
      <c r="N1466" s="76" t="s">
        <v>3247</v>
      </c>
      <c r="O1466" s="75"/>
      <c r="R1466" s="74"/>
    </row>
    <row r="1467" spans="2:18" ht="36" hidden="1" customHeight="1" x14ac:dyDescent="0.25">
      <c r="B1467" s="84">
        <v>1827</v>
      </c>
      <c r="C1467" s="83" t="s">
        <v>23</v>
      </c>
      <c r="D1467" s="82" t="s">
        <v>1972</v>
      </c>
      <c r="E1467" s="81">
        <v>43584</v>
      </c>
      <c r="F1467" s="27">
        <f t="shared" ca="1" si="22"/>
        <v>889</v>
      </c>
      <c r="G1467" s="79"/>
      <c r="H1467" s="80"/>
      <c r="I1467" s="80"/>
      <c r="J1467" s="79"/>
      <c r="K1467" s="78"/>
      <c r="L1467" s="77">
        <v>43594</v>
      </c>
      <c r="M1467" s="68"/>
      <c r="N1467" s="76" t="s">
        <v>1223</v>
      </c>
      <c r="O1467" s="75"/>
      <c r="R1467" s="74"/>
    </row>
    <row r="1468" spans="2:18" ht="36" hidden="1" customHeight="1" x14ac:dyDescent="0.25">
      <c r="B1468" s="84">
        <v>1827</v>
      </c>
      <c r="C1468" s="83" t="s">
        <v>23</v>
      </c>
      <c r="D1468" s="82" t="s">
        <v>3413</v>
      </c>
      <c r="E1468" s="81">
        <v>43584</v>
      </c>
      <c r="F1468" s="27">
        <f t="shared" ca="1" si="22"/>
        <v>889</v>
      </c>
      <c r="G1468" s="79"/>
      <c r="H1468" s="80"/>
      <c r="I1468" s="80"/>
      <c r="J1468" s="79"/>
      <c r="K1468" s="78"/>
      <c r="L1468" s="77">
        <v>43594</v>
      </c>
      <c r="M1468" s="68"/>
      <c r="N1468" s="76" t="s">
        <v>1223</v>
      </c>
      <c r="O1468" s="75"/>
      <c r="R1468" s="74"/>
    </row>
    <row r="1469" spans="2:18" ht="36" hidden="1" customHeight="1" x14ac:dyDescent="0.25">
      <c r="B1469" s="84">
        <v>1828</v>
      </c>
      <c r="C1469" s="83" t="s">
        <v>11</v>
      </c>
      <c r="D1469" s="82" t="s">
        <v>3629</v>
      </c>
      <c r="E1469" s="81">
        <v>43584</v>
      </c>
      <c r="F1469" s="27">
        <f t="shared" ca="1" si="22"/>
        <v>889</v>
      </c>
      <c r="G1469" s="79"/>
      <c r="H1469" s="80"/>
      <c r="I1469" s="80"/>
      <c r="J1469" s="79"/>
      <c r="K1469" s="78"/>
      <c r="L1469" s="77">
        <v>43593</v>
      </c>
      <c r="M1469" s="68"/>
      <c r="N1469" s="76"/>
      <c r="O1469" s="75" t="s">
        <v>2656</v>
      </c>
      <c r="R1469" s="74"/>
    </row>
    <row r="1470" spans="2:18" ht="36" hidden="1" customHeight="1" x14ac:dyDescent="0.25">
      <c r="B1470" s="84">
        <v>1643</v>
      </c>
      <c r="C1470" s="83" t="s">
        <v>887</v>
      </c>
      <c r="D1470" s="82" t="s">
        <v>904</v>
      </c>
      <c r="E1470" s="81">
        <v>43585</v>
      </c>
      <c r="F1470" s="27">
        <f t="shared" ca="1" si="22"/>
        <v>888</v>
      </c>
      <c r="G1470" s="79"/>
      <c r="H1470" s="80"/>
      <c r="I1470" s="80"/>
      <c r="J1470" s="79"/>
      <c r="K1470" s="78"/>
      <c r="L1470" s="77">
        <v>43586</v>
      </c>
      <c r="M1470" s="68"/>
      <c r="N1470" s="76" t="s">
        <v>688</v>
      </c>
      <c r="O1470" s="75"/>
      <c r="R1470" s="74"/>
    </row>
    <row r="1471" spans="2:18" ht="36" hidden="1" customHeight="1" x14ac:dyDescent="0.25">
      <c r="B1471" s="84">
        <v>1643</v>
      </c>
      <c r="C1471" s="83" t="s">
        <v>31</v>
      </c>
      <c r="D1471" s="82" t="s">
        <v>907</v>
      </c>
      <c r="E1471" s="81">
        <v>43585</v>
      </c>
      <c r="F1471" s="27">
        <f t="shared" ca="1" si="22"/>
        <v>888</v>
      </c>
      <c r="G1471" s="79"/>
      <c r="H1471" s="80"/>
      <c r="I1471" s="80"/>
      <c r="J1471" s="79"/>
      <c r="K1471" s="78"/>
      <c r="L1471" s="77">
        <v>43598</v>
      </c>
      <c r="M1471" s="68"/>
      <c r="N1471" s="76"/>
      <c r="O1471" s="75" t="s">
        <v>908</v>
      </c>
      <c r="R1471" s="74"/>
    </row>
    <row r="1472" spans="2:18" ht="36" hidden="1" customHeight="1" x14ac:dyDescent="0.25">
      <c r="B1472" s="84">
        <v>1646</v>
      </c>
      <c r="C1472" s="83" t="s">
        <v>40</v>
      </c>
      <c r="D1472" s="82" t="s">
        <v>1137</v>
      </c>
      <c r="E1472" s="81">
        <v>43585</v>
      </c>
      <c r="F1472" s="27">
        <f t="shared" ca="1" si="22"/>
        <v>888</v>
      </c>
      <c r="G1472" s="79"/>
      <c r="H1472" s="80"/>
      <c r="I1472" s="80"/>
      <c r="J1472" s="79"/>
      <c r="K1472" s="78"/>
      <c r="L1472" s="77">
        <v>43585</v>
      </c>
      <c r="M1472" s="68"/>
      <c r="N1472" s="76" t="s">
        <v>1138</v>
      </c>
      <c r="O1472" s="75" t="s">
        <v>1139</v>
      </c>
      <c r="R1472" s="74"/>
    </row>
    <row r="1473" spans="2:18" ht="36" hidden="1" customHeight="1" x14ac:dyDescent="0.25">
      <c r="B1473" s="84">
        <v>1816</v>
      </c>
      <c r="C1473" s="83" t="s">
        <v>40</v>
      </c>
      <c r="D1473" s="82" t="s">
        <v>1238</v>
      </c>
      <c r="E1473" s="81">
        <v>43585</v>
      </c>
      <c r="F1473" s="27">
        <f t="shared" ca="1" si="22"/>
        <v>888</v>
      </c>
      <c r="G1473" s="79"/>
      <c r="H1473" s="80"/>
      <c r="I1473" s="80"/>
      <c r="J1473" s="79"/>
      <c r="K1473" s="78"/>
      <c r="L1473" s="77">
        <v>43587</v>
      </c>
      <c r="M1473" s="68"/>
      <c r="N1473" s="76" t="s">
        <v>1401</v>
      </c>
      <c r="O1473" s="75"/>
      <c r="R1473" s="74"/>
    </row>
    <row r="1474" spans="2:18" ht="36" hidden="1" customHeight="1" x14ac:dyDescent="0.25">
      <c r="B1474" s="84">
        <v>1816</v>
      </c>
      <c r="C1474" s="83" t="s">
        <v>20</v>
      </c>
      <c r="D1474" s="82" t="s">
        <v>1402</v>
      </c>
      <c r="E1474" s="81">
        <v>43585</v>
      </c>
      <c r="F1474" s="27">
        <f t="shared" ca="1" si="22"/>
        <v>888</v>
      </c>
      <c r="G1474" s="79"/>
      <c r="H1474" s="80"/>
      <c r="I1474" s="80"/>
      <c r="J1474" s="79"/>
      <c r="K1474" s="78"/>
      <c r="L1474" s="77">
        <v>43587</v>
      </c>
      <c r="M1474" s="68"/>
      <c r="N1474" s="76" t="s">
        <v>1401</v>
      </c>
      <c r="O1474" s="75"/>
      <c r="R1474" s="74"/>
    </row>
    <row r="1475" spans="2:18" ht="36" hidden="1" customHeight="1" x14ac:dyDescent="0.25">
      <c r="B1475" s="84">
        <v>1816</v>
      </c>
      <c r="C1475" s="83" t="s">
        <v>15</v>
      </c>
      <c r="D1475" s="82" t="s">
        <v>1403</v>
      </c>
      <c r="E1475" s="81">
        <v>43585</v>
      </c>
      <c r="F1475" s="27">
        <f t="shared" ca="1" si="22"/>
        <v>888</v>
      </c>
      <c r="G1475" s="79"/>
      <c r="H1475" s="80"/>
      <c r="I1475" s="80"/>
      <c r="J1475" s="79"/>
      <c r="K1475" s="78"/>
      <c r="L1475" s="77">
        <v>43587</v>
      </c>
      <c r="M1475" s="68"/>
      <c r="N1475" s="76" t="s">
        <v>1401</v>
      </c>
      <c r="O1475" s="75"/>
      <c r="R1475" s="74"/>
    </row>
    <row r="1476" spans="2:18" ht="36" hidden="1" customHeight="1" x14ac:dyDescent="0.25">
      <c r="B1476" s="84">
        <v>1816</v>
      </c>
      <c r="C1476" s="83" t="s">
        <v>21</v>
      </c>
      <c r="D1476" s="82" t="s">
        <v>1404</v>
      </c>
      <c r="E1476" s="81">
        <v>43585</v>
      </c>
      <c r="F1476" s="27">
        <f t="shared" ca="1" si="22"/>
        <v>888</v>
      </c>
      <c r="G1476" s="79"/>
      <c r="H1476" s="80"/>
      <c r="I1476" s="80"/>
      <c r="J1476" s="79"/>
      <c r="K1476" s="78"/>
      <c r="L1476" s="77">
        <v>43587</v>
      </c>
      <c r="M1476" s="68"/>
      <c r="N1476" s="76" t="s">
        <v>1401</v>
      </c>
      <c r="O1476" s="75"/>
      <c r="R1476" s="74"/>
    </row>
    <row r="1477" spans="2:18" ht="36" hidden="1" customHeight="1" x14ac:dyDescent="0.25">
      <c r="B1477" s="84">
        <v>1816</v>
      </c>
      <c r="C1477" s="83" t="s">
        <v>19</v>
      </c>
      <c r="D1477" s="82" t="s">
        <v>1405</v>
      </c>
      <c r="E1477" s="81">
        <v>43585</v>
      </c>
      <c r="F1477" s="27">
        <f t="shared" ca="1" si="22"/>
        <v>888</v>
      </c>
      <c r="G1477" s="79"/>
      <c r="H1477" s="80"/>
      <c r="I1477" s="80"/>
      <c r="J1477" s="79"/>
      <c r="K1477" s="78"/>
      <c r="L1477" s="77">
        <v>43587</v>
      </c>
      <c r="M1477" s="68"/>
      <c r="N1477" s="76" t="s">
        <v>1401</v>
      </c>
      <c r="O1477" s="75"/>
      <c r="R1477" s="74"/>
    </row>
    <row r="1478" spans="2:18" ht="36" hidden="1" customHeight="1" x14ac:dyDescent="0.25">
      <c r="B1478" s="84">
        <v>1823</v>
      </c>
      <c r="C1478" s="83" t="s">
        <v>11</v>
      </c>
      <c r="D1478" s="82" t="s">
        <v>2655</v>
      </c>
      <c r="E1478" s="81">
        <v>43585</v>
      </c>
      <c r="F1478" s="27">
        <f t="shared" ca="1" si="22"/>
        <v>888</v>
      </c>
      <c r="G1478" s="79"/>
      <c r="H1478" s="80"/>
      <c r="I1478" s="80"/>
      <c r="J1478" s="79"/>
      <c r="K1478" s="78"/>
      <c r="L1478" s="77">
        <v>43593</v>
      </c>
      <c r="M1478" s="68"/>
      <c r="N1478" s="76" t="s">
        <v>2653</v>
      </c>
      <c r="O1478" s="75" t="s">
        <v>2656</v>
      </c>
      <c r="R1478" s="74"/>
    </row>
    <row r="1479" spans="2:18" ht="36" hidden="1" customHeight="1" x14ac:dyDescent="0.25">
      <c r="B1479" s="84">
        <v>1824</v>
      </c>
      <c r="C1479" s="83" t="s">
        <v>8</v>
      </c>
      <c r="D1479" s="82" t="s">
        <v>2858</v>
      </c>
      <c r="E1479" s="81">
        <v>43585</v>
      </c>
      <c r="F1479" s="27">
        <f t="shared" ca="1" si="22"/>
        <v>888</v>
      </c>
      <c r="G1479" s="79"/>
      <c r="H1479" s="80"/>
      <c r="I1479" s="80"/>
      <c r="J1479" s="79"/>
      <c r="K1479" s="78"/>
      <c r="L1479" s="77">
        <v>43585</v>
      </c>
      <c r="M1479" s="68"/>
      <c r="N1479" s="76" t="s">
        <v>2859</v>
      </c>
      <c r="O1479" s="75"/>
      <c r="R1479" s="74"/>
    </row>
    <row r="1480" spans="2:18" ht="36" hidden="1" customHeight="1" x14ac:dyDescent="0.25">
      <c r="B1480" s="84">
        <v>1642</v>
      </c>
      <c r="C1480" s="83" t="s">
        <v>12</v>
      </c>
      <c r="D1480" s="82" t="s">
        <v>819</v>
      </c>
      <c r="E1480" s="81">
        <v>43586</v>
      </c>
      <c r="F1480" s="27">
        <f t="shared" ca="1" si="22"/>
        <v>887</v>
      </c>
      <c r="G1480" s="79"/>
      <c r="H1480" s="80"/>
      <c r="I1480" s="80"/>
      <c r="J1480" s="79"/>
      <c r="K1480" s="78"/>
      <c r="L1480" s="77">
        <v>43591</v>
      </c>
      <c r="M1480" s="68"/>
      <c r="N1480" s="76"/>
      <c r="O1480" s="75" t="s">
        <v>820</v>
      </c>
      <c r="R1480" s="74"/>
    </row>
    <row r="1481" spans="2:18" ht="36" hidden="1" customHeight="1" x14ac:dyDescent="0.25">
      <c r="B1481" s="84">
        <v>1820</v>
      </c>
      <c r="C1481" s="83" t="s">
        <v>16</v>
      </c>
      <c r="D1481" s="82" t="s">
        <v>2174</v>
      </c>
      <c r="E1481" s="81">
        <v>43586</v>
      </c>
      <c r="F1481" s="27">
        <f t="shared" ca="1" si="22"/>
        <v>887</v>
      </c>
      <c r="G1481" s="79"/>
      <c r="H1481" s="80"/>
      <c r="I1481" s="80"/>
      <c r="J1481" s="79"/>
      <c r="K1481" s="78"/>
      <c r="L1481" s="77">
        <v>43587</v>
      </c>
      <c r="M1481" s="68"/>
      <c r="N1481" s="76" t="s">
        <v>2175</v>
      </c>
      <c r="O1481" s="75"/>
      <c r="R1481" s="74"/>
    </row>
    <row r="1482" spans="2:18" ht="36" hidden="1" customHeight="1" x14ac:dyDescent="0.25">
      <c r="B1482" s="84">
        <v>1826</v>
      </c>
      <c r="C1482" s="83" t="s">
        <v>23</v>
      </c>
      <c r="D1482" s="82" t="s">
        <v>3246</v>
      </c>
      <c r="E1482" s="81">
        <v>43586</v>
      </c>
      <c r="F1482" s="27">
        <f t="shared" ca="1" si="22"/>
        <v>887</v>
      </c>
      <c r="G1482" s="79"/>
      <c r="H1482" s="80"/>
      <c r="I1482" s="80"/>
      <c r="J1482" s="79"/>
      <c r="K1482" s="78"/>
      <c r="L1482" s="77">
        <v>43586</v>
      </c>
      <c r="M1482" s="68"/>
      <c r="N1482" s="76" t="s">
        <v>3247</v>
      </c>
      <c r="O1482" s="75"/>
      <c r="R1482" s="74"/>
    </row>
    <row r="1483" spans="2:18" ht="36" hidden="1" customHeight="1" x14ac:dyDescent="0.25">
      <c r="B1483" s="84">
        <v>1826</v>
      </c>
      <c r="C1483" s="83" t="s">
        <v>23</v>
      </c>
      <c r="D1483" s="82" t="s">
        <v>3224</v>
      </c>
      <c r="E1483" s="81">
        <v>43586</v>
      </c>
      <c r="F1483" s="27">
        <f t="shared" ca="1" si="22"/>
        <v>887</v>
      </c>
      <c r="G1483" s="79"/>
      <c r="H1483" s="80"/>
      <c r="I1483" s="80"/>
      <c r="J1483" s="79"/>
      <c r="K1483" s="78"/>
      <c r="L1483" s="77">
        <v>43586</v>
      </c>
      <c r="M1483" s="68"/>
      <c r="N1483" s="76" t="s">
        <v>3247</v>
      </c>
      <c r="O1483" s="75"/>
      <c r="R1483" s="74"/>
    </row>
    <row r="1484" spans="2:18" ht="36" hidden="1" customHeight="1" x14ac:dyDescent="0.25">
      <c r="B1484" s="84">
        <v>1826</v>
      </c>
      <c r="C1484" s="83" t="s">
        <v>40</v>
      </c>
      <c r="D1484" s="82" t="s">
        <v>3253</v>
      </c>
      <c r="E1484" s="81">
        <v>43586</v>
      </c>
      <c r="F1484" s="27">
        <f t="shared" ca="1" si="22"/>
        <v>887</v>
      </c>
      <c r="G1484" s="79"/>
      <c r="H1484" s="80"/>
      <c r="I1484" s="80"/>
      <c r="J1484" s="79"/>
      <c r="K1484" s="78"/>
      <c r="L1484" s="77">
        <v>43678</v>
      </c>
      <c r="M1484" s="68"/>
      <c r="N1484" s="76" t="s">
        <v>2019</v>
      </c>
      <c r="O1484" s="75" t="s">
        <v>3254</v>
      </c>
      <c r="R1484" s="74"/>
    </row>
    <row r="1485" spans="2:18" ht="36" hidden="1" customHeight="1" x14ac:dyDescent="0.25">
      <c r="B1485" s="84">
        <v>1641</v>
      </c>
      <c r="C1485" s="83" t="s">
        <v>33</v>
      </c>
      <c r="D1485" s="82" t="s">
        <v>677</v>
      </c>
      <c r="E1485" s="81">
        <v>43587</v>
      </c>
      <c r="F1485" s="27">
        <f t="shared" ca="1" si="22"/>
        <v>886</v>
      </c>
      <c r="G1485" s="79"/>
      <c r="H1485" s="80"/>
      <c r="I1485" s="80"/>
      <c r="J1485" s="79"/>
      <c r="K1485" s="78"/>
      <c r="L1485" s="77">
        <v>43591</v>
      </c>
      <c r="M1485" s="68"/>
      <c r="N1485" s="76" t="s">
        <v>678</v>
      </c>
      <c r="O1485" s="75" t="s">
        <v>679</v>
      </c>
      <c r="R1485" s="74"/>
    </row>
    <row r="1486" spans="2:18" ht="36" hidden="1" customHeight="1" x14ac:dyDescent="0.25">
      <c r="B1486" s="84">
        <v>1646</v>
      </c>
      <c r="C1486" s="83" t="s">
        <v>31</v>
      </c>
      <c r="D1486" s="82" t="s">
        <v>1143</v>
      </c>
      <c r="E1486" s="81">
        <v>43587</v>
      </c>
      <c r="F1486" s="27">
        <f t="shared" ca="1" si="22"/>
        <v>886</v>
      </c>
      <c r="G1486" s="79"/>
      <c r="H1486" s="80"/>
      <c r="I1486" s="80"/>
      <c r="J1486" s="79"/>
      <c r="K1486" s="78"/>
      <c r="L1486" s="77">
        <v>43600</v>
      </c>
      <c r="M1486" s="68"/>
      <c r="N1486" s="76"/>
      <c r="O1486" s="75" t="s">
        <v>908</v>
      </c>
      <c r="R1486" s="74"/>
    </row>
    <row r="1487" spans="2:18" ht="36" hidden="1" customHeight="1" x14ac:dyDescent="0.25">
      <c r="B1487" s="84">
        <v>1824</v>
      </c>
      <c r="C1487" s="83" t="s">
        <v>23</v>
      </c>
      <c r="D1487" s="82" t="s">
        <v>2860</v>
      </c>
      <c r="E1487" s="81">
        <v>43587</v>
      </c>
      <c r="F1487" s="27">
        <f t="shared" ca="1" si="22"/>
        <v>886</v>
      </c>
      <c r="G1487" s="79"/>
      <c r="H1487" s="80"/>
      <c r="I1487" s="80"/>
      <c r="J1487" s="79"/>
      <c r="K1487" s="78"/>
      <c r="L1487" s="77">
        <v>43588</v>
      </c>
      <c r="M1487" s="68"/>
      <c r="N1487" s="76" t="s">
        <v>2861</v>
      </c>
      <c r="O1487" s="75"/>
      <c r="R1487" s="74"/>
    </row>
    <row r="1488" spans="2:18" ht="36" hidden="1" customHeight="1" x14ac:dyDescent="0.25">
      <c r="B1488" s="84">
        <v>1643</v>
      </c>
      <c r="C1488" s="83" t="s">
        <v>11</v>
      </c>
      <c r="D1488" s="82" t="s">
        <v>905</v>
      </c>
      <c r="E1488" s="81">
        <v>43588</v>
      </c>
      <c r="F1488" s="27">
        <f t="shared" ref="F1488:F1551" ca="1" si="23">IF(E1488&lt;&gt;"",TODAY()-E1488,"")</f>
        <v>885</v>
      </c>
      <c r="G1488" s="79"/>
      <c r="H1488" s="80"/>
      <c r="I1488" s="80"/>
      <c r="J1488" s="79"/>
      <c r="K1488" s="78"/>
      <c r="L1488" s="77">
        <v>43591</v>
      </c>
      <c r="M1488" s="68"/>
      <c r="N1488" s="76"/>
      <c r="O1488" s="75" t="s">
        <v>906</v>
      </c>
      <c r="R1488" s="74"/>
    </row>
    <row r="1489" spans="2:18" ht="36" hidden="1" customHeight="1" x14ac:dyDescent="0.25">
      <c r="B1489" s="84">
        <v>1647</v>
      </c>
      <c r="C1489" s="83" t="s">
        <v>11</v>
      </c>
      <c r="D1489" s="82" t="s">
        <v>1222</v>
      </c>
      <c r="E1489" s="81">
        <v>43588</v>
      </c>
      <c r="F1489" s="27">
        <f t="shared" ca="1" si="23"/>
        <v>885</v>
      </c>
      <c r="G1489" s="79"/>
      <c r="H1489" s="80"/>
      <c r="I1489" s="80"/>
      <c r="J1489" s="79"/>
      <c r="K1489" s="78"/>
      <c r="L1489" s="77">
        <v>43594</v>
      </c>
      <c r="M1489" s="68"/>
      <c r="N1489" s="76" t="s">
        <v>1223</v>
      </c>
      <c r="O1489" s="75"/>
      <c r="R1489" s="74"/>
    </row>
    <row r="1490" spans="2:18" ht="36" hidden="1" customHeight="1" x14ac:dyDescent="0.25">
      <c r="B1490" s="84">
        <v>1817</v>
      </c>
      <c r="C1490" s="83" t="s">
        <v>16</v>
      </c>
      <c r="D1490" s="82" t="s">
        <v>1614</v>
      </c>
      <c r="E1490" s="81">
        <v>43588</v>
      </c>
      <c r="F1490" s="27">
        <f t="shared" ca="1" si="23"/>
        <v>885</v>
      </c>
      <c r="G1490" s="79"/>
      <c r="H1490" s="80"/>
      <c r="I1490" s="80"/>
      <c r="J1490" s="79"/>
      <c r="K1490" s="78"/>
      <c r="L1490" s="77">
        <v>43591</v>
      </c>
      <c r="M1490" s="68"/>
      <c r="N1490" s="76"/>
      <c r="O1490" s="75" t="s">
        <v>1615</v>
      </c>
      <c r="R1490" s="74"/>
    </row>
    <row r="1491" spans="2:18" ht="36" hidden="1" customHeight="1" x14ac:dyDescent="0.25">
      <c r="B1491" s="84">
        <v>1819</v>
      </c>
      <c r="C1491" s="83" t="s">
        <v>31</v>
      </c>
      <c r="D1491" s="82" t="s">
        <v>1981</v>
      </c>
      <c r="E1491" s="81">
        <v>43588</v>
      </c>
      <c r="F1491" s="27">
        <f t="shared" ca="1" si="23"/>
        <v>885</v>
      </c>
      <c r="G1491" s="79"/>
      <c r="H1491" s="80"/>
      <c r="I1491" s="80"/>
      <c r="J1491" s="79"/>
      <c r="K1491" s="78"/>
      <c r="L1491" s="77">
        <v>43588</v>
      </c>
      <c r="M1491" s="68"/>
      <c r="N1491" s="76" t="s">
        <v>1982</v>
      </c>
      <c r="O1491" s="75"/>
      <c r="R1491" s="74"/>
    </row>
    <row r="1492" spans="2:18" ht="36" hidden="1" customHeight="1" x14ac:dyDescent="0.25">
      <c r="B1492" s="84">
        <v>1824</v>
      </c>
      <c r="C1492" s="83" t="s">
        <v>35</v>
      </c>
      <c r="D1492" s="82" t="s">
        <v>2862</v>
      </c>
      <c r="E1492" s="81">
        <v>43588</v>
      </c>
      <c r="F1492" s="27">
        <f t="shared" ca="1" si="23"/>
        <v>885</v>
      </c>
      <c r="G1492" s="79"/>
      <c r="H1492" s="80"/>
      <c r="I1492" s="80"/>
      <c r="J1492" s="79"/>
      <c r="K1492" s="78"/>
      <c r="L1492" s="77">
        <v>43591</v>
      </c>
      <c r="M1492" s="68"/>
      <c r="N1492" s="76"/>
      <c r="O1492" s="75" t="s">
        <v>2863</v>
      </c>
      <c r="R1492" s="74"/>
    </row>
    <row r="1493" spans="2:18" ht="36" hidden="1" customHeight="1" x14ac:dyDescent="0.25">
      <c r="B1493" s="84">
        <v>1828</v>
      </c>
      <c r="C1493" s="83" t="s">
        <v>18</v>
      </c>
      <c r="D1493" s="82" t="s">
        <v>3630</v>
      </c>
      <c r="E1493" s="81">
        <v>43588</v>
      </c>
      <c r="F1493" s="27">
        <f t="shared" ca="1" si="23"/>
        <v>885</v>
      </c>
      <c r="G1493" s="79"/>
      <c r="H1493" s="80"/>
      <c r="I1493" s="80"/>
      <c r="J1493" s="79"/>
      <c r="K1493" s="78"/>
      <c r="L1493" s="77">
        <v>43593</v>
      </c>
      <c r="M1493" s="68"/>
      <c r="N1493" s="76"/>
      <c r="O1493" s="75" t="s">
        <v>3631</v>
      </c>
      <c r="R1493" s="74"/>
    </row>
    <row r="1494" spans="2:18" ht="36" hidden="1" customHeight="1" x14ac:dyDescent="0.25">
      <c r="B1494" s="84">
        <v>1828</v>
      </c>
      <c r="C1494" s="83" t="s">
        <v>23</v>
      </c>
      <c r="D1494" s="82" t="s">
        <v>309</v>
      </c>
      <c r="E1494" s="81">
        <v>43588</v>
      </c>
      <c r="F1494" s="27">
        <f t="shared" ca="1" si="23"/>
        <v>885</v>
      </c>
      <c r="G1494" s="79"/>
      <c r="H1494" s="80"/>
      <c r="I1494" s="80"/>
      <c r="J1494" s="79"/>
      <c r="K1494" s="78"/>
      <c r="L1494" s="77">
        <v>43593</v>
      </c>
      <c r="M1494" s="68"/>
      <c r="N1494" s="76"/>
      <c r="O1494" s="75" t="s">
        <v>154</v>
      </c>
      <c r="R1494" s="74"/>
    </row>
    <row r="1495" spans="2:18" ht="36" hidden="1" customHeight="1" x14ac:dyDescent="0.25">
      <c r="B1495" s="84">
        <v>1819</v>
      </c>
      <c r="C1495" s="83" t="s">
        <v>40</v>
      </c>
      <c r="D1495" s="82" t="s">
        <v>331</v>
      </c>
      <c r="E1495" s="81">
        <v>43591</v>
      </c>
      <c r="F1495" s="27">
        <f t="shared" ca="1" si="23"/>
        <v>882</v>
      </c>
      <c r="G1495" s="79"/>
      <c r="H1495" s="80"/>
      <c r="I1495" s="80"/>
      <c r="J1495" s="79"/>
      <c r="K1495" s="78"/>
      <c r="L1495" s="77">
        <v>43615</v>
      </c>
      <c r="M1495" s="68"/>
      <c r="N1495" s="76" t="s">
        <v>1996</v>
      </c>
      <c r="O1495" s="75" t="s">
        <v>1997</v>
      </c>
      <c r="R1495" s="74"/>
    </row>
    <row r="1496" spans="2:18" ht="36" hidden="1" customHeight="1" x14ac:dyDescent="0.25">
      <c r="B1496" s="84">
        <v>1823</v>
      </c>
      <c r="C1496" s="83" t="s">
        <v>23</v>
      </c>
      <c r="D1496" s="82" t="s">
        <v>2657</v>
      </c>
      <c r="E1496" s="81">
        <v>43591</v>
      </c>
      <c r="F1496" s="27">
        <f t="shared" ca="1" si="23"/>
        <v>882</v>
      </c>
      <c r="G1496" s="79"/>
      <c r="H1496" s="80"/>
      <c r="I1496" s="80"/>
      <c r="J1496" s="79"/>
      <c r="K1496" s="78"/>
      <c r="L1496" s="77">
        <v>43593</v>
      </c>
      <c r="M1496" s="68"/>
      <c r="N1496" s="76" t="s">
        <v>2653</v>
      </c>
      <c r="O1496" s="75" t="s">
        <v>2658</v>
      </c>
      <c r="R1496" s="74"/>
    </row>
    <row r="1497" spans="2:18" ht="36" hidden="1" customHeight="1" x14ac:dyDescent="0.25">
      <c r="B1497" s="84">
        <v>1824</v>
      </c>
      <c r="C1497" s="83" t="s">
        <v>11</v>
      </c>
      <c r="D1497" s="82" t="s">
        <v>2655</v>
      </c>
      <c r="E1497" s="81">
        <v>43591</v>
      </c>
      <c r="F1497" s="27">
        <f t="shared" ca="1" si="23"/>
        <v>882</v>
      </c>
      <c r="G1497" s="79"/>
      <c r="H1497" s="80"/>
      <c r="I1497" s="80"/>
      <c r="J1497" s="79"/>
      <c r="K1497" s="78"/>
      <c r="L1497" s="77">
        <v>43598</v>
      </c>
      <c r="M1497" s="68"/>
      <c r="N1497" s="76" t="s">
        <v>2864</v>
      </c>
      <c r="O1497" s="75"/>
      <c r="R1497" s="74"/>
    </row>
    <row r="1498" spans="2:18" ht="36" hidden="1" customHeight="1" x14ac:dyDescent="0.25">
      <c r="B1498" s="84">
        <v>1825</v>
      </c>
      <c r="C1498" s="83" t="s">
        <v>19</v>
      </c>
      <c r="D1498" s="82" t="s">
        <v>3118</v>
      </c>
      <c r="E1498" s="81">
        <v>43591</v>
      </c>
      <c r="F1498" s="27">
        <f t="shared" ca="1" si="23"/>
        <v>882</v>
      </c>
      <c r="G1498" s="79"/>
      <c r="H1498" s="80"/>
      <c r="I1498" s="80"/>
      <c r="J1498" s="79"/>
      <c r="K1498" s="78"/>
      <c r="L1498" s="77">
        <v>43634</v>
      </c>
      <c r="M1498" s="68"/>
      <c r="N1498" s="76" t="s">
        <v>686</v>
      </c>
      <c r="O1498" s="75"/>
      <c r="R1498" s="74"/>
    </row>
    <row r="1499" spans="2:18" ht="36" hidden="1" customHeight="1" x14ac:dyDescent="0.25">
      <c r="B1499" s="84">
        <v>1819</v>
      </c>
      <c r="C1499" s="83" t="s">
        <v>23</v>
      </c>
      <c r="D1499" s="82" t="s">
        <v>1987</v>
      </c>
      <c r="E1499" s="81">
        <v>43592</v>
      </c>
      <c r="F1499" s="27">
        <f t="shared" ca="1" si="23"/>
        <v>881</v>
      </c>
      <c r="G1499" s="79"/>
      <c r="H1499" s="80"/>
      <c r="I1499" s="80"/>
      <c r="J1499" s="79"/>
      <c r="K1499" s="78"/>
      <c r="L1499" s="77">
        <v>43606</v>
      </c>
      <c r="M1499" s="68"/>
      <c r="N1499" s="76" t="s">
        <v>1988</v>
      </c>
      <c r="O1499" s="75"/>
      <c r="R1499" s="74"/>
    </row>
    <row r="1500" spans="2:18" ht="36" hidden="1" customHeight="1" x14ac:dyDescent="0.25">
      <c r="B1500" s="84">
        <v>1819</v>
      </c>
      <c r="C1500" s="83" t="s">
        <v>12</v>
      </c>
      <c r="D1500" s="82" t="s">
        <v>1983</v>
      </c>
      <c r="E1500" s="81">
        <v>43593</v>
      </c>
      <c r="F1500" s="27">
        <f t="shared" ca="1" si="23"/>
        <v>880</v>
      </c>
      <c r="G1500" s="79"/>
      <c r="H1500" s="80"/>
      <c r="I1500" s="80"/>
      <c r="J1500" s="79"/>
      <c r="K1500" s="78"/>
      <c r="L1500" s="77">
        <v>43594</v>
      </c>
      <c r="M1500" s="68"/>
      <c r="N1500" s="76" t="s">
        <v>703</v>
      </c>
      <c r="O1500" s="75" t="s">
        <v>1984</v>
      </c>
      <c r="R1500" s="74"/>
    </row>
    <row r="1501" spans="2:18" ht="36" hidden="1" customHeight="1" x14ac:dyDescent="0.25">
      <c r="B1501" s="84">
        <v>1823</v>
      </c>
      <c r="C1501" s="83" t="s">
        <v>11</v>
      </c>
      <c r="D1501" s="82" t="s">
        <v>2659</v>
      </c>
      <c r="E1501" s="81">
        <v>43593</v>
      </c>
      <c r="F1501" s="27">
        <f t="shared" ca="1" si="23"/>
        <v>880</v>
      </c>
      <c r="G1501" s="79"/>
      <c r="H1501" s="80"/>
      <c r="I1501" s="80"/>
      <c r="J1501" s="79"/>
      <c r="K1501" s="78"/>
      <c r="L1501" s="77">
        <v>43599</v>
      </c>
      <c r="M1501" s="68"/>
      <c r="N1501" s="76" t="s">
        <v>2660</v>
      </c>
      <c r="O1501" s="75"/>
      <c r="R1501" s="74"/>
    </row>
    <row r="1502" spans="2:18" ht="36" hidden="1" customHeight="1" x14ac:dyDescent="0.25">
      <c r="B1502" s="84">
        <v>1823</v>
      </c>
      <c r="C1502" s="83" t="s">
        <v>23</v>
      </c>
      <c r="D1502" s="82" t="s">
        <v>2661</v>
      </c>
      <c r="E1502" s="81">
        <v>43593</v>
      </c>
      <c r="F1502" s="27">
        <f t="shared" ca="1" si="23"/>
        <v>880</v>
      </c>
      <c r="G1502" s="79"/>
      <c r="H1502" s="80"/>
      <c r="I1502" s="80"/>
      <c r="J1502" s="79"/>
      <c r="K1502" s="78"/>
      <c r="L1502" s="77">
        <v>43599</v>
      </c>
      <c r="M1502" s="68"/>
      <c r="N1502" s="76" t="s">
        <v>2660</v>
      </c>
      <c r="O1502" s="75"/>
      <c r="R1502" s="74"/>
    </row>
    <row r="1503" spans="2:18" ht="36" hidden="1" customHeight="1" x14ac:dyDescent="0.25">
      <c r="B1503" s="84">
        <v>1824</v>
      </c>
      <c r="C1503" s="83" t="s">
        <v>887</v>
      </c>
      <c r="D1503" s="82" t="s">
        <v>2865</v>
      </c>
      <c r="E1503" s="81">
        <v>43593</v>
      </c>
      <c r="F1503" s="27">
        <f t="shared" ca="1" si="23"/>
        <v>880</v>
      </c>
      <c r="G1503" s="79"/>
      <c r="H1503" s="80"/>
      <c r="I1503" s="80"/>
      <c r="J1503" s="79"/>
      <c r="K1503" s="78"/>
      <c r="L1503" s="77">
        <v>43598</v>
      </c>
      <c r="M1503" s="68"/>
      <c r="N1503" s="76" t="s">
        <v>2864</v>
      </c>
      <c r="O1503" s="75"/>
      <c r="R1503" s="74"/>
    </row>
    <row r="1504" spans="2:18" ht="36" hidden="1" customHeight="1" x14ac:dyDescent="0.25">
      <c r="B1504" s="84">
        <v>1827</v>
      </c>
      <c r="C1504" s="83" t="s">
        <v>11</v>
      </c>
      <c r="D1504" s="82" t="s">
        <v>3416</v>
      </c>
      <c r="E1504" s="81">
        <v>43593</v>
      </c>
      <c r="F1504" s="27">
        <f t="shared" ca="1" si="23"/>
        <v>880</v>
      </c>
      <c r="G1504" s="79"/>
      <c r="H1504" s="80"/>
      <c r="I1504" s="80"/>
      <c r="J1504" s="79"/>
      <c r="K1504" s="78"/>
      <c r="L1504" s="77">
        <v>43628</v>
      </c>
      <c r="M1504" s="68"/>
      <c r="N1504" s="76" t="s">
        <v>3417</v>
      </c>
      <c r="O1504" s="75"/>
      <c r="R1504" s="74"/>
    </row>
    <row r="1505" spans="2:18" ht="36" hidden="1" customHeight="1" x14ac:dyDescent="0.25">
      <c r="B1505" s="84">
        <v>1830</v>
      </c>
      <c r="C1505" s="83" t="s">
        <v>11</v>
      </c>
      <c r="D1505" s="82" t="s">
        <v>4002</v>
      </c>
      <c r="E1505" s="81">
        <v>43593</v>
      </c>
      <c r="F1505" s="27">
        <f t="shared" ca="1" si="23"/>
        <v>880</v>
      </c>
      <c r="G1505" s="79"/>
      <c r="H1505" s="80"/>
      <c r="I1505" s="80"/>
      <c r="J1505" s="79"/>
      <c r="K1505" s="78"/>
      <c r="L1505" s="77">
        <v>43594</v>
      </c>
      <c r="M1505" s="68"/>
      <c r="N1505" s="76" t="s">
        <v>1074</v>
      </c>
      <c r="O1505" s="75"/>
      <c r="R1505" s="74"/>
    </row>
    <row r="1506" spans="2:18" ht="36" hidden="1" customHeight="1" x14ac:dyDescent="0.25">
      <c r="B1506" s="84">
        <v>1830</v>
      </c>
      <c r="C1506" s="83" t="s">
        <v>20</v>
      </c>
      <c r="D1506" s="82" t="s">
        <v>4003</v>
      </c>
      <c r="E1506" s="81">
        <v>43593</v>
      </c>
      <c r="F1506" s="27">
        <f t="shared" ca="1" si="23"/>
        <v>880</v>
      </c>
      <c r="G1506" s="79"/>
      <c r="H1506" s="80"/>
      <c r="I1506" s="80"/>
      <c r="J1506" s="79"/>
      <c r="K1506" s="78"/>
      <c r="L1506" s="77">
        <v>43594</v>
      </c>
      <c r="M1506" s="68"/>
      <c r="N1506" s="76" t="s">
        <v>4004</v>
      </c>
      <c r="O1506" s="75"/>
      <c r="R1506" s="74"/>
    </row>
    <row r="1507" spans="2:18" ht="36" hidden="1" customHeight="1" x14ac:dyDescent="0.25">
      <c r="B1507" s="84">
        <v>1830</v>
      </c>
      <c r="C1507" s="83" t="s">
        <v>23</v>
      </c>
      <c r="D1507" s="82" t="s">
        <v>458</v>
      </c>
      <c r="E1507" s="81">
        <v>43593</v>
      </c>
      <c r="F1507" s="27">
        <f t="shared" ca="1" si="23"/>
        <v>880</v>
      </c>
      <c r="G1507" s="79"/>
      <c r="H1507" s="80"/>
      <c r="I1507" s="80"/>
      <c r="J1507" s="79"/>
      <c r="K1507" s="78"/>
      <c r="L1507" s="77">
        <v>43594</v>
      </c>
      <c r="M1507" s="68"/>
      <c r="N1507" s="76" t="s">
        <v>4004</v>
      </c>
      <c r="O1507" s="75"/>
      <c r="R1507" s="74"/>
    </row>
    <row r="1508" spans="2:18" ht="36" hidden="1" customHeight="1" x14ac:dyDescent="0.25">
      <c r="B1508" s="84">
        <v>1830</v>
      </c>
      <c r="C1508" s="83" t="s">
        <v>23</v>
      </c>
      <c r="D1508" s="82" t="s">
        <v>4005</v>
      </c>
      <c r="E1508" s="81">
        <v>43593</v>
      </c>
      <c r="F1508" s="27">
        <f t="shared" ca="1" si="23"/>
        <v>880</v>
      </c>
      <c r="G1508" s="79"/>
      <c r="H1508" s="80"/>
      <c r="I1508" s="80"/>
      <c r="J1508" s="79"/>
      <c r="K1508" s="78"/>
      <c r="L1508" s="77">
        <v>43594</v>
      </c>
      <c r="M1508" s="68"/>
      <c r="N1508" s="76" t="s">
        <v>4004</v>
      </c>
      <c r="O1508" s="75"/>
      <c r="R1508" s="74"/>
    </row>
    <row r="1509" spans="2:18" ht="36" hidden="1" customHeight="1" x14ac:dyDescent="0.25">
      <c r="B1509" s="84">
        <v>1646</v>
      </c>
      <c r="C1509" s="83" t="s">
        <v>36</v>
      </c>
      <c r="D1509" s="82" t="s">
        <v>1140</v>
      </c>
      <c r="E1509" s="81">
        <v>43594</v>
      </c>
      <c r="F1509" s="27">
        <f t="shared" ca="1" si="23"/>
        <v>879</v>
      </c>
      <c r="G1509" s="79"/>
      <c r="H1509" s="80"/>
      <c r="I1509" s="80"/>
      <c r="J1509" s="79"/>
      <c r="K1509" s="78"/>
      <c r="L1509" s="77">
        <v>43595</v>
      </c>
      <c r="M1509" s="68"/>
      <c r="N1509" s="76" t="s">
        <v>1141</v>
      </c>
      <c r="O1509" s="75" t="s">
        <v>1142</v>
      </c>
      <c r="R1509" s="74"/>
    </row>
    <row r="1510" spans="2:18" ht="36" hidden="1" customHeight="1" x14ac:dyDescent="0.25">
      <c r="B1510" s="84">
        <v>1819</v>
      </c>
      <c r="C1510" s="83" t="s">
        <v>40</v>
      </c>
      <c r="D1510" s="82" t="s">
        <v>1985</v>
      </c>
      <c r="E1510" s="81">
        <v>43594</v>
      </c>
      <c r="F1510" s="27">
        <f t="shared" ca="1" si="23"/>
        <v>879</v>
      </c>
      <c r="G1510" s="79"/>
      <c r="H1510" s="80"/>
      <c r="I1510" s="80"/>
      <c r="J1510" s="79"/>
      <c r="K1510" s="78"/>
      <c r="L1510" s="77">
        <v>43598</v>
      </c>
      <c r="M1510" s="68"/>
      <c r="N1510" s="76" t="s">
        <v>1986</v>
      </c>
      <c r="O1510" s="75"/>
      <c r="R1510" s="74"/>
    </row>
    <row r="1511" spans="2:18" ht="36" hidden="1" customHeight="1" x14ac:dyDescent="0.25">
      <c r="B1511" s="84">
        <v>1819</v>
      </c>
      <c r="C1511" s="83" t="s">
        <v>23</v>
      </c>
      <c r="D1511" s="82" t="s">
        <v>1989</v>
      </c>
      <c r="E1511" s="81">
        <v>43594</v>
      </c>
      <c r="F1511" s="27">
        <f t="shared" ca="1" si="23"/>
        <v>879</v>
      </c>
      <c r="G1511" s="79"/>
      <c r="H1511" s="80"/>
      <c r="I1511" s="80"/>
      <c r="J1511" s="79"/>
      <c r="K1511" s="78"/>
      <c r="L1511" s="77">
        <v>43606</v>
      </c>
      <c r="M1511" s="68"/>
      <c r="N1511" s="76" t="s">
        <v>1990</v>
      </c>
      <c r="O1511" s="75"/>
      <c r="R1511" s="74"/>
    </row>
    <row r="1512" spans="2:18" ht="36" hidden="1" customHeight="1" x14ac:dyDescent="0.25">
      <c r="B1512" s="84">
        <v>1827</v>
      </c>
      <c r="C1512" s="83" t="s">
        <v>16</v>
      </c>
      <c r="D1512" s="82" t="s">
        <v>3418</v>
      </c>
      <c r="E1512" s="81">
        <v>43594</v>
      </c>
      <c r="F1512" s="27">
        <f t="shared" ca="1" si="23"/>
        <v>879</v>
      </c>
      <c r="G1512" s="79"/>
      <c r="H1512" s="80"/>
      <c r="I1512" s="80"/>
      <c r="J1512" s="79"/>
      <c r="K1512" s="78"/>
      <c r="L1512" s="77">
        <v>43628</v>
      </c>
      <c r="M1512" s="68"/>
      <c r="N1512" s="76" t="s">
        <v>3417</v>
      </c>
      <c r="O1512" s="75"/>
      <c r="R1512" s="74"/>
    </row>
    <row r="1513" spans="2:18" ht="36" hidden="1" customHeight="1" x14ac:dyDescent="0.25">
      <c r="B1513" s="84">
        <v>1829</v>
      </c>
      <c r="C1513" s="83" t="s">
        <v>23</v>
      </c>
      <c r="D1513" s="82" t="s">
        <v>3822</v>
      </c>
      <c r="E1513" s="81">
        <v>43594</v>
      </c>
      <c r="F1513" s="27">
        <f t="shared" ca="1" si="23"/>
        <v>879</v>
      </c>
      <c r="G1513" s="79"/>
      <c r="H1513" s="80"/>
      <c r="I1513" s="80"/>
      <c r="J1513" s="79"/>
      <c r="K1513" s="78"/>
      <c r="L1513" s="77">
        <v>43594</v>
      </c>
      <c r="M1513" s="68"/>
      <c r="N1513" s="76" t="s">
        <v>1223</v>
      </c>
      <c r="O1513" s="75"/>
      <c r="R1513" s="74"/>
    </row>
    <row r="1514" spans="2:18" ht="36" hidden="1" customHeight="1" x14ac:dyDescent="0.25">
      <c r="B1514" s="84">
        <v>1641</v>
      </c>
      <c r="C1514" s="83" t="s">
        <v>40</v>
      </c>
      <c r="D1514" s="82" t="s">
        <v>682</v>
      </c>
      <c r="E1514" s="81">
        <v>43595</v>
      </c>
      <c r="F1514" s="27">
        <f t="shared" ca="1" si="23"/>
        <v>878</v>
      </c>
      <c r="G1514" s="79"/>
      <c r="H1514" s="80"/>
      <c r="I1514" s="80"/>
      <c r="J1514" s="79"/>
      <c r="K1514" s="78"/>
      <c r="L1514" s="77">
        <v>43619</v>
      </c>
      <c r="M1514" s="68"/>
      <c r="N1514" s="76" t="s">
        <v>683</v>
      </c>
      <c r="O1514" s="75" t="s">
        <v>684</v>
      </c>
      <c r="R1514" s="74"/>
    </row>
    <row r="1515" spans="2:18" ht="36" hidden="1" customHeight="1" x14ac:dyDescent="0.25">
      <c r="B1515" s="84">
        <v>1643</v>
      </c>
      <c r="C1515" s="83" t="s">
        <v>38</v>
      </c>
      <c r="D1515" s="82" t="s">
        <v>911</v>
      </c>
      <c r="E1515" s="81">
        <v>43595</v>
      </c>
      <c r="F1515" s="27">
        <f t="shared" ca="1" si="23"/>
        <v>878</v>
      </c>
      <c r="G1515" s="79"/>
      <c r="H1515" s="80"/>
      <c r="I1515" s="80"/>
      <c r="J1515" s="79"/>
      <c r="K1515" s="78"/>
      <c r="L1515" s="77">
        <v>43606</v>
      </c>
      <c r="M1515" s="68"/>
      <c r="N1515" s="76" t="s">
        <v>912</v>
      </c>
      <c r="O1515" s="75"/>
      <c r="R1515" s="74"/>
    </row>
    <row r="1516" spans="2:18" ht="36" hidden="1" customHeight="1" x14ac:dyDescent="0.25">
      <c r="B1516" s="84">
        <v>1647</v>
      </c>
      <c r="C1516" s="83" t="s">
        <v>10</v>
      </c>
      <c r="D1516" s="82" t="s">
        <v>1224</v>
      </c>
      <c r="E1516" s="81">
        <v>43595</v>
      </c>
      <c r="F1516" s="27">
        <f t="shared" ca="1" si="23"/>
        <v>878</v>
      </c>
      <c r="G1516" s="79"/>
      <c r="H1516" s="80"/>
      <c r="I1516" s="80"/>
      <c r="J1516" s="79"/>
      <c r="K1516" s="78"/>
      <c r="L1516" s="77">
        <v>43599</v>
      </c>
      <c r="M1516" s="68"/>
      <c r="N1516" s="76" t="s">
        <v>1225</v>
      </c>
      <c r="O1516" s="75"/>
      <c r="R1516" s="74"/>
    </row>
    <row r="1517" spans="2:18" ht="36" hidden="1" customHeight="1" x14ac:dyDescent="0.25">
      <c r="B1517" s="84">
        <v>1643</v>
      </c>
      <c r="C1517" s="83" t="s">
        <v>19</v>
      </c>
      <c r="D1517" s="82" t="s">
        <v>909</v>
      </c>
      <c r="E1517" s="81">
        <v>43598</v>
      </c>
      <c r="F1517" s="27">
        <f t="shared" ca="1" si="23"/>
        <v>875</v>
      </c>
      <c r="G1517" s="79"/>
      <c r="H1517" s="80"/>
      <c r="I1517" s="80"/>
      <c r="J1517" s="79"/>
      <c r="K1517" s="78"/>
      <c r="L1517" s="77">
        <v>43598</v>
      </c>
      <c r="M1517" s="68"/>
      <c r="N1517" s="76" t="s">
        <v>910</v>
      </c>
      <c r="O1517" s="75"/>
      <c r="R1517" s="74"/>
    </row>
    <row r="1518" spans="2:18" ht="36" hidden="1" customHeight="1" x14ac:dyDescent="0.25">
      <c r="B1518" s="84">
        <v>1819</v>
      </c>
      <c r="C1518" s="83" t="s">
        <v>19</v>
      </c>
      <c r="D1518" s="82" t="s">
        <v>1991</v>
      </c>
      <c r="E1518" s="81">
        <v>43598</v>
      </c>
      <c r="F1518" s="27">
        <f t="shared" ca="1" si="23"/>
        <v>875</v>
      </c>
      <c r="G1518" s="79"/>
      <c r="H1518" s="80"/>
      <c r="I1518" s="80"/>
      <c r="J1518" s="79"/>
      <c r="K1518" s="78"/>
      <c r="L1518" s="77">
        <v>43606</v>
      </c>
      <c r="M1518" s="68"/>
      <c r="N1518" s="76" t="s">
        <v>1992</v>
      </c>
      <c r="O1518" s="75"/>
      <c r="R1518" s="74"/>
    </row>
    <row r="1519" spans="2:18" ht="36" hidden="1" customHeight="1" x14ac:dyDescent="0.25">
      <c r="B1519" s="84">
        <v>1646</v>
      </c>
      <c r="C1519" s="83" t="s">
        <v>36</v>
      </c>
      <c r="D1519" s="82" t="s">
        <v>1144</v>
      </c>
      <c r="E1519" s="81">
        <v>43599</v>
      </c>
      <c r="F1519" s="27">
        <f t="shared" ca="1" si="23"/>
        <v>874</v>
      </c>
      <c r="G1519" s="79"/>
      <c r="H1519" s="80"/>
      <c r="I1519" s="80"/>
      <c r="J1519" s="79"/>
      <c r="K1519" s="78"/>
      <c r="L1519" s="77">
        <v>43600</v>
      </c>
      <c r="M1519" s="68"/>
      <c r="N1519" s="76"/>
      <c r="O1519" s="75" t="s">
        <v>1145</v>
      </c>
      <c r="R1519" s="74"/>
    </row>
    <row r="1520" spans="2:18" ht="36" hidden="1" customHeight="1" x14ac:dyDescent="0.25">
      <c r="B1520" s="84">
        <v>1641</v>
      </c>
      <c r="C1520" s="83" t="s">
        <v>35</v>
      </c>
      <c r="D1520" s="82" t="s">
        <v>680</v>
      </c>
      <c r="E1520" s="81">
        <v>43600</v>
      </c>
      <c r="F1520" s="27">
        <f t="shared" ca="1" si="23"/>
        <v>873</v>
      </c>
      <c r="G1520" s="79"/>
      <c r="H1520" s="80"/>
      <c r="I1520" s="80"/>
      <c r="J1520" s="79"/>
      <c r="K1520" s="78"/>
      <c r="L1520" s="77">
        <v>43606</v>
      </c>
      <c r="M1520" s="68"/>
      <c r="N1520" s="76" t="s">
        <v>681</v>
      </c>
      <c r="O1520" s="75"/>
      <c r="R1520" s="74"/>
    </row>
    <row r="1521" spans="2:18" ht="36" hidden="1" customHeight="1" x14ac:dyDescent="0.25">
      <c r="B1521" s="84">
        <v>1829</v>
      </c>
      <c r="C1521" s="83" t="s">
        <v>19</v>
      </c>
      <c r="D1521" s="82" t="s">
        <v>3823</v>
      </c>
      <c r="E1521" s="81">
        <v>43600</v>
      </c>
      <c r="F1521" s="27">
        <f t="shared" ca="1" si="23"/>
        <v>873</v>
      </c>
      <c r="G1521" s="79"/>
      <c r="H1521" s="80"/>
      <c r="I1521" s="80"/>
      <c r="J1521" s="79"/>
      <c r="K1521" s="78"/>
      <c r="L1521" s="77">
        <v>43615</v>
      </c>
      <c r="M1521" s="68"/>
      <c r="N1521" s="76" t="s">
        <v>3824</v>
      </c>
      <c r="O1521" s="75" t="s">
        <v>3825</v>
      </c>
      <c r="R1521" s="74"/>
    </row>
    <row r="1522" spans="2:18" ht="36" hidden="1" customHeight="1" x14ac:dyDescent="0.25">
      <c r="B1522" s="84">
        <v>1819</v>
      </c>
      <c r="C1522" s="83" t="s">
        <v>40</v>
      </c>
      <c r="D1522" s="82" t="s">
        <v>1993</v>
      </c>
      <c r="E1522" s="81">
        <v>43606</v>
      </c>
      <c r="F1522" s="27">
        <f t="shared" ca="1" si="23"/>
        <v>867</v>
      </c>
      <c r="G1522" s="79"/>
      <c r="H1522" s="80"/>
      <c r="I1522" s="80"/>
      <c r="J1522" s="79"/>
      <c r="K1522" s="78"/>
      <c r="L1522" s="77">
        <v>43609</v>
      </c>
      <c r="M1522" s="68"/>
      <c r="N1522" s="76" t="s">
        <v>1994</v>
      </c>
      <c r="O1522" s="75" t="s">
        <v>1995</v>
      </c>
      <c r="R1522" s="74"/>
    </row>
    <row r="1523" spans="2:18" ht="36" hidden="1" customHeight="1" x14ac:dyDescent="0.25">
      <c r="B1523" s="84">
        <v>1819</v>
      </c>
      <c r="C1523" s="83" t="s">
        <v>19</v>
      </c>
      <c r="D1523" s="82" t="s">
        <v>1998</v>
      </c>
      <c r="E1523" s="81">
        <v>43606</v>
      </c>
      <c r="F1523" s="27">
        <f t="shared" ca="1" si="23"/>
        <v>867</v>
      </c>
      <c r="G1523" s="79"/>
      <c r="H1523" s="80"/>
      <c r="I1523" s="80"/>
      <c r="J1523" s="79"/>
      <c r="K1523" s="78"/>
      <c r="L1523" s="77">
        <v>43615</v>
      </c>
      <c r="M1523" s="68"/>
      <c r="N1523" s="76" t="s">
        <v>1999</v>
      </c>
      <c r="O1523" s="75" t="s">
        <v>2000</v>
      </c>
      <c r="R1523" s="74"/>
    </row>
    <row r="1524" spans="2:18" ht="36" hidden="1" customHeight="1" x14ac:dyDescent="0.25">
      <c r="B1524" s="84">
        <v>1819</v>
      </c>
      <c r="C1524" s="83" t="s">
        <v>19</v>
      </c>
      <c r="D1524" s="82" t="s">
        <v>967</v>
      </c>
      <c r="E1524" s="81">
        <v>43608</v>
      </c>
      <c r="F1524" s="27">
        <f t="shared" ca="1" si="23"/>
        <v>865</v>
      </c>
      <c r="G1524" s="79"/>
      <c r="H1524" s="80"/>
      <c r="I1524" s="80"/>
      <c r="J1524" s="79"/>
      <c r="K1524" s="78"/>
      <c r="L1524" s="77">
        <v>43615</v>
      </c>
      <c r="M1524" s="68"/>
      <c r="N1524" s="76" t="s">
        <v>1999</v>
      </c>
      <c r="O1524" s="75" t="s">
        <v>2000</v>
      </c>
      <c r="R1524" s="74"/>
    </row>
    <row r="1525" spans="2:18" ht="36" hidden="1" customHeight="1" x14ac:dyDescent="0.25">
      <c r="B1525" s="84">
        <v>1825</v>
      </c>
      <c r="C1525" s="83" t="s">
        <v>30</v>
      </c>
      <c r="D1525" s="82" t="s">
        <v>2835</v>
      </c>
      <c r="E1525" s="81">
        <v>43608</v>
      </c>
      <c r="F1525" s="27">
        <f t="shared" ca="1" si="23"/>
        <v>865</v>
      </c>
      <c r="G1525" s="79"/>
      <c r="H1525" s="80"/>
      <c r="I1525" s="80"/>
      <c r="J1525" s="79"/>
      <c r="K1525" s="78"/>
      <c r="L1525" s="77">
        <v>43634</v>
      </c>
      <c r="M1525" s="68"/>
      <c r="N1525" s="76" t="s">
        <v>686</v>
      </c>
      <c r="O1525" s="75"/>
      <c r="R1525" s="74"/>
    </row>
    <row r="1526" spans="2:18" ht="36" hidden="1" customHeight="1" x14ac:dyDescent="0.25">
      <c r="B1526" s="84">
        <v>1827</v>
      </c>
      <c r="C1526" s="83" t="s">
        <v>23</v>
      </c>
      <c r="D1526" s="82" t="s">
        <v>346</v>
      </c>
      <c r="E1526" s="81">
        <v>43608</v>
      </c>
      <c r="F1526" s="27">
        <f t="shared" ca="1" si="23"/>
        <v>865</v>
      </c>
      <c r="G1526" s="79"/>
      <c r="H1526" s="80"/>
      <c r="I1526" s="80"/>
      <c r="J1526" s="79"/>
      <c r="K1526" s="78"/>
      <c r="L1526" s="77">
        <v>43609</v>
      </c>
      <c r="M1526" s="68"/>
      <c r="N1526" s="76" t="s">
        <v>3414</v>
      </c>
      <c r="O1526" s="75"/>
      <c r="R1526" s="74"/>
    </row>
    <row r="1527" spans="2:18" ht="36" hidden="1" customHeight="1" x14ac:dyDescent="0.25">
      <c r="B1527" s="84">
        <v>1827</v>
      </c>
      <c r="C1527" s="83" t="s">
        <v>23</v>
      </c>
      <c r="D1527" s="82" t="s">
        <v>3415</v>
      </c>
      <c r="E1527" s="81">
        <v>43608</v>
      </c>
      <c r="F1527" s="27">
        <f t="shared" ca="1" si="23"/>
        <v>865</v>
      </c>
      <c r="G1527" s="79"/>
      <c r="H1527" s="80"/>
      <c r="I1527" s="80"/>
      <c r="J1527" s="79"/>
      <c r="K1527" s="78"/>
      <c r="L1527" s="77">
        <v>43609</v>
      </c>
      <c r="M1527" s="68"/>
      <c r="N1527" s="76" t="s">
        <v>3414</v>
      </c>
      <c r="O1527" s="75"/>
      <c r="R1527" s="74"/>
    </row>
    <row r="1528" spans="2:18" ht="36" hidden="1" customHeight="1" x14ac:dyDescent="0.25">
      <c r="B1528" s="84">
        <v>1827</v>
      </c>
      <c r="C1528" s="83" t="s">
        <v>23</v>
      </c>
      <c r="D1528" s="82" t="s">
        <v>458</v>
      </c>
      <c r="E1528" s="81">
        <v>43608</v>
      </c>
      <c r="F1528" s="27">
        <f t="shared" ca="1" si="23"/>
        <v>865</v>
      </c>
      <c r="G1528" s="79"/>
      <c r="H1528" s="80"/>
      <c r="I1528" s="80"/>
      <c r="J1528" s="79"/>
      <c r="K1528" s="78"/>
      <c r="L1528" s="77">
        <v>43609</v>
      </c>
      <c r="M1528" s="68"/>
      <c r="N1528" s="76" t="s">
        <v>3414</v>
      </c>
      <c r="O1528" s="75"/>
      <c r="R1528" s="74"/>
    </row>
    <row r="1529" spans="2:18" ht="36" hidden="1" customHeight="1" x14ac:dyDescent="0.25">
      <c r="B1529" s="84">
        <v>1829</v>
      </c>
      <c r="C1529" s="83" t="s">
        <v>23</v>
      </c>
      <c r="D1529" s="82" t="s">
        <v>346</v>
      </c>
      <c r="E1529" s="81">
        <v>43608</v>
      </c>
      <c r="F1529" s="27">
        <f t="shared" ca="1" si="23"/>
        <v>865</v>
      </c>
      <c r="G1529" s="79"/>
      <c r="H1529" s="80"/>
      <c r="I1529" s="80"/>
      <c r="J1529" s="79"/>
      <c r="K1529" s="78"/>
      <c r="L1529" s="77">
        <v>43615</v>
      </c>
      <c r="M1529" s="68"/>
      <c r="N1529" s="76" t="s">
        <v>3824</v>
      </c>
      <c r="O1529" s="75" t="s">
        <v>3826</v>
      </c>
      <c r="R1529" s="74"/>
    </row>
    <row r="1530" spans="2:18" ht="36" hidden="1" customHeight="1" x14ac:dyDescent="0.25">
      <c r="B1530" s="84">
        <v>1820</v>
      </c>
      <c r="C1530" s="83" t="s">
        <v>23</v>
      </c>
      <c r="D1530" s="82" t="s">
        <v>2176</v>
      </c>
      <c r="E1530" s="81">
        <v>43612</v>
      </c>
      <c r="F1530" s="27">
        <f t="shared" ca="1" si="23"/>
        <v>861</v>
      </c>
      <c r="G1530" s="79"/>
      <c r="H1530" s="80"/>
      <c r="I1530" s="80"/>
      <c r="J1530" s="79"/>
      <c r="K1530" s="78"/>
      <c r="L1530" s="77">
        <v>43619</v>
      </c>
      <c r="M1530" s="68"/>
      <c r="N1530" s="76" t="s">
        <v>2177</v>
      </c>
      <c r="O1530" s="75"/>
      <c r="R1530" s="74"/>
    </row>
    <row r="1531" spans="2:18" ht="36" hidden="1" customHeight="1" x14ac:dyDescent="0.25">
      <c r="B1531" s="84">
        <v>1829</v>
      </c>
      <c r="C1531" s="83" t="s">
        <v>31</v>
      </c>
      <c r="D1531" s="82" t="s">
        <v>2372</v>
      </c>
      <c r="E1531" s="81">
        <v>43612</v>
      </c>
      <c r="F1531" s="27">
        <f t="shared" ca="1" si="23"/>
        <v>861</v>
      </c>
      <c r="G1531" s="79"/>
      <c r="H1531" s="80"/>
      <c r="I1531" s="80"/>
      <c r="J1531" s="79"/>
      <c r="K1531" s="78"/>
      <c r="L1531" s="77">
        <v>43615</v>
      </c>
      <c r="M1531" s="68"/>
      <c r="N1531" s="76" t="s">
        <v>3824</v>
      </c>
      <c r="O1531" s="75" t="s">
        <v>2373</v>
      </c>
      <c r="R1531" s="74"/>
    </row>
    <row r="1532" spans="2:18" ht="36" hidden="1" customHeight="1" x14ac:dyDescent="0.25">
      <c r="B1532" s="84">
        <v>1819</v>
      </c>
      <c r="C1532" s="83" t="s">
        <v>23</v>
      </c>
      <c r="D1532" s="82" t="s">
        <v>2001</v>
      </c>
      <c r="E1532" s="81">
        <v>43613</v>
      </c>
      <c r="F1532" s="27">
        <f t="shared" ca="1" si="23"/>
        <v>860</v>
      </c>
      <c r="G1532" s="79"/>
      <c r="H1532" s="80"/>
      <c r="I1532" s="80"/>
      <c r="J1532" s="79"/>
      <c r="K1532" s="78"/>
      <c r="L1532" s="77">
        <v>43615</v>
      </c>
      <c r="M1532" s="68"/>
      <c r="N1532" s="76" t="s">
        <v>1996</v>
      </c>
      <c r="O1532" s="75"/>
      <c r="R1532" s="74"/>
    </row>
    <row r="1533" spans="2:18" ht="36" hidden="1" customHeight="1" x14ac:dyDescent="0.25">
      <c r="B1533" s="84">
        <v>1819</v>
      </c>
      <c r="C1533" s="83" t="s">
        <v>12</v>
      </c>
      <c r="D1533" s="82" t="s">
        <v>2002</v>
      </c>
      <c r="E1533" s="81">
        <v>43614</v>
      </c>
      <c r="F1533" s="27">
        <f t="shared" ca="1" si="23"/>
        <v>859</v>
      </c>
      <c r="G1533" s="79"/>
      <c r="H1533" s="80"/>
      <c r="I1533" s="80"/>
      <c r="J1533" s="79"/>
      <c r="K1533" s="78"/>
      <c r="L1533" s="77">
        <v>43615</v>
      </c>
      <c r="M1533" s="68"/>
      <c r="N1533" s="76" t="s">
        <v>1996</v>
      </c>
      <c r="O1533" s="75"/>
      <c r="R1533" s="74"/>
    </row>
    <row r="1534" spans="2:18" ht="36" hidden="1" customHeight="1" x14ac:dyDescent="0.25">
      <c r="B1534" s="84">
        <v>1819</v>
      </c>
      <c r="C1534" s="83" t="s">
        <v>40</v>
      </c>
      <c r="D1534" s="82" t="s">
        <v>2003</v>
      </c>
      <c r="E1534" s="81">
        <v>43614</v>
      </c>
      <c r="F1534" s="27">
        <f t="shared" ca="1" si="23"/>
        <v>859</v>
      </c>
      <c r="G1534" s="79"/>
      <c r="H1534" s="80"/>
      <c r="I1534" s="80"/>
      <c r="J1534" s="79"/>
      <c r="K1534" s="78"/>
      <c r="L1534" s="77">
        <v>43615</v>
      </c>
      <c r="M1534" s="68"/>
      <c r="N1534" s="76" t="s">
        <v>686</v>
      </c>
      <c r="O1534" s="75"/>
      <c r="R1534" s="74"/>
    </row>
    <row r="1535" spans="2:18" ht="36" hidden="1" customHeight="1" x14ac:dyDescent="0.25">
      <c r="B1535" s="84">
        <v>1645</v>
      </c>
      <c r="C1535" s="83" t="s">
        <v>39</v>
      </c>
      <c r="D1535" s="82" t="s">
        <v>1058</v>
      </c>
      <c r="E1535" s="81">
        <v>43615</v>
      </c>
      <c r="F1535" s="27">
        <f t="shared" ca="1" si="23"/>
        <v>858</v>
      </c>
      <c r="G1535" s="79"/>
      <c r="H1535" s="80"/>
      <c r="I1535" s="80"/>
      <c r="J1535" s="79"/>
      <c r="K1535" s="78"/>
      <c r="L1535" s="77">
        <v>43615</v>
      </c>
      <c r="M1535" s="68"/>
      <c r="N1535" s="76" t="s">
        <v>1059</v>
      </c>
      <c r="O1535" s="75"/>
      <c r="R1535" s="74"/>
    </row>
    <row r="1536" spans="2:18" ht="36" hidden="1" customHeight="1" x14ac:dyDescent="0.25">
      <c r="B1536" s="84">
        <v>1824</v>
      </c>
      <c r="C1536" s="83" t="s">
        <v>31</v>
      </c>
      <c r="D1536" s="82" t="s">
        <v>2866</v>
      </c>
      <c r="E1536" s="81">
        <v>43615</v>
      </c>
      <c r="F1536" s="27">
        <f t="shared" ca="1" si="23"/>
        <v>858</v>
      </c>
      <c r="G1536" s="79"/>
      <c r="H1536" s="80"/>
      <c r="I1536" s="80"/>
      <c r="J1536" s="79"/>
      <c r="K1536" s="78"/>
      <c r="L1536" s="77">
        <v>43616</v>
      </c>
      <c r="M1536" s="68"/>
      <c r="N1536" s="76" t="s">
        <v>686</v>
      </c>
      <c r="O1536" s="75"/>
      <c r="R1536" s="74"/>
    </row>
    <row r="1537" spans="2:18" ht="36" hidden="1" customHeight="1" x14ac:dyDescent="0.25">
      <c r="B1537" s="84">
        <v>1824</v>
      </c>
      <c r="C1537" s="83" t="s">
        <v>35</v>
      </c>
      <c r="D1537" s="82" t="s">
        <v>2867</v>
      </c>
      <c r="E1537" s="81">
        <v>43615</v>
      </c>
      <c r="F1537" s="27">
        <f t="shared" ca="1" si="23"/>
        <v>858</v>
      </c>
      <c r="G1537" s="79"/>
      <c r="H1537" s="80"/>
      <c r="I1537" s="80"/>
      <c r="J1537" s="79"/>
      <c r="K1537" s="78"/>
      <c r="L1537" s="77">
        <v>43616</v>
      </c>
      <c r="M1537" s="68"/>
      <c r="N1537" s="76" t="s">
        <v>686</v>
      </c>
      <c r="O1537" s="75"/>
      <c r="R1537" s="74"/>
    </row>
    <row r="1538" spans="2:18" ht="36" hidden="1" customHeight="1" x14ac:dyDescent="0.25">
      <c r="B1538" s="84">
        <v>1824</v>
      </c>
      <c r="C1538" s="83" t="s">
        <v>30</v>
      </c>
      <c r="D1538" s="82" t="s">
        <v>2868</v>
      </c>
      <c r="E1538" s="81">
        <v>43615</v>
      </c>
      <c r="F1538" s="27">
        <f t="shared" ca="1" si="23"/>
        <v>858</v>
      </c>
      <c r="G1538" s="79"/>
      <c r="H1538" s="80"/>
      <c r="I1538" s="80"/>
      <c r="J1538" s="79"/>
      <c r="K1538" s="78"/>
      <c r="L1538" s="77">
        <v>43616</v>
      </c>
      <c r="M1538" s="68"/>
      <c r="N1538" s="76" t="s">
        <v>686</v>
      </c>
      <c r="O1538" s="75"/>
      <c r="R1538" s="74"/>
    </row>
    <row r="1539" spans="2:18" ht="36" hidden="1" customHeight="1" x14ac:dyDescent="0.25">
      <c r="B1539" s="84">
        <v>1824</v>
      </c>
      <c r="C1539" s="83" t="s">
        <v>19</v>
      </c>
      <c r="D1539" s="82" t="s">
        <v>2869</v>
      </c>
      <c r="E1539" s="81">
        <v>43615</v>
      </c>
      <c r="F1539" s="27">
        <f t="shared" ca="1" si="23"/>
        <v>858</v>
      </c>
      <c r="G1539" s="79"/>
      <c r="H1539" s="80"/>
      <c r="I1539" s="80"/>
      <c r="J1539" s="79"/>
      <c r="K1539" s="78"/>
      <c r="L1539" s="77">
        <v>43616</v>
      </c>
      <c r="M1539" s="68"/>
      <c r="N1539" s="76" t="s">
        <v>686</v>
      </c>
      <c r="O1539" s="75"/>
      <c r="R1539" s="74"/>
    </row>
    <row r="1540" spans="2:18" ht="36" hidden="1" customHeight="1" x14ac:dyDescent="0.25">
      <c r="B1540" s="84">
        <v>1824</v>
      </c>
      <c r="C1540" s="83" t="s">
        <v>40</v>
      </c>
      <c r="D1540" s="82" t="s">
        <v>2003</v>
      </c>
      <c r="E1540" s="81">
        <v>43615</v>
      </c>
      <c r="F1540" s="27">
        <f t="shared" ca="1" si="23"/>
        <v>858</v>
      </c>
      <c r="G1540" s="79"/>
      <c r="H1540" s="80"/>
      <c r="I1540" s="80"/>
      <c r="J1540" s="79"/>
      <c r="K1540" s="78"/>
      <c r="L1540" s="77">
        <v>43616</v>
      </c>
      <c r="M1540" s="68"/>
      <c r="N1540" s="76" t="s">
        <v>686</v>
      </c>
      <c r="O1540" s="75"/>
      <c r="R1540" s="74"/>
    </row>
    <row r="1541" spans="2:18" ht="36" hidden="1" customHeight="1" x14ac:dyDescent="0.25">
      <c r="B1541" s="84">
        <v>1641</v>
      </c>
      <c r="C1541" s="83" t="s">
        <v>40</v>
      </c>
      <c r="D1541" s="82" t="s">
        <v>685</v>
      </c>
      <c r="E1541" s="81">
        <v>43616</v>
      </c>
      <c r="F1541" s="27">
        <f t="shared" ca="1" si="23"/>
        <v>857</v>
      </c>
      <c r="G1541" s="79"/>
      <c r="H1541" s="80"/>
      <c r="I1541" s="80"/>
      <c r="J1541" s="79"/>
      <c r="K1541" s="78"/>
      <c r="L1541" s="77">
        <v>43619</v>
      </c>
      <c r="M1541" s="68"/>
      <c r="N1541" s="76" t="s">
        <v>686</v>
      </c>
      <c r="O1541" s="75"/>
      <c r="R1541" s="74"/>
    </row>
    <row r="1542" spans="2:18" ht="36" hidden="1" customHeight="1" x14ac:dyDescent="0.25">
      <c r="B1542" s="84">
        <v>1642</v>
      </c>
      <c r="C1542" s="83" t="s">
        <v>11</v>
      </c>
      <c r="D1542" s="82" t="s">
        <v>821</v>
      </c>
      <c r="E1542" s="81">
        <v>43616</v>
      </c>
      <c r="F1542" s="27">
        <f t="shared" ca="1" si="23"/>
        <v>857</v>
      </c>
      <c r="G1542" s="79"/>
      <c r="H1542" s="80"/>
      <c r="I1542" s="80"/>
      <c r="J1542" s="79"/>
      <c r="K1542" s="78"/>
      <c r="L1542" s="77">
        <v>43619</v>
      </c>
      <c r="M1542" s="68"/>
      <c r="N1542" s="76" t="s">
        <v>822</v>
      </c>
      <c r="O1542" s="75"/>
      <c r="R1542" s="74"/>
    </row>
    <row r="1543" spans="2:18" ht="36" hidden="1" customHeight="1" x14ac:dyDescent="0.25">
      <c r="B1543" s="84">
        <v>1647</v>
      </c>
      <c r="C1543" s="83" t="s">
        <v>11</v>
      </c>
      <c r="D1543" s="82" t="s">
        <v>1228</v>
      </c>
      <c r="E1543" s="81">
        <v>43616</v>
      </c>
      <c r="F1543" s="27">
        <f t="shared" ca="1" si="23"/>
        <v>857</v>
      </c>
      <c r="G1543" s="79"/>
      <c r="H1543" s="80"/>
      <c r="I1543" s="80"/>
      <c r="J1543" s="79"/>
      <c r="K1543" s="78"/>
      <c r="L1543" s="77">
        <v>43640</v>
      </c>
      <c r="M1543" s="68"/>
      <c r="N1543" s="76"/>
      <c r="O1543" s="75" t="s">
        <v>1229</v>
      </c>
      <c r="R1543" s="74"/>
    </row>
    <row r="1544" spans="2:18" ht="36" hidden="1" customHeight="1" x14ac:dyDescent="0.25">
      <c r="B1544" s="84">
        <v>1647</v>
      </c>
      <c r="C1544" s="83" t="s">
        <v>30</v>
      </c>
      <c r="D1544" s="82" t="s">
        <v>1230</v>
      </c>
      <c r="E1544" s="81">
        <v>43616</v>
      </c>
      <c r="F1544" s="27">
        <f t="shared" ca="1" si="23"/>
        <v>857</v>
      </c>
      <c r="G1544" s="79"/>
      <c r="H1544" s="80"/>
      <c r="I1544" s="80"/>
      <c r="J1544" s="79"/>
      <c r="K1544" s="78"/>
      <c r="L1544" s="77">
        <v>43640</v>
      </c>
      <c r="M1544" s="68"/>
      <c r="N1544" s="76"/>
      <c r="O1544" s="75" t="s">
        <v>1231</v>
      </c>
      <c r="R1544" s="74"/>
    </row>
    <row r="1545" spans="2:18" ht="36" hidden="1" customHeight="1" x14ac:dyDescent="0.25">
      <c r="B1545" s="84">
        <v>1828</v>
      </c>
      <c r="C1545" s="83" t="s">
        <v>40</v>
      </c>
      <c r="D1545" s="82" t="s">
        <v>3632</v>
      </c>
      <c r="E1545" s="81">
        <v>43616</v>
      </c>
      <c r="F1545" s="27">
        <f t="shared" ca="1" si="23"/>
        <v>857</v>
      </c>
      <c r="G1545" s="79"/>
      <c r="H1545" s="80"/>
      <c r="I1545" s="80"/>
      <c r="J1545" s="79"/>
      <c r="K1545" s="78"/>
      <c r="L1545" s="77">
        <v>43620</v>
      </c>
      <c r="M1545" s="68"/>
      <c r="N1545" s="76"/>
      <c r="O1545" s="75" t="s">
        <v>3633</v>
      </c>
      <c r="R1545" s="74"/>
    </row>
    <row r="1546" spans="2:18" ht="36" hidden="1" customHeight="1" x14ac:dyDescent="0.25">
      <c r="B1546" s="84">
        <v>1828</v>
      </c>
      <c r="C1546" s="83" t="s">
        <v>21</v>
      </c>
      <c r="D1546" s="82" t="s">
        <v>3634</v>
      </c>
      <c r="E1546" s="81">
        <v>43616</v>
      </c>
      <c r="F1546" s="27">
        <f t="shared" ca="1" si="23"/>
        <v>857</v>
      </c>
      <c r="G1546" s="79"/>
      <c r="H1546" s="80"/>
      <c r="I1546" s="80"/>
      <c r="J1546" s="79"/>
      <c r="K1546" s="78"/>
      <c r="L1546" s="77">
        <v>43620</v>
      </c>
      <c r="M1546" s="68"/>
      <c r="N1546" s="76"/>
      <c r="O1546" s="75" t="s">
        <v>3635</v>
      </c>
      <c r="R1546" s="74"/>
    </row>
    <row r="1547" spans="2:18" ht="36" hidden="1" customHeight="1" x14ac:dyDescent="0.25">
      <c r="B1547" s="84">
        <v>1643</v>
      </c>
      <c r="C1547" s="83" t="s">
        <v>40</v>
      </c>
      <c r="D1547" s="82" t="s">
        <v>916</v>
      </c>
      <c r="E1547" s="81">
        <v>43619</v>
      </c>
      <c r="F1547" s="27">
        <f t="shared" ca="1" si="23"/>
        <v>854</v>
      </c>
      <c r="G1547" s="79"/>
      <c r="H1547" s="80"/>
      <c r="I1547" s="80"/>
      <c r="J1547" s="79"/>
      <c r="K1547" s="78"/>
      <c r="L1547" s="77">
        <v>43624</v>
      </c>
      <c r="M1547" s="68"/>
      <c r="N1547" s="76"/>
      <c r="O1547" s="75"/>
      <c r="R1547" s="74"/>
    </row>
    <row r="1548" spans="2:18" ht="36" hidden="1" customHeight="1" x14ac:dyDescent="0.25">
      <c r="B1548" s="84">
        <v>1643</v>
      </c>
      <c r="C1548" s="83" t="s">
        <v>12</v>
      </c>
      <c r="D1548" s="82" t="s">
        <v>913</v>
      </c>
      <c r="E1548" s="81">
        <v>43621</v>
      </c>
      <c r="F1548" s="27">
        <f t="shared" ca="1" si="23"/>
        <v>852</v>
      </c>
      <c r="G1548" s="79"/>
      <c r="H1548" s="80"/>
      <c r="I1548" s="80"/>
      <c r="J1548" s="79"/>
      <c r="K1548" s="78"/>
      <c r="L1548" s="77">
        <v>43622</v>
      </c>
      <c r="M1548" s="68"/>
      <c r="N1548" s="76" t="s">
        <v>914</v>
      </c>
      <c r="O1548" s="75" t="s">
        <v>915</v>
      </c>
      <c r="R1548" s="74"/>
    </row>
    <row r="1549" spans="2:18" ht="36" hidden="1" customHeight="1" x14ac:dyDescent="0.25">
      <c r="B1549" s="84">
        <v>1644</v>
      </c>
      <c r="C1549" s="83" t="s">
        <v>9</v>
      </c>
      <c r="D1549" s="82" t="s">
        <v>980</v>
      </c>
      <c r="E1549" s="81">
        <v>43621</v>
      </c>
      <c r="F1549" s="27">
        <f t="shared" ca="1" si="23"/>
        <v>852</v>
      </c>
      <c r="G1549" s="79"/>
      <c r="H1549" s="80"/>
      <c r="I1549" s="80"/>
      <c r="J1549" s="79"/>
      <c r="K1549" s="78"/>
      <c r="L1549" s="77">
        <v>43626</v>
      </c>
      <c r="M1549" s="68"/>
      <c r="N1549" s="76"/>
      <c r="O1549" s="75"/>
      <c r="R1549" s="74"/>
    </row>
    <row r="1550" spans="2:18" ht="36" hidden="1" customHeight="1" x14ac:dyDescent="0.25">
      <c r="B1550" s="84">
        <v>1820</v>
      </c>
      <c r="C1550" s="83" t="s">
        <v>40</v>
      </c>
      <c r="D1550" s="82" t="s">
        <v>331</v>
      </c>
      <c r="E1550" s="81">
        <v>43622</v>
      </c>
      <c r="F1550" s="27">
        <f t="shared" ca="1" si="23"/>
        <v>851</v>
      </c>
      <c r="G1550" s="79"/>
      <c r="H1550" s="80"/>
      <c r="I1550" s="80"/>
      <c r="J1550" s="79"/>
      <c r="K1550" s="78"/>
      <c r="L1550" s="77">
        <v>43638</v>
      </c>
      <c r="M1550" s="68"/>
      <c r="N1550" s="76" t="s">
        <v>2178</v>
      </c>
      <c r="O1550" s="75"/>
      <c r="R1550" s="74"/>
    </row>
    <row r="1551" spans="2:18" ht="36" hidden="1" customHeight="1" x14ac:dyDescent="0.25">
      <c r="B1551" s="84">
        <v>1820</v>
      </c>
      <c r="C1551" s="83" t="s">
        <v>23</v>
      </c>
      <c r="D1551" s="82" t="s">
        <v>1972</v>
      </c>
      <c r="E1551" s="81">
        <v>43622</v>
      </c>
      <c r="F1551" s="27">
        <f t="shared" ca="1" si="23"/>
        <v>851</v>
      </c>
      <c r="G1551" s="79"/>
      <c r="H1551" s="80"/>
      <c r="I1551" s="80"/>
      <c r="J1551" s="79"/>
      <c r="K1551" s="78"/>
      <c r="L1551" s="77">
        <v>43638</v>
      </c>
      <c r="M1551" s="68"/>
      <c r="N1551" s="76" t="s">
        <v>2178</v>
      </c>
      <c r="O1551" s="75"/>
      <c r="R1551" s="74"/>
    </row>
    <row r="1552" spans="2:18" ht="36" hidden="1" customHeight="1" x14ac:dyDescent="0.25">
      <c r="B1552" s="84">
        <v>1821</v>
      </c>
      <c r="C1552" s="83" t="s">
        <v>21</v>
      </c>
      <c r="D1552" s="82" t="s">
        <v>2344</v>
      </c>
      <c r="E1552" s="81">
        <v>43622</v>
      </c>
      <c r="F1552" s="27">
        <f t="shared" ref="F1552:F1615" ca="1" si="24">IF(E1552&lt;&gt;"",TODAY()-E1552,"")</f>
        <v>851</v>
      </c>
      <c r="G1552" s="79"/>
      <c r="H1552" s="80"/>
      <c r="I1552" s="80"/>
      <c r="J1552" s="79"/>
      <c r="K1552" s="78"/>
      <c r="L1552" s="77">
        <v>43630</v>
      </c>
      <c r="M1552" s="68"/>
      <c r="N1552" s="76" t="s">
        <v>595</v>
      </c>
      <c r="O1552" s="75"/>
      <c r="R1552" s="74"/>
    </row>
    <row r="1553" spans="2:18" ht="36" hidden="1" customHeight="1" x14ac:dyDescent="0.25">
      <c r="B1553" s="84">
        <v>1820</v>
      </c>
      <c r="C1553" s="83" t="s">
        <v>11</v>
      </c>
      <c r="D1553" s="82" t="s">
        <v>2179</v>
      </c>
      <c r="E1553" s="81">
        <v>43623</v>
      </c>
      <c r="F1553" s="27">
        <f t="shared" ca="1" si="24"/>
        <v>850</v>
      </c>
      <c r="G1553" s="79"/>
      <c r="H1553" s="80"/>
      <c r="I1553" s="80"/>
      <c r="J1553" s="79"/>
      <c r="K1553" s="78"/>
      <c r="L1553" s="77">
        <v>43638</v>
      </c>
      <c r="M1553" s="68"/>
      <c r="N1553" s="76" t="s">
        <v>2178</v>
      </c>
      <c r="O1553" s="75"/>
      <c r="R1553" s="74"/>
    </row>
    <row r="1554" spans="2:18" ht="36" hidden="1" customHeight="1" x14ac:dyDescent="0.25">
      <c r="B1554" s="84">
        <v>1821</v>
      </c>
      <c r="C1554" s="83" t="s">
        <v>16</v>
      </c>
      <c r="D1554" s="82" t="s">
        <v>2345</v>
      </c>
      <c r="E1554" s="81">
        <v>43623</v>
      </c>
      <c r="F1554" s="27">
        <f t="shared" ca="1" si="24"/>
        <v>850</v>
      </c>
      <c r="G1554" s="79"/>
      <c r="H1554" s="80"/>
      <c r="I1554" s="80"/>
      <c r="J1554" s="79"/>
      <c r="K1554" s="78"/>
      <c r="L1554" s="77">
        <v>43630</v>
      </c>
      <c r="M1554" s="68"/>
      <c r="N1554" s="76" t="s">
        <v>595</v>
      </c>
      <c r="O1554" s="75"/>
      <c r="R1554" s="74"/>
    </row>
    <row r="1555" spans="2:18" ht="36" hidden="1" customHeight="1" x14ac:dyDescent="0.25">
      <c r="B1555" s="84">
        <v>1827</v>
      </c>
      <c r="C1555" s="83" t="s">
        <v>40</v>
      </c>
      <c r="D1555" s="82" t="s">
        <v>331</v>
      </c>
      <c r="E1555" s="81">
        <v>43623</v>
      </c>
      <c r="F1555" s="27">
        <f t="shared" ca="1" si="24"/>
        <v>850</v>
      </c>
      <c r="G1555" s="79"/>
      <c r="H1555" s="80"/>
      <c r="I1555" s="80"/>
      <c r="J1555" s="79"/>
      <c r="K1555" s="78"/>
      <c r="L1555" s="77">
        <v>43628</v>
      </c>
      <c r="M1555" s="68"/>
      <c r="N1555" s="76" t="s">
        <v>3417</v>
      </c>
      <c r="O1555" s="75"/>
      <c r="R1555" s="74"/>
    </row>
    <row r="1556" spans="2:18" ht="36" hidden="1" customHeight="1" x14ac:dyDescent="0.25">
      <c r="B1556" s="84">
        <v>1643</v>
      </c>
      <c r="C1556" s="83" t="s">
        <v>40</v>
      </c>
      <c r="D1556" s="82" t="s">
        <v>909</v>
      </c>
      <c r="E1556" s="81">
        <v>43626</v>
      </c>
      <c r="F1556" s="27">
        <f t="shared" ca="1" si="24"/>
        <v>847</v>
      </c>
      <c r="G1556" s="79"/>
      <c r="H1556" s="80"/>
      <c r="I1556" s="80"/>
      <c r="J1556" s="79"/>
      <c r="K1556" s="78"/>
      <c r="L1556" s="77">
        <v>43630</v>
      </c>
      <c r="M1556" s="68"/>
      <c r="N1556" s="76" t="s">
        <v>920</v>
      </c>
      <c r="O1556" s="75"/>
      <c r="R1556" s="74"/>
    </row>
    <row r="1557" spans="2:18" ht="36" hidden="1" customHeight="1" x14ac:dyDescent="0.25">
      <c r="B1557" s="84">
        <v>1816</v>
      </c>
      <c r="C1557" s="83" t="s">
        <v>15</v>
      </c>
      <c r="D1557" s="82" t="s">
        <v>1409</v>
      </c>
      <c r="E1557" s="81">
        <v>43630</v>
      </c>
      <c r="F1557" s="27">
        <f t="shared" ca="1" si="24"/>
        <v>843</v>
      </c>
      <c r="G1557" s="79"/>
      <c r="H1557" s="80"/>
      <c r="I1557" s="80"/>
      <c r="J1557" s="79"/>
      <c r="K1557" s="78"/>
      <c r="L1557" s="77">
        <v>43640</v>
      </c>
      <c r="M1557" s="68"/>
      <c r="N1557" s="76" t="s">
        <v>1410</v>
      </c>
      <c r="O1557" s="75"/>
      <c r="R1557" s="74"/>
    </row>
    <row r="1558" spans="2:18" ht="36" hidden="1" customHeight="1" x14ac:dyDescent="0.25">
      <c r="B1558" s="84">
        <v>1816</v>
      </c>
      <c r="C1558" s="83" t="s">
        <v>23</v>
      </c>
      <c r="D1558" s="82" t="s">
        <v>1411</v>
      </c>
      <c r="E1558" s="81">
        <v>43630</v>
      </c>
      <c r="F1558" s="27">
        <f t="shared" ca="1" si="24"/>
        <v>843</v>
      </c>
      <c r="G1558" s="79"/>
      <c r="H1558" s="80"/>
      <c r="I1558" s="80"/>
      <c r="J1558" s="79"/>
      <c r="K1558" s="78"/>
      <c r="L1558" s="77">
        <v>43640</v>
      </c>
      <c r="M1558" s="68"/>
      <c r="N1558" s="76" t="s">
        <v>1410</v>
      </c>
      <c r="O1558" s="75"/>
      <c r="R1558" s="74"/>
    </row>
    <row r="1559" spans="2:18" ht="36" hidden="1" customHeight="1" x14ac:dyDescent="0.25">
      <c r="B1559" s="84">
        <v>1819</v>
      </c>
      <c r="C1559" s="83" t="s">
        <v>31</v>
      </c>
      <c r="D1559" s="82" t="s">
        <v>2004</v>
      </c>
      <c r="E1559" s="81">
        <v>43630</v>
      </c>
      <c r="F1559" s="27">
        <f t="shared" ca="1" si="24"/>
        <v>843</v>
      </c>
      <c r="G1559" s="79"/>
      <c r="H1559" s="80"/>
      <c r="I1559" s="80"/>
      <c r="J1559" s="79"/>
      <c r="K1559" s="78"/>
      <c r="L1559" s="77">
        <v>43640</v>
      </c>
      <c r="M1559" s="68"/>
      <c r="N1559" s="76" t="s">
        <v>1410</v>
      </c>
      <c r="O1559" s="75"/>
      <c r="R1559" s="74"/>
    </row>
    <row r="1560" spans="2:18" ht="36" hidden="1" customHeight="1" x14ac:dyDescent="0.25">
      <c r="B1560" s="84">
        <v>1824</v>
      </c>
      <c r="C1560" s="83" t="s">
        <v>9</v>
      </c>
      <c r="D1560" s="82" t="s">
        <v>2870</v>
      </c>
      <c r="E1560" s="81">
        <v>43630</v>
      </c>
      <c r="F1560" s="27">
        <f t="shared" ca="1" si="24"/>
        <v>843</v>
      </c>
      <c r="G1560" s="79"/>
      <c r="H1560" s="80"/>
      <c r="I1560" s="80"/>
      <c r="J1560" s="79"/>
      <c r="K1560" s="78"/>
      <c r="L1560" s="77">
        <v>43630</v>
      </c>
      <c r="M1560" s="68"/>
      <c r="N1560" s="76" t="s">
        <v>2871</v>
      </c>
      <c r="O1560" s="75"/>
      <c r="R1560" s="74"/>
    </row>
    <row r="1561" spans="2:18" ht="36" hidden="1" customHeight="1" x14ac:dyDescent="0.25">
      <c r="B1561" s="84">
        <v>1825</v>
      </c>
      <c r="C1561" s="83" t="s">
        <v>39</v>
      </c>
      <c r="D1561" s="82" t="s">
        <v>3119</v>
      </c>
      <c r="E1561" s="81">
        <v>43630</v>
      </c>
      <c r="F1561" s="27">
        <f t="shared" ca="1" si="24"/>
        <v>843</v>
      </c>
      <c r="G1561" s="79"/>
      <c r="H1561" s="80"/>
      <c r="I1561" s="80"/>
      <c r="J1561" s="79"/>
      <c r="K1561" s="78"/>
      <c r="L1561" s="77">
        <v>43634</v>
      </c>
      <c r="M1561" s="68"/>
      <c r="N1561" s="76" t="s">
        <v>686</v>
      </c>
      <c r="O1561" s="75"/>
      <c r="R1561" s="74"/>
    </row>
    <row r="1562" spans="2:18" ht="36" hidden="1" customHeight="1" x14ac:dyDescent="0.25">
      <c r="B1562" s="84">
        <v>1825</v>
      </c>
      <c r="C1562" s="83" t="s">
        <v>11</v>
      </c>
      <c r="D1562" s="82" t="s">
        <v>3120</v>
      </c>
      <c r="E1562" s="81">
        <v>43630</v>
      </c>
      <c r="F1562" s="27">
        <f t="shared" ca="1" si="24"/>
        <v>843</v>
      </c>
      <c r="G1562" s="79"/>
      <c r="H1562" s="80"/>
      <c r="I1562" s="80"/>
      <c r="J1562" s="79"/>
      <c r="K1562" s="78"/>
      <c r="L1562" s="77">
        <v>43634</v>
      </c>
      <c r="M1562" s="68"/>
      <c r="N1562" s="76" t="s">
        <v>686</v>
      </c>
      <c r="O1562" s="75"/>
      <c r="R1562" s="74"/>
    </row>
    <row r="1563" spans="2:18" ht="36" hidden="1" customHeight="1" x14ac:dyDescent="0.25">
      <c r="B1563" s="84">
        <v>1826</v>
      </c>
      <c r="C1563" s="83" t="s">
        <v>23</v>
      </c>
      <c r="D1563" s="82" t="s">
        <v>3248</v>
      </c>
      <c r="E1563" s="81">
        <v>43630</v>
      </c>
      <c r="F1563" s="27">
        <f t="shared" ca="1" si="24"/>
        <v>843</v>
      </c>
      <c r="G1563" s="79"/>
      <c r="H1563" s="80"/>
      <c r="I1563" s="80"/>
      <c r="J1563" s="79"/>
      <c r="K1563" s="78"/>
      <c r="L1563" s="77">
        <v>43635</v>
      </c>
      <c r="M1563" s="68"/>
      <c r="N1563" s="76" t="s">
        <v>3249</v>
      </c>
      <c r="O1563" s="75"/>
      <c r="R1563" s="74"/>
    </row>
    <row r="1564" spans="2:18" ht="36" hidden="1" customHeight="1" x14ac:dyDescent="0.25">
      <c r="B1564" s="84">
        <v>1828</v>
      </c>
      <c r="C1564" s="83" t="s">
        <v>19</v>
      </c>
      <c r="D1564" s="82" t="s">
        <v>3636</v>
      </c>
      <c r="E1564" s="81">
        <v>43630</v>
      </c>
      <c r="F1564" s="27">
        <f t="shared" ca="1" si="24"/>
        <v>843</v>
      </c>
      <c r="G1564" s="79"/>
      <c r="H1564" s="80"/>
      <c r="I1564" s="80"/>
      <c r="J1564" s="79"/>
      <c r="K1564" s="78"/>
      <c r="L1564" s="77">
        <v>43649</v>
      </c>
      <c r="M1564" s="68"/>
      <c r="N1564" s="76" t="s">
        <v>688</v>
      </c>
      <c r="O1564" s="75" t="s">
        <v>2187</v>
      </c>
      <c r="R1564" s="74"/>
    </row>
    <row r="1565" spans="2:18" ht="36" hidden="1" customHeight="1" x14ac:dyDescent="0.25">
      <c r="B1565" s="84">
        <v>1642</v>
      </c>
      <c r="C1565" s="83" t="s">
        <v>19</v>
      </c>
      <c r="D1565" s="82" t="s">
        <v>823</v>
      </c>
      <c r="E1565" s="81">
        <v>43633</v>
      </c>
      <c r="F1565" s="27">
        <f t="shared" ca="1" si="24"/>
        <v>840</v>
      </c>
      <c r="G1565" s="79"/>
      <c r="H1565" s="80"/>
      <c r="I1565" s="80"/>
      <c r="J1565" s="79"/>
      <c r="K1565" s="78"/>
      <c r="L1565" s="77">
        <v>43633</v>
      </c>
      <c r="M1565" s="68"/>
      <c r="N1565" s="76" t="s">
        <v>686</v>
      </c>
      <c r="O1565" s="75"/>
      <c r="R1565" s="74"/>
    </row>
    <row r="1566" spans="2:18" ht="36" hidden="1" customHeight="1" x14ac:dyDescent="0.25">
      <c r="B1566" s="84">
        <v>1818</v>
      </c>
      <c r="C1566" s="83" t="s">
        <v>36</v>
      </c>
      <c r="D1566" s="82" t="s">
        <v>1782</v>
      </c>
      <c r="E1566" s="81">
        <v>43633</v>
      </c>
      <c r="F1566" s="27">
        <f t="shared" ca="1" si="24"/>
        <v>840</v>
      </c>
      <c r="G1566" s="79"/>
      <c r="H1566" s="80"/>
      <c r="I1566" s="80"/>
      <c r="J1566" s="79"/>
      <c r="K1566" s="78"/>
      <c r="L1566" s="77">
        <v>43637</v>
      </c>
      <c r="M1566" s="68"/>
      <c r="N1566" s="76" t="s">
        <v>686</v>
      </c>
      <c r="O1566" s="75"/>
      <c r="R1566" s="74"/>
    </row>
    <row r="1567" spans="2:18" ht="36" hidden="1" customHeight="1" x14ac:dyDescent="0.25">
      <c r="B1567" s="84">
        <v>1818</v>
      </c>
      <c r="C1567" s="83" t="s">
        <v>36</v>
      </c>
      <c r="D1567" s="82" t="s">
        <v>1783</v>
      </c>
      <c r="E1567" s="81">
        <v>43633</v>
      </c>
      <c r="F1567" s="27">
        <f t="shared" ca="1" si="24"/>
        <v>840</v>
      </c>
      <c r="G1567" s="79"/>
      <c r="H1567" s="80"/>
      <c r="I1567" s="80"/>
      <c r="J1567" s="79"/>
      <c r="K1567" s="78"/>
      <c r="L1567" s="77">
        <v>43637</v>
      </c>
      <c r="M1567" s="68"/>
      <c r="N1567" s="76" t="s">
        <v>686</v>
      </c>
      <c r="O1567" s="75"/>
      <c r="R1567" s="74"/>
    </row>
    <row r="1568" spans="2:18" ht="36" hidden="1" customHeight="1" x14ac:dyDescent="0.25">
      <c r="B1568" s="84">
        <v>1819</v>
      </c>
      <c r="C1568" s="83" t="s">
        <v>40</v>
      </c>
      <c r="D1568" s="82" t="s">
        <v>2005</v>
      </c>
      <c r="E1568" s="81">
        <v>43633</v>
      </c>
      <c r="F1568" s="27">
        <f t="shared" ca="1" si="24"/>
        <v>840</v>
      </c>
      <c r="G1568" s="79"/>
      <c r="H1568" s="80"/>
      <c r="I1568" s="80"/>
      <c r="J1568" s="79"/>
      <c r="K1568" s="78"/>
      <c r="L1568" s="77">
        <v>43640</v>
      </c>
      <c r="M1568" s="68"/>
      <c r="N1568" s="76" t="s">
        <v>1410</v>
      </c>
      <c r="O1568" s="75"/>
      <c r="R1568" s="74"/>
    </row>
    <row r="1569" spans="2:18" ht="36" hidden="1" customHeight="1" x14ac:dyDescent="0.25">
      <c r="B1569" s="84">
        <v>1825</v>
      </c>
      <c r="C1569" s="83" t="s">
        <v>15</v>
      </c>
      <c r="D1569" s="82" t="s">
        <v>1403</v>
      </c>
      <c r="E1569" s="81">
        <v>43633</v>
      </c>
      <c r="F1569" s="27">
        <f t="shared" ca="1" si="24"/>
        <v>840</v>
      </c>
      <c r="G1569" s="79"/>
      <c r="H1569" s="80"/>
      <c r="I1569" s="80"/>
      <c r="J1569" s="79"/>
      <c r="K1569" s="78"/>
      <c r="L1569" s="77">
        <v>43634</v>
      </c>
      <c r="M1569" s="68"/>
      <c r="N1569" s="76" t="s">
        <v>686</v>
      </c>
      <c r="O1569" s="75"/>
      <c r="R1569" s="74"/>
    </row>
    <row r="1570" spans="2:18" ht="36" hidden="1" customHeight="1" x14ac:dyDescent="0.25">
      <c r="B1570" s="84">
        <v>1825</v>
      </c>
      <c r="C1570" s="83" t="s">
        <v>37</v>
      </c>
      <c r="D1570" s="82" t="s">
        <v>3121</v>
      </c>
      <c r="E1570" s="81">
        <v>43633</v>
      </c>
      <c r="F1570" s="27">
        <f t="shared" ca="1" si="24"/>
        <v>840</v>
      </c>
      <c r="G1570" s="79"/>
      <c r="H1570" s="80"/>
      <c r="I1570" s="80"/>
      <c r="J1570" s="79"/>
      <c r="K1570" s="78"/>
      <c r="L1570" s="77">
        <v>43634</v>
      </c>
      <c r="M1570" s="68"/>
      <c r="N1570" s="76" t="s">
        <v>686</v>
      </c>
      <c r="O1570" s="75"/>
      <c r="R1570" s="74"/>
    </row>
    <row r="1571" spans="2:18" ht="36" hidden="1" customHeight="1" x14ac:dyDescent="0.25">
      <c r="B1571" s="84">
        <v>1825</v>
      </c>
      <c r="C1571" s="83" t="s">
        <v>40</v>
      </c>
      <c r="D1571" s="82" t="s">
        <v>3122</v>
      </c>
      <c r="E1571" s="81">
        <v>43633</v>
      </c>
      <c r="F1571" s="27">
        <f t="shared" ca="1" si="24"/>
        <v>840</v>
      </c>
      <c r="G1571" s="79"/>
      <c r="H1571" s="80"/>
      <c r="I1571" s="80"/>
      <c r="J1571" s="79"/>
      <c r="K1571" s="78"/>
      <c r="L1571" s="77">
        <v>43642</v>
      </c>
      <c r="M1571" s="68"/>
      <c r="N1571" s="76"/>
      <c r="O1571" s="75" t="s">
        <v>52</v>
      </c>
      <c r="R1571" s="74"/>
    </row>
    <row r="1572" spans="2:18" ht="36" hidden="1" customHeight="1" x14ac:dyDescent="0.25">
      <c r="B1572" s="84">
        <v>1825</v>
      </c>
      <c r="C1572" s="83" t="s">
        <v>40</v>
      </c>
      <c r="D1572" s="82" t="s">
        <v>3123</v>
      </c>
      <c r="E1572" s="81">
        <v>43633</v>
      </c>
      <c r="F1572" s="27">
        <f t="shared" ca="1" si="24"/>
        <v>840</v>
      </c>
      <c r="G1572" s="79"/>
      <c r="H1572" s="80"/>
      <c r="I1572" s="80"/>
      <c r="J1572" s="79"/>
      <c r="K1572" s="78"/>
      <c r="L1572" s="77">
        <v>43642</v>
      </c>
      <c r="M1572" s="68"/>
      <c r="N1572" s="76"/>
      <c r="O1572" s="75" t="s">
        <v>52</v>
      </c>
      <c r="R1572" s="74"/>
    </row>
    <row r="1573" spans="2:18" ht="36" hidden="1" customHeight="1" x14ac:dyDescent="0.25">
      <c r="B1573" s="84">
        <v>1825</v>
      </c>
      <c r="C1573" s="83" t="s">
        <v>40</v>
      </c>
      <c r="D1573" s="82" t="s">
        <v>3124</v>
      </c>
      <c r="E1573" s="81">
        <v>43633</v>
      </c>
      <c r="F1573" s="27">
        <f t="shared" ca="1" si="24"/>
        <v>840</v>
      </c>
      <c r="G1573" s="79"/>
      <c r="H1573" s="80"/>
      <c r="I1573" s="80"/>
      <c r="J1573" s="79"/>
      <c r="K1573" s="78"/>
      <c r="L1573" s="77">
        <v>43668</v>
      </c>
      <c r="M1573" s="68"/>
      <c r="N1573" s="76" t="s">
        <v>686</v>
      </c>
      <c r="O1573" s="75" t="s">
        <v>3125</v>
      </c>
      <c r="R1573" s="74"/>
    </row>
    <row r="1574" spans="2:18" ht="36" hidden="1" customHeight="1" x14ac:dyDescent="0.25">
      <c r="B1574" s="84">
        <v>1825</v>
      </c>
      <c r="C1574" s="83" t="s">
        <v>40</v>
      </c>
      <c r="D1574" s="82" t="s">
        <v>3126</v>
      </c>
      <c r="E1574" s="81">
        <v>43633</v>
      </c>
      <c r="F1574" s="27">
        <f t="shared" ca="1" si="24"/>
        <v>840</v>
      </c>
      <c r="G1574" s="79"/>
      <c r="H1574" s="80"/>
      <c r="I1574" s="80"/>
      <c r="J1574" s="79"/>
      <c r="K1574" s="78"/>
      <c r="L1574" s="77">
        <v>43668</v>
      </c>
      <c r="M1574" s="68"/>
      <c r="N1574" s="76" t="s">
        <v>686</v>
      </c>
      <c r="O1574" s="75" t="s">
        <v>3125</v>
      </c>
      <c r="R1574" s="74"/>
    </row>
    <row r="1575" spans="2:18" ht="36" hidden="1" customHeight="1" x14ac:dyDescent="0.25">
      <c r="B1575" s="84">
        <v>1645</v>
      </c>
      <c r="C1575" s="83" t="s">
        <v>23</v>
      </c>
      <c r="D1575" s="82" t="s">
        <v>1060</v>
      </c>
      <c r="E1575" s="81">
        <v>43634</v>
      </c>
      <c r="F1575" s="27">
        <f t="shared" ca="1" si="24"/>
        <v>839</v>
      </c>
      <c r="G1575" s="79"/>
      <c r="H1575" s="80"/>
      <c r="I1575" s="80"/>
      <c r="J1575" s="79"/>
      <c r="K1575" s="78"/>
      <c r="L1575" s="77">
        <v>43640</v>
      </c>
      <c r="M1575" s="68"/>
      <c r="N1575" s="76"/>
      <c r="O1575" s="75"/>
      <c r="R1575" s="74"/>
    </row>
    <row r="1576" spans="2:18" ht="36" hidden="1" customHeight="1" x14ac:dyDescent="0.25">
      <c r="B1576" s="84">
        <v>1818</v>
      </c>
      <c r="C1576" s="83" t="s">
        <v>40</v>
      </c>
      <c r="D1576" s="82" t="s">
        <v>1784</v>
      </c>
      <c r="E1576" s="81">
        <v>43634</v>
      </c>
      <c r="F1576" s="27">
        <f t="shared" ca="1" si="24"/>
        <v>839</v>
      </c>
      <c r="G1576" s="79"/>
      <c r="H1576" s="80"/>
      <c r="I1576" s="80"/>
      <c r="J1576" s="79"/>
      <c r="K1576" s="78"/>
      <c r="L1576" s="77">
        <v>43637</v>
      </c>
      <c r="M1576" s="68"/>
      <c r="N1576" s="76" t="s">
        <v>686</v>
      </c>
      <c r="O1576" s="75"/>
      <c r="R1576" s="74"/>
    </row>
    <row r="1577" spans="2:18" ht="36" hidden="1" customHeight="1" x14ac:dyDescent="0.25">
      <c r="B1577" s="84">
        <v>1819</v>
      </c>
      <c r="C1577" s="83" t="s">
        <v>16</v>
      </c>
      <c r="D1577" s="82" t="s">
        <v>2006</v>
      </c>
      <c r="E1577" s="81">
        <v>43634</v>
      </c>
      <c r="F1577" s="27">
        <f t="shared" ca="1" si="24"/>
        <v>839</v>
      </c>
      <c r="G1577" s="79"/>
      <c r="H1577" s="80"/>
      <c r="I1577" s="80"/>
      <c r="J1577" s="79"/>
      <c r="K1577" s="78"/>
      <c r="L1577" s="77">
        <v>43640</v>
      </c>
      <c r="M1577" s="68"/>
      <c r="N1577" s="76" t="s">
        <v>1410</v>
      </c>
      <c r="O1577" s="75"/>
      <c r="R1577" s="74"/>
    </row>
    <row r="1578" spans="2:18" ht="36" hidden="1" customHeight="1" x14ac:dyDescent="0.25">
      <c r="B1578" s="84">
        <v>1825</v>
      </c>
      <c r="C1578" s="83" t="s">
        <v>40</v>
      </c>
      <c r="D1578" s="82" t="s">
        <v>3127</v>
      </c>
      <c r="E1578" s="81">
        <v>43634</v>
      </c>
      <c r="F1578" s="27">
        <f t="shared" ca="1" si="24"/>
        <v>839</v>
      </c>
      <c r="G1578" s="79"/>
      <c r="H1578" s="80"/>
      <c r="I1578" s="80"/>
      <c r="J1578" s="79"/>
      <c r="K1578" s="78"/>
      <c r="L1578" s="77">
        <v>43668</v>
      </c>
      <c r="M1578" s="68"/>
      <c r="N1578" s="76" t="s">
        <v>686</v>
      </c>
      <c r="O1578" s="75" t="s">
        <v>3125</v>
      </c>
      <c r="R1578" s="74"/>
    </row>
    <row r="1579" spans="2:18" ht="36" hidden="1" customHeight="1" x14ac:dyDescent="0.25">
      <c r="B1579" s="84">
        <v>1647</v>
      </c>
      <c r="C1579" s="83" t="s">
        <v>37</v>
      </c>
      <c r="D1579" s="82" t="s">
        <v>1226</v>
      </c>
      <c r="E1579" s="81">
        <v>43635</v>
      </c>
      <c r="F1579" s="27">
        <f t="shared" ca="1" si="24"/>
        <v>838</v>
      </c>
      <c r="G1579" s="79"/>
      <c r="H1579" s="80"/>
      <c r="I1579" s="80"/>
      <c r="J1579" s="79"/>
      <c r="K1579" s="78"/>
      <c r="L1579" s="77">
        <v>43635</v>
      </c>
      <c r="M1579" s="68"/>
      <c r="N1579" s="76" t="s">
        <v>1227</v>
      </c>
      <c r="O1579" s="75"/>
      <c r="R1579" s="74"/>
    </row>
    <row r="1580" spans="2:18" ht="36" hidden="1" customHeight="1" x14ac:dyDescent="0.25">
      <c r="B1580" s="84">
        <v>1647</v>
      </c>
      <c r="C1580" s="83" t="s">
        <v>20</v>
      </c>
      <c r="D1580" s="82" t="s">
        <v>1232</v>
      </c>
      <c r="E1580" s="81">
        <v>43635</v>
      </c>
      <c r="F1580" s="27">
        <f t="shared" ca="1" si="24"/>
        <v>838</v>
      </c>
      <c r="G1580" s="79"/>
      <c r="H1580" s="80"/>
      <c r="I1580" s="80"/>
      <c r="J1580" s="79"/>
      <c r="K1580" s="78"/>
      <c r="L1580" s="77">
        <v>43640</v>
      </c>
      <c r="M1580" s="68"/>
      <c r="N1580" s="76"/>
      <c r="O1580" s="75"/>
      <c r="R1580" s="74"/>
    </row>
    <row r="1581" spans="2:18" ht="36" hidden="1" customHeight="1" x14ac:dyDescent="0.25">
      <c r="B1581" s="84">
        <v>1818</v>
      </c>
      <c r="C1581" s="83" t="s">
        <v>20</v>
      </c>
      <c r="D1581" s="82" t="s">
        <v>1785</v>
      </c>
      <c r="E1581" s="81">
        <v>43635</v>
      </c>
      <c r="F1581" s="27">
        <f t="shared" ca="1" si="24"/>
        <v>838</v>
      </c>
      <c r="G1581" s="79"/>
      <c r="H1581" s="80"/>
      <c r="I1581" s="80"/>
      <c r="J1581" s="79"/>
      <c r="K1581" s="78"/>
      <c r="L1581" s="77">
        <v>43637</v>
      </c>
      <c r="M1581" s="68"/>
      <c r="N1581" s="76" t="s">
        <v>686</v>
      </c>
      <c r="O1581" s="75"/>
      <c r="R1581" s="74"/>
    </row>
    <row r="1582" spans="2:18" ht="36" hidden="1" customHeight="1" x14ac:dyDescent="0.25">
      <c r="B1582" s="84">
        <v>1820</v>
      </c>
      <c r="C1582" s="83" t="s">
        <v>40</v>
      </c>
      <c r="D1582" s="82" t="s">
        <v>2180</v>
      </c>
      <c r="E1582" s="81">
        <v>43635</v>
      </c>
      <c r="F1582" s="27">
        <f t="shared" ca="1" si="24"/>
        <v>838</v>
      </c>
      <c r="G1582" s="79"/>
      <c r="H1582" s="80"/>
      <c r="I1582" s="80"/>
      <c r="J1582" s="79"/>
      <c r="K1582" s="78"/>
      <c r="L1582" s="77">
        <v>43638</v>
      </c>
      <c r="M1582" s="68"/>
      <c r="N1582" s="76" t="s">
        <v>2178</v>
      </c>
      <c r="O1582" s="75"/>
      <c r="R1582" s="74"/>
    </row>
    <row r="1583" spans="2:18" ht="36" hidden="1" customHeight="1" x14ac:dyDescent="0.25">
      <c r="B1583" s="84">
        <v>1824</v>
      </c>
      <c r="C1583" s="83" t="s">
        <v>16</v>
      </c>
      <c r="D1583" s="82" t="s">
        <v>2872</v>
      </c>
      <c r="E1583" s="81">
        <v>43635</v>
      </c>
      <c r="F1583" s="27">
        <f t="shared" ca="1" si="24"/>
        <v>838</v>
      </c>
      <c r="G1583" s="79"/>
      <c r="H1583" s="80"/>
      <c r="I1583" s="80"/>
      <c r="J1583" s="79"/>
      <c r="K1583" s="78"/>
      <c r="L1583" s="77">
        <v>43642</v>
      </c>
      <c r="M1583" s="68"/>
      <c r="N1583" s="76" t="s">
        <v>703</v>
      </c>
      <c r="O1583" s="75" t="s">
        <v>2873</v>
      </c>
      <c r="R1583" s="74"/>
    </row>
    <row r="1584" spans="2:18" ht="36" hidden="1" customHeight="1" x14ac:dyDescent="0.25">
      <c r="B1584" s="84">
        <v>1829</v>
      </c>
      <c r="C1584" s="83" t="s">
        <v>23</v>
      </c>
      <c r="D1584" s="82" t="s">
        <v>2068</v>
      </c>
      <c r="E1584" s="81">
        <v>43636</v>
      </c>
      <c r="F1584" s="27">
        <f t="shared" ca="1" si="24"/>
        <v>837</v>
      </c>
      <c r="G1584" s="79"/>
      <c r="H1584" s="80"/>
      <c r="I1584" s="80"/>
      <c r="J1584" s="79"/>
      <c r="K1584" s="78"/>
      <c r="L1584" s="77">
        <v>43644</v>
      </c>
      <c r="M1584" s="68"/>
      <c r="N1584" s="76" t="s">
        <v>688</v>
      </c>
      <c r="O1584" s="75" t="s">
        <v>55</v>
      </c>
      <c r="R1584" s="74"/>
    </row>
    <row r="1585" spans="2:18" ht="36" hidden="1" customHeight="1" x14ac:dyDescent="0.25">
      <c r="B1585" s="84">
        <v>1817</v>
      </c>
      <c r="C1585" s="83" t="s">
        <v>15</v>
      </c>
      <c r="D1585" s="82" t="s">
        <v>1616</v>
      </c>
      <c r="E1585" s="81">
        <v>43637</v>
      </c>
      <c r="F1585" s="27">
        <f t="shared" ca="1" si="24"/>
        <v>836</v>
      </c>
      <c r="G1585" s="79"/>
      <c r="H1585" s="80"/>
      <c r="I1585" s="80"/>
      <c r="J1585" s="79"/>
      <c r="K1585" s="78"/>
      <c r="L1585" s="77">
        <v>43642</v>
      </c>
      <c r="M1585" s="68"/>
      <c r="N1585" s="76" t="s">
        <v>688</v>
      </c>
      <c r="O1585" s="75"/>
      <c r="R1585" s="74"/>
    </row>
    <row r="1586" spans="2:18" ht="36" hidden="1" customHeight="1" x14ac:dyDescent="0.25">
      <c r="B1586" s="84">
        <v>1829</v>
      </c>
      <c r="C1586" s="83" t="s">
        <v>40</v>
      </c>
      <c r="D1586" s="82" t="s">
        <v>331</v>
      </c>
      <c r="E1586" s="81">
        <v>43637</v>
      </c>
      <c r="F1586" s="27">
        <f t="shared" ca="1" si="24"/>
        <v>836</v>
      </c>
      <c r="G1586" s="79"/>
      <c r="H1586" s="80"/>
      <c r="I1586" s="80"/>
      <c r="J1586" s="79"/>
      <c r="K1586" s="78"/>
      <c r="L1586" s="77">
        <v>43644</v>
      </c>
      <c r="M1586" s="68"/>
      <c r="N1586" s="76" t="s">
        <v>688</v>
      </c>
      <c r="O1586" s="75" t="s">
        <v>3827</v>
      </c>
      <c r="R1586" s="74"/>
    </row>
    <row r="1587" spans="2:18" ht="36" hidden="1" customHeight="1" x14ac:dyDescent="0.25">
      <c r="B1587" s="84">
        <v>1829</v>
      </c>
      <c r="C1587" s="83" t="s">
        <v>15</v>
      </c>
      <c r="D1587" s="82" t="s">
        <v>1616</v>
      </c>
      <c r="E1587" s="81">
        <v>43637</v>
      </c>
      <c r="F1587" s="27">
        <f t="shared" ca="1" si="24"/>
        <v>836</v>
      </c>
      <c r="G1587" s="79"/>
      <c r="H1587" s="80"/>
      <c r="I1587" s="80"/>
      <c r="J1587" s="79"/>
      <c r="K1587" s="78"/>
      <c r="L1587" s="77">
        <v>43644</v>
      </c>
      <c r="M1587" s="68"/>
      <c r="N1587" s="76" t="s">
        <v>688</v>
      </c>
      <c r="O1587" s="75" t="s">
        <v>1281</v>
      </c>
      <c r="R1587" s="74"/>
    </row>
    <row r="1588" spans="2:18" ht="36" hidden="1" customHeight="1" x14ac:dyDescent="0.25">
      <c r="B1588" s="84">
        <v>1641</v>
      </c>
      <c r="C1588" s="83" t="s">
        <v>12</v>
      </c>
      <c r="D1588" s="82" t="s">
        <v>687</v>
      </c>
      <c r="E1588" s="81">
        <v>43640</v>
      </c>
      <c r="F1588" s="27">
        <f t="shared" ca="1" si="24"/>
        <v>833</v>
      </c>
      <c r="G1588" s="79"/>
      <c r="H1588" s="80"/>
      <c r="I1588" s="80"/>
      <c r="J1588" s="79"/>
      <c r="K1588" s="78"/>
      <c r="L1588" s="77">
        <v>43649</v>
      </c>
      <c r="M1588" s="68"/>
      <c r="N1588" s="76" t="s">
        <v>688</v>
      </c>
      <c r="O1588" s="75" t="s">
        <v>689</v>
      </c>
      <c r="R1588" s="74"/>
    </row>
    <row r="1589" spans="2:18" ht="36" hidden="1" customHeight="1" x14ac:dyDescent="0.25">
      <c r="B1589" s="84">
        <v>1641</v>
      </c>
      <c r="C1589" s="83" t="s">
        <v>23</v>
      </c>
      <c r="D1589" s="82" t="s">
        <v>690</v>
      </c>
      <c r="E1589" s="81">
        <v>43640</v>
      </c>
      <c r="F1589" s="27">
        <f t="shared" ca="1" si="24"/>
        <v>833</v>
      </c>
      <c r="G1589" s="79"/>
      <c r="H1589" s="80"/>
      <c r="I1589" s="80"/>
      <c r="J1589" s="79"/>
      <c r="K1589" s="78"/>
      <c r="L1589" s="77">
        <v>43649</v>
      </c>
      <c r="M1589" s="68"/>
      <c r="N1589" s="76" t="s">
        <v>688</v>
      </c>
      <c r="O1589" s="75" t="s">
        <v>55</v>
      </c>
      <c r="R1589" s="74"/>
    </row>
    <row r="1590" spans="2:18" ht="36" hidden="1" customHeight="1" x14ac:dyDescent="0.25">
      <c r="B1590" s="84">
        <v>1647</v>
      </c>
      <c r="C1590" s="83" t="s">
        <v>25</v>
      </c>
      <c r="D1590" s="82" t="s">
        <v>1233</v>
      </c>
      <c r="E1590" s="81">
        <v>43640</v>
      </c>
      <c r="F1590" s="27">
        <f t="shared" ca="1" si="24"/>
        <v>833</v>
      </c>
      <c r="G1590" s="79"/>
      <c r="H1590" s="80"/>
      <c r="I1590" s="80"/>
      <c r="J1590" s="79"/>
      <c r="K1590" s="78"/>
      <c r="L1590" s="77">
        <v>43640</v>
      </c>
      <c r="M1590" s="68"/>
      <c r="N1590" s="76"/>
      <c r="O1590" s="75"/>
      <c r="R1590" s="74"/>
    </row>
    <row r="1591" spans="2:18" ht="36" hidden="1" customHeight="1" x14ac:dyDescent="0.25">
      <c r="B1591" s="84">
        <v>1817</v>
      </c>
      <c r="C1591" s="83" t="s">
        <v>40</v>
      </c>
      <c r="D1591" s="82" t="s">
        <v>1617</v>
      </c>
      <c r="E1591" s="81">
        <v>43640</v>
      </c>
      <c r="F1591" s="27">
        <f t="shared" ca="1" si="24"/>
        <v>833</v>
      </c>
      <c r="G1591" s="79"/>
      <c r="H1591" s="80"/>
      <c r="I1591" s="80"/>
      <c r="J1591" s="79"/>
      <c r="K1591" s="78"/>
      <c r="L1591" s="77">
        <v>43642</v>
      </c>
      <c r="M1591" s="68"/>
      <c r="N1591" s="76" t="s">
        <v>688</v>
      </c>
      <c r="O1591" s="75"/>
      <c r="R1591" s="74"/>
    </row>
    <row r="1592" spans="2:18" ht="36" hidden="1" customHeight="1" x14ac:dyDescent="0.25">
      <c r="B1592" s="84">
        <v>1827</v>
      </c>
      <c r="C1592" s="83" t="s">
        <v>23</v>
      </c>
      <c r="D1592" s="82" t="s">
        <v>3419</v>
      </c>
      <c r="E1592" s="81">
        <v>43640</v>
      </c>
      <c r="F1592" s="27">
        <f t="shared" ca="1" si="24"/>
        <v>833</v>
      </c>
      <c r="G1592" s="79"/>
      <c r="H1592" s="80"/>
      <c r="I1592" s="80"/>
      <c r="J1592" s="79"/>
      <c r="K1592" s="78"/>
      <c r="L1592" s="77">
        <v>43642</v>
      </c>
      <c r="M1592" s="68"/>
      <c r="N1592" s="76" t="s">
        <v>703</v>
      </c>
      <c r="O1592" s="75" t="s">
        <v>2239</v>
      </c>
      <c r="R1592" s="74"/>
    </row>
    <row r="1593" spans="2:18" ht="36" hidden="1" customHeight="1" x14ac:dyDescent="0.25">
      <c r="B1593" s="84">
        <v>1828</v>
      </c>
      <c r="C1593" s="83" t="s">
        <v>21</v>
      </c>
      <c r="D1593" s="82" t="s">
        <v>3637</v>
      </c>
      <c r="E1593" s="81">
        <v>43640</v>
      </c>
      <c r="F1593" s="27">
        <f t="shared" ca="1" si="24"/>
        <v>833</v>
      </c>
      <c r="G1593" s="79"/>
      <c r="H1593" s="80"/>
      <c r="I1593" s="80"/>
      <c r="J1593" s="79"/>
      <c r="K1593" s="78"/>
      <c r="L1593" s="77">
        <v>43649</v>
      </c>
      <c r="M1593" s="68"/>
      <c r="N1593" s="76" t="s">
        <v>688</v>
      </c>
      <c r="O1593" s="75" t="s">
        <v>3638</v>
      </c>
      <c r="R1593" s="74"/>
    </row>
    <row r="1594" spans="2:18" ht="36" hidden="1" customHeight="1" x14ac:dyDescent="0.25">
      <c r="B1594" s="84">
        <v>1644</v>
      </c>
      <c r="C1594" s="83" t="s">
        <v>19</v>
      </c>
      <c r="D1594" s="82" t="s">
        <v>981</v>
      </c>
      <c r="E1594" s="81">
        <v>43641</v>
      </c>
      <c r="F1594" s="27">
        <f t="shared" ca="1" si="24"/>
        <v>832</v>
      </c>
      <c r="G1594" s="79"/>
      <c r="H1594" s="80"/>
      <c r="I1594" s="80"/>
      <c r="J1594" s="79"/>
      <c r="K1594" s="78"/>
      <c r="L1594" s="77">
        <v>43661</v>
      </c>
      <c r="M1594" s="68"/>
      <c r="N1594" s="76"/>
      <c r="O1594" s="75" t="s">
        <v>982</v>
      </c>
      <c r="R1594" s="74"/>
    </row>
    <row r="1595" spans="2:18" ht="36" hidden="1" customHeight="1" x14ac:dyDescent="0.25">
      <c r="B1595" s="84">
        <v>1647</v>
      </c>
      <c r="C1595" s="83" t="s">
        <v>12</v>
      </c>
      <c r="D1595" s="82" t="s">
        <v>1234</v>
      </c>
      <c r="E1595" s="81">
        <v>43641</v>
      </c>
      <c r="F1595" s="27">
        <f t="shared" ca="1" si="24"/>
        <v>832</v>
      </c>
      <c r="G1595" s="79"/>
      <c r="H1595" s="80"/>
      <c r="I1595" s="80"/>
      <c r="J1595" s="79"/>
      <c r="K1595" s="78"/>
      <c r="L1595" s="77">
        <v>43661</v>
      </c>
      <c r="M1595" s="68"/>
      <c r="N1595" s="76" t="s">
        <v>686</v>
      </c>
      <c r="O1595" s="75"/>
      <c r="R1595" s="74"/>
    </row>
    <row r="1596" spans="2:18" ht="36" hidden="1" customHeight="1" x14ac:dyDescent="0.25">
      <c r="B1596" s="84">
        <v>1819</v>
      </c>
      <c r="C1596" s="83" t="s">
        <v>23</v>
      </c>
      <c r="D1596" s="82" t="s">
        <v>2007</v>
      </c>
      <c r="E1596" s="81">
        <v>43641</v>
      </c>
      <c r="F1596" s="27">
        <f t="shared" ca="1" si="24"/>
        <v>832</v>
      </c>
      <c r="G1596" s="79"/>
      <c r="H1596" s="80"/>
      <c r="I1596" s="80"/>
      <c r="J1596" s="79"/>
      <c r="K1596" s="78"/>
      <c r="L1596" s="77">
        <v>43642</v>
      </c>
      <c r="M1596" s="68"/>
      <c r="N1596" s="76" t="s">
        <v>703</v>
      </c>
      <c r="O1596" s="75" t="s">
        <v>2008</v>
      </c>
      <c r="R1596" s="74"/>
    </row>
    <row r="1597" spans="2:18" ht="36" hidden="1" customHeight="1" x14ac:dyDescent="0.25">
      <c r="B1597" s="84">
        <v>1829</v>
      </c>
      <c r="C1597" s="83" t="s">
        <v>23</v>
      </c>
      <c r="D1597" s="82" t="s">
        <v>346</v>
      </c>
      <c r="E1597" s="81">
        <v>43641</v>
      </c>
      <c r="F1597" s="27">
        <f t="shared" ca="1" si="24"/>
        <v>832</v>
      </c>
      <c r="G1597" s="79"/>
      <c r="H1597" s="80"/>
      <c r="I1597" s="80"/>
      <c r="J1597" s="79"/>
      <c r="K1597" s="78"/>
      <c r="L1597" s="77">
        <v>43644</v>
      </c>
      <c r="M1597" s="68"/>
      <c r="N1597" s="76" t="s">
        <v>688</v>
      </c>
      <c r="O1597" s="75" t="s">
        <v>55</v>
      </c>
      <c r="R1597" s="74"/>
    </row>
    <row r="1598" spans="2:18" ht="36" hidden="1" customHeight="1" x14ac:dyDescent="0.25">
      <c r="B1598" s="84">
        <v>1829</v>
      </c>
      <c r="C1598" s="83" t="s">
        <v>23</v>
      </c>
      <c r="D1598" s="82" t="s">
        <v>3828</v>
      </c>
      <c r="E1598" s="81">
        <v>43641</v>
      </c>
      <c r="F1598" s="27">
        <f t="shared" ca="1" si="24"/>
        <v>832</v>
      </c>
      <c r="G1598" s="79"/>
      <c r="H1598" s="80"/>
      <c r="I1598" s="80"/>
      <c r="J1598" s="79"/>
      <c r="K1598" s="78"/>
      <c r="L1598" s="77">
        <v>43644</v>
      </c>
      <c r="M1598" s="68"/>
      <c r="N1598" s="76" t="s">
        <v>688</v>
      </c>
      <c r="O1598" s="75" t="s">
        <v>2358</v>
      </c>
      <c r="R1598" s="74"/>
    </row>
    <row r="1599" spans="2:18" ht="36" hidden="1" customHeight="1" x14ac:dyDescent="0.25">
      <c r="B1599" s="84">
        <v>1829</v>
      </c>
      <c r="C1599" s="83" t="s">
        <v>35</v>
      </c>
      <c r="D1599" s="82" t="s">
        <v>3829</v>
      </c>
      <c r="E1599" s="81">
        <v>43641</v>
      </c>
      <c r="F1599" s="27">
        <f t="shared" ca="1" si="24"/>
        <v>832</v>
      </c>
      <c r="G1599" s="79"/>
      <c r="H1599" s="80"/>
      <c r="I1599" s="80"/>
      <c r="J1599" s="79"/>
      <c r="K1599" s="78"/>
      <c r="L1599" s="77">
        <v>43644</v>
      </c>
      <c r="M1599" s="68"/>
      <c r="N1599" s="76" t="s">
        <v>688</v>
      </c>
      <c r="O1599" s="75" t="s">
        <v>3830</v>
      </c>
      <c r="R1599" s="74"/>
    </row>
    <row r="1600" spans="2:18" ht="36" hidden="1" customHeight="1" x14ac:dyDescent="0.25">
      <c r="B1600" s="84">
        <v>1827</v>
      </c>
      <c r="C1600" s="83" t="s">
        <v>39</v>
      </c>
      <c r="D1600" s="82" t="s">
        <v>3044</v>
      </c>
      <c r="E1600" s="81">
        <v>43642</v>
      </c>
      <c r="F1600" s="27">
        <f t="shared" ca="1" si="24"/>
        <v>831</v>
      </c>
      <c r="G1600" s="79"/>
      <c r="H1600" s="80"/>
      <c r="I1600" s="80"/>
      <c r="J1600" s="79"/>
      <c r="K1600" s="78"/>
      <c r="L1600" s="77">
        <v>43642</v>
      </c>
      <c r="M1600" s="68"/>
      <c r="N1600" s="76" t="s">
        <v>703</v>
      </c>
      <c r="O1600" s="75" t="s">
        <v>3186</v>
      </c>
      <c r="R1600" s="74"/>
    </row>
    <row r="1601" spans="2:18" ht="36" hidden="1" customHeight="1" x14ac:dyDescent="0.25">
      <c r="B1601" s="84">
        <v>1828</v>
      </c>
      <c r="C1601" s="83" t="s">
        <v>20</v>
      </c>
      <c r="D1601" s="82" t="s">
        <v>3639</v>
      </c>
      <c r="E1601" s="81">
        <v>43642</v>
      </c>
      <c r="F1601" s="27">
        <f t="shared" ca="1" si="24"/>
        <v>831</v>
      </c>
      <c r="G1601" s="79"/>
      <c r="H1601" s="80"/>
      <c r="I1601" s="80"/>
      <c r="J1601" s="79"/>
      <c r="K1601" s="78"/>
      <c r="L1601" s="77">
        <v>43649</v>
      </c>
      <c r="M1601" s="68"/>
      <c r="N1601" s="76" t="s">
        <v>688</v>
      </c>
      <c r="O1601" s="75" t="s">
        <v>3268</v>
      </c>
      <c r="R1601" s="74"/>
    </row>
    <row r="1602" spans="2:18" ht="36" hidden="1" customHeight="1" x14ac:dyDescent="0.25">
      <c r="B1602" s="84">
        <v>1826</v>
      </c>
      <c r="C1602" s="83" t="s">
        <v>20</v>
      </c>
      <c r="D1602" s="82" t="s">
        <v>3250</v>
      </c>
      <c r="E1602" s="81">
        <v>43643</v>
      </c>
      <c r="F1602" s="27">
        <f t="shared" ca="1" si="24"/>
        <v>830</v>
      </c>
      <c r="G1602" s="79"/>
      <c r="H1602" s="80"/>
      <c r="I1602" s="80"/>
      <c r="J1602" s="79"/>
      <c r="K1602" s="78"/>
      <c r="L1602" s="77">
        <v>43654</v>
      </c>
      <c r="M1602" s="68"/>
      <c r="N1602" s="76" t="s">
        <v>3251</v>
      </c>
      <c r="O1602" s="75"/>
      <c r="R1602" s="74"/>
    </row>
    <row r="1603" spans="2:18" ht="36" hidden="1" customHeight="1" x14ac:dyDescent="0.25">
      <c r="B1603" s="84">
        <v>1827</v>
      </c>
      <c r="C1603" s="83" t="s">
        <v>21</v>
      </c>
      <c r="D1603" s="82" t="s">
        <v>3422</v>
      </c>
      <c r="E1603" s="81">
        <v>43643</v>
      </c>
      <c r="F1603" s="27">
        <f t="shared" ca="1" si="24"/>
        <v>830</v>
      </c>
      <c r="G1603" s="79"/>
      <c r="H1603" s="80"/>
      <c r="I1603" s="80"/>
      <c r="J1603" s="79"/>
      <c r="K1603" s="78"/>
      <c r="L1603" s="77">
        <v>43691</v>
      </c>
      <c r="M1603" s="68"/>
      <c r="N1603" s="76"/>
      <c r="O1603" s="75" t="s">
        <v>3423</v>
      </c>
      <c r="R1603" s="74"/>
    </row>
    <row r="1604" spans="2:18" ht="36" hidden="1" customHeight="1" x14ac:dyDescent="0.25">
      <c r="B1604" s="84">
        <v>1643</v>
      </c>
      <c r="C1604" s="83" t="s">
        <v>40</v>
      </c>
      <c r="D1604" s="82" t="s">
        <v>917</v>
      </c>
      <c r="E1604" s="81">
        <v>43644</v>
      </c>
      <c r="F1604" s="27">
        <f t="shared" ca="1" si="24"/>
        <v>829</v>
      </c>
      <c r="G1604" s="79"/>
      <c r="H1604" s="80"/>
      <c r="I1604" s="80"/>
      <c r="J1604" s="79"/>
      <c r="K1604" s="78"/>
      <c r="L1604" s="77">
        <v>43624</v>
      </c>
      <c r="M1604" s="68"/>
      <c r="N1604" s="76"/>
      <c r="O1604" s="75"/>
      <c r="R1604" s="74"/>
    </row>
    <row r="1605" spans="2:18" ht="36" hidden="1" customHeight="1" x14ac:dyDescent="0.25">
      <c r="B1605" s="84">
        <v>1643</v>
      </c>
      <c r="C1605" s="83" t="s">
        <v>33</v>
      </c>
      <c r="D1605" s="82" t="s">
        <v>918</v>
      </c>
      <c r="E1605" s="81">
        <v>43644</v>
      </c>
      <c r="F1605" s="27">
        <f t="shared" ca="1" si="24"/>
        <v>829</v>
      </c>
      <c r="G1605" s="79"/>
      <c r="H1605" s="80"/>
      <c r="I1605" s="80"/>
      <c r="J1605" s="79"/>
      <c r="K1605" s="78"/>
      <c r="L1605" s="77">
        <v>43624</v>
      </c>
      <c r="M1605" s="68"/>
      <c r="N1605" s="76"/>
      <c r="O1605" s="75"/>
      <c r="R1605" s="74"/>
    </row>
    <row r="1606" spans="2:18" ht="36" hidden="1" customHeight="1" x14ac:dyDescent="0.25">
      <c r="B1606" s="84">
        <v>1826</v>
      </c>
      <c r="C1606" s="83" t="s">
        <v>15</v>
      </c>
      <c r="D1606" s="82" t="s">
        <v>3255</v>
      </c>
      <c r="E1606" s="81">
        <v>43644</v>
      </c>
      <c r="F1606" s="27">
        <f t="shared" ca="1" si="24"/>
        <v>829</v>
      </c>
      <c r="G1606" s="79"/>
      <c r="H1606" s="80"/>
      <c r="I1606" s="80"/>
      <c r="J1606" s="79"/>
      <c r="K1606" s="78"/>
      <c r="L1606" s="77">
        <v>43678</v>
      </c>
      <c r="M1606" s="68"/>
      <c r="N1606" s="76" t="s">
        <v>2019</v>
      </c>
      <c r="O1606" s="75"/>
      <c r="R1606" s="74"/>
    </row>
    <row r="1607" spans="2:18" ht="36" hidden="1" customHeight="1" x14ac:dyDescent="0.25">
      <c r="B1607" s="84">
        <v>1643</v>
      </c>
      <c r="C1607" s="83" t="s">
        <v>40</v>
      </c>
      <c r="D1607" s="82" t="s">
        <v>919</v>
      </c>
      <c r="E1607" s="81">
        <v>43648</v>
      </c>
      <c r="F1607" s="27">
        <f t="shared" ca="1" si="24"/>
        <v>825</v>
      </c>
      <c r="G1607" s="79"/>
      <c r="H1607" s="80"/>
      <c r="I1607" s="80"/>
      <c r="J1607" s="79"/>
      <c r="K1607" s="78"/>
      <c r="L1607" s="77">
        <v>43624</v>
      </c>
      <c r="M1607" s="68"/>
      <c r="N1607" s="76"/>
      <c r="O1607" s="75"/>
      <c r="R1607" s="74"/>
    </row>
    <row r="1608" spans="2:18" ht="36" hidden="1" customHeight="1" x14ac:dyDescent="0.25">
      <c r="B1608" s="84">
        <v>1647</v>
      </c>
      <c r="C1608" s="83" t="s">
        <v>23</v>
      </c>
      <c r="D1608" s="82" t="s">
        <v>1235</v>
      </c>
      <c r="E1608" s="81">
        <v>43648</v>
      </c>
      <c r="F1608" s="27">
        <f t="shared" ca="1" si="24"/>
        <v>825</v>
      </c>
      <c r="G1608" s="79"/>
      <c r="H1608" s="80"/>
      <c r="I1608" s="80"/>
      <c r="J1608" s="79"/>
      <c r="K1608" s="78"/>
      <c r="L1608" s="77">
        <v>43661</v>
      </c>
      <c r="M1608" s="68"/>
      <c r="N1608" s="76" t="s">
        <v>686</v>
      </c>
      <c r="O1608" s="75"/>
      <c r="R1608" s="74"/>
    </row>
    <row r="1609" spans="2:18" ht="36" hidden="1" customHeight="1" x14ac:dyDescent="0.25">
      <c r="B1609" s="84">
        <v>1645</v>
      </c>
      <c r="C1609" s="83" t="s">
        <v>23</v>
      </c>
      <c r="D1609" s="82" t="s">
        <v>1061</v>
      </c>
      <c r="E1609" s="81">
        <v>43650</v>
      </c>
      <c r="F1609" s="27">
        <f t="shared" ca="1" si="24"/>
        <v>823</v>
      </c>
      <c r="G1609" s="79"/>
      <c r="H1609" s="80"/>
      <c r="I1609" s="80"/>
      <c r="J1609" s="79"/>
      <c r="K1609" s="78"/>
      <c r="L1609" s="77">
        <v>43668</v>
      </c>
      <c r="M1609" s="68"/>
      <c r="N1609" s="76" t="s">
        <v>1062</v>
      </c>
      <c r="O1609" s="75"/>
      <c r="R1609" s="74"/>
    </row>
    <row r="1610" spans="2:18" ht="36" hidden="1" customHeight="1" x14ac:dyDescent="0.25">
      <c r="B1610" s="84">
        <v>1827</v>
      </c>
      <c r="C1610" s="83" t="s">
        <v>37</v>
      </c>
      <c r="D1610" s="82" t="s">
        <v>3420</v>
      </c>
      <c r="E1610" s="81">
        <v>43650</v>
      </c>
      <c r="F1610" s="27">
        <f t="shared" ca="1" si="24"/>
        <v>823</v>
      </c>
      <c r="G1610" s="79"/>
      <c r="H1610" s="80"/>
      <c r="I1610" s="80"/>
      <c r="J1610" s="79"/>
      <c r="K1610" s="78"/>
      <c r="L1610" s="77">
        <v>43651</v>
      </c>
      <c r="M1610" s="68"/>
      <c r="N1610" s="76" t="s">
        <v>185</v>
      </c>
      <c r="O1610" s="75"/>
      <c r="R1610" s="74"/>
    </row>
    <row r="1611" spans="2:18" ht="36" hidden="1" customHeight="1" x14ac:dyDescent="0.25">
      <c r="B1611" s="84">
        <v>1647</v>
      </c>
      <c r="C1611" s="83" t="s">
        <v>40</v>
      </c>
      <c r="D1611" s="82" t="s">
        <v>331</v>
      </c>
      <c r="E1611" s="81">
        <v>43651</v>
      </c>
      <c r="F1611" s="27">
        <f t="shared" ca="1" si="24"/>
        <v>822</v>
      </c>
      <c r="G1611" s="79"/>
      <c r="H1611" s="80"/>
      <c r="I1611" s="80"/>
      <c r="J1611" s="79"/>
      <c r="K1611" s="78"/>
      <c r="L1611" s="77">
        <v>43661</v>
      </c>
      <c r="M1611" s="68"/>
      <c r="N1611" s="76" t="s">
        <v>686</v>
      </c>
      <c r="O1611" s="75"/>
      <c r="R1611" s="74"/>
    </row>
    <row r="1612" spans="2:18" ht="36" hidden="1" customHeight="1" x14ac:dyDescent="0.25">
      <c r="B1612" s="84">
        <v>1647</v>
      </c>
      <c r="C1612" s="83" t="s">
        <v>11</v>
      </c>
      <c r="D1612" s="82" t="s">
        <v>1236</v>
      </c>
      <c r="E1612" s="81">
        <v>43651</v>
      </c>
      <c r="F1612" s="27">
        <f t="shared" ca="1" si="24"/>
        <v>822</v>
      </c>
      <c r="G1612" s="79"/>
      <c r="H1612" s="80"/>
      <c r="I1612" s="80"/>
      <c r="J1612" s="79"/>
      <c r="K1612" s="78"/>
      <c r="L1612" s="77">
        <v>43661</v>
      </c>
      <c r="M1612" s="68"/>
      <c r="N1612" s="76" t="s">
        <v>686</v>
      </c>
      <c r="O1612" s="75"/>
      <c r="R1612" s="74"/>
    </row>
    <row r="1613" spans="2:18" ht="36" hidden="1" customHeight="1" x14ac:dyDescent="0.25">
      <c r="B1613" s="84">
        <v>1824</v>
      </c>
      <c r="C1613" s="83" t="s">
        <v>20</v>
      </c>
      <c r="D1613" s="82" t="s">
        <v>2874</v>
      </c>
      <c r="E1613" s="81">
        <v>43651</v>
      </c>
      <c r="F1613" s="27">
        <f t="shared" ca="1" si="24"/>
        <v>822</v>
      </c>
      <c r="G1613" s="79"/>
      <c r="H1613" s="80"/>
      <c r="I1613" s="80"/>
      <c r="J1613" s="79"/>
      <c r="K1613" s="78"/>
      <c r="L1613" s="77">
        <v>43651</v>
      </c>
      <c r="M1613" s="68"/>
      <c r="N1613" s="76" t="s">
        <v>829</v>
      </c>
      <c r="O1613" s="75"/>
      <c r="R1613" s="74"/>
    </row>
    <row r="1614" spans="2:18" ht="36" hidden="1" customHeight="1" x14ac:dyDescent="0.25">
      <c r="B1614" s="84">
        <v>1824</v>
      </c>
      <c r="C1614" s="83" t="s">
        <v>35</v>
      </c>
      <c r="D1614" s="82" t="s">
        <v>2877</v>
      </c>
      <c r="E1614" s="81">
        <v>43651</v>
      </c>
      <c r="F1614" s="27">
        <f t="shared" ca="1" si="24"/>
        <v>822</v>
      </c>
      <c r="G1614" s="79"/>
      <c r="H1614" s="80"/>
      <c r="I1614" s="80"/>
      <c r="J1614" s="79"/>
      <c r="K1614" s="78"/>
      <c r="L1614" s="77">
        <v>43675</v>
      </c>
      <c r="M1614" s="68"/>
      <c r="N1614" s="76"/>
      <c r="O1614" s="75" t="s">
        <v>2878</v>
      </c>
      <c r="R1614" s="74"/>
    </row>
    <row r="1615" spans="2:18" ht="36" hidden="1" customHeight="1" x14ac:dyDescent="0.25">
      <c r="B1615" s="84">
        <v>1827</v>
      </c>
      <c r="C1615" s="83" t="s">
        <v>23</v>
      </c>
      <c r="D1615" s="82" t="s">
        <v>58</v>
      </c>
      <c r="E1615" s="81">
        <v>43651</v>
      </c>
      <c r="F1615" s="27">
        <f t="shared" ca="1" si="24"/>
        <v>822</v>
      </c>
      <c r="G1615" s="79"/>
      <c r="H1615" s="80"/>
      <c r="I1615" s="80"/>
      <c r="J1615" s="79"/>
      <c r="K1615" s="78"/>
      <c r="L1615" s="77">
        <v>43654</v>
      </c>
      <c r="M1615" s="68"/>
      <c r="N1615" s="76" t="s">
        <v>3251</v>
      </c>
      <c r="O1615" s="75"/>
      <c r="R1615" s="74"/>
    </row>
    <row r="1616" spans="2:18" ht="36" hidden="1" customHeight="1" x14ac:dyDescent="0.25">
      <c r="B1616" s="84">
        <v>1828</v>
      </c>
      <c r="C1616" s="83" t="s">
        <v>19</v>
      </c>
      <c r="D1616" s="82" t="s">
        <v>3640</v>
      </c>
      <c r="E1616" s="81">
        <v>43651</v>
      </c>
      <c r="F1616" s="27">
        <f t="shared" ref="F1616:F1679" ca="1" si="25">IF(E1616&lt;&gt;"",TODAY()-E1616,"")</f>
        <v>822</v>
      </c>
      <c r="G1616" s="79"/>
      <c r="H1616" s="80"/>
      <c r="I1616" s="80"/>
      <c r="J1616" s="79"/>
      <c r="K1616" s="78"/>
      <c r="L1616" s="77">
        <v>43654</v>
      </c>
      <c r="M1616" s="68"/>
      <c r="N1616" s="76" t="s">
        <v>686</v>
      </c>
      <c r="O1616" s="75"/>
      <c r="R1616" s="74"/>
    </row>
    <row r="1617" spans="2:18" ht="36" hidden="1" customHeight="1" x14ac:dyDescent="0.25">
      <c r="B1617" s="84">
        <v>1828</v>
      </c>
      <c r="C1617" s="83" t="s">
        <v>19</v>
      </c>
      <c r="D1617" s="82" t="s">
        <v>3641</v>
      </c>
      <c r="E1617" s="81">
        <v>43651</v>
      </c>
      <c r="F1617" s="27">
        <f t="shared" ca="1" si="25"/>
        <v>822</v>
      </c>
      <c r="G1617" s="79"/>
      <c r="H1617" s="80"/>
      <c r="I1617" s="80"/>
      <c r="J1617" s="79"/>
      <c r="K1617" s="78"/>
      <c r="L1617" s="77">
        <v>43654</v>
      </c>
      <c r="M1617" s="68"/>
      <c r="N1617" s="76" t="s">
        <v>686</v>
      </c>
      <c r="O1617" s="75"/>
      <c r="R1617" s="74"/>
    </row>
    <row r="1618" spans="2:18" ht="36" hidden="1" customHeight="1" x14ac:dyDescent="0.25">
      <c r="B1618" s="84">
        <v>1829</v>
      </c>
      <c r="C1618" s="83" t="s">
        <v>35</v>
      </c>
      <c r="D1618" s="82" t="s">
        <v>3831</v>
      </c>
      <c r="E1618" s="81">
        <v>43651</v>
      </c>
      <c r="F1618" s="27">
        <f t="shared" ca="1" si="25"/>
        <v>822</v>
      </c>
      <c r="G1618" s="79"/>
      <c r="H1618" s="80"/>
      <c r="I1618" s="80"/>
      <c r="J1618" s="79"/>
      <c r="K1618" s="78"/>
      <c r="L1618" s="77">
        <v>43652</v>
      </c>
      <c r="M1618" s="68"/>
      <c r="N1618" s="76" t="s">
        <v>3832</v>
      </c>
      <c r="O1618" s="75"/>
      <c r="R1618" s="74"/>
    </row>
    <row r="1619" spans="2:18" ht="36" hidden="1" customHeight="1" x14ac:dyDescent="0.25">
      <c r="B1619" s="84">
        <v>1644</v>
      </c>
      <c r="C1619" s="83" t="s">
        <v>31</v>
      </c>
      <c r="D1619" s="82" t="s">
        <v>978</v>
      </c>
      <c r="E1619" s="81">
        <v>43655</v>
      </c>
      <c r="F1619" s="27">
        <f t="shared" ca="1" si="25"/>
        <v>818</v>
      </c>
      <c r="G1619" s="79"/>
      <c r="H1619" s="80"/>
      <c r="I1619" s="80"/>
      <c r="J1619" s="79"/>
      <c r="K1619" s="78"/>
      <c r="L1619" s="77">
        <v>43600</v>
      </c>
      <c r="M1619" s="68"/>
      <c r="N1619" s="76"/>
      <c r="O1619" s="75" t="s">
        <v>979</v>
      </c>
      <c r="R1619" s="74"/>
    </row>
    <row r="1620" spans="2:18" ht="36" hidden="1" customHeight="1" x14ac:dyDescent="0.25">
      <c r="B1620" s="84">
        <v>1816</v>
      </c>
      <c r="C1620" s="83" t="s">
        <v>23</v>
      </c>
      <c r="D1620" s="82" t="s">
        <v>1412</v>
      </c>
      <c r="E1620" s="81">
        <v>43655</v>
      </c>
      <c r="F1620" s="27">
        <f t="shared" ca="1" si="25"/>
        <v>818</v>
      </c>
      <c r="G1620" s="79"/>
      <c r="H1620" s="80"/>
      <c r="I1620" s="80"/>
      <c r="J1620" s="79"/>
      <c r="K1620" s="78"/>
      <c r="L1620" s="77">
        <v>43657</v>
      </c>
      <c r="M1620" s="68"/>
      <c r="N1620" s="76" t="s">
        <v>185</v>
      </c>
      <c r="O1620" s="75"/>
      <c r="R1620" s="74"/>
    </row>
    <row r="1621" spans="2:18" ht="36" hidden="1" customHeight="1" x14ac:dyDescent="0.25">
      <c r="B1621" s="84">
        <v>1828</v>
      </c>
      <c r="C1621" s="83" t="s">
        <v>23</v>
      </c>
      <c r="D1621" s="82" t="s">
        <v>3642</v>
      </c>
      <c r="E1621" s="81">
        <v>43655</v>
      </c>
      <c r="F1621" s="27">
        <f t="shared" ca="1" si="25"/>
        <v>818</v>
      </c>
      <c r="G1621" s="79"/>
      <c r="H1621" s="80"/>
      <c r="I1621" s="80"/>
      <c r="J1621" s="79"/>
      <c r="K1621" s="78"/>
      <c r="L1621" s="77">
        <v>43668</v>
      </c>
      <c r="M1621" s="68"/>
      <c r="N1621" s="76" t="s">
        <v>686</v>
      </c>
      <c r="O1621" s="75"/>
      <c r="R1621" s="74"/>
    </row>
    <row r="1622" spans="2:18" ht="36" hidden="1" customHeight="1" x14ac:dyDescent="0.25">
      <c r="B1622" s="84">
        <v>1823</v>
      </c>
      <c r="C1622" s="83" t="s">
        <v>40</v>
      </c>
      <c r="D1622" s="82" t="s">
        <v>2662</v>
      </c>
      <c r="E1622" s="81">
        <v>43656</v>
      </c>
      <c r="F1622" s="27">
        <f t="shared" ca="1" si="25"/>
        <v>817</v>
      </c>
      <c r="G1622" s="79"/>
      <c r="H1622" s="80"/>
      <c r="I1622" s="80"/>
      <c r="J1622" s="79"/>
      <c r="K1622" s="78"/>
      <c r="L1622" s="77">
        <v>43685</v>
      </c>
      <c r="M1622" s="68"/>
      <c r="N1622" s="76"/>
      <c r="O1622" s="75" t="s">
        <v>686</v>
      </c>
      <c r="R1622" s="74"/>
    </row>
    <row r="1623" spans="2:18" ht="36" hidden="1" customHeight="1" x14ac:dyDescent="0.25">
      <c r="B1623" s="84">
        <v>1824</v>
      </c>
      <c r="C1623" s="83" t="s">
        <v>23</v>
      </c>
      <c r="D1623" s="82" t="s">
        <v>2875</v>
      </c>
      <c r="E1623" s="81">
        <v>43656</v>
      </c>
      <c r="F1623" s="27">
        <f t="shared" ca="1" si="25"/>
        <v>817</v>
      </c>
      <c r="G1623" s="79"/>
      <c r="H1623" s="80"/>
      <c r="I1623" s="80"/>
      <c r="J1623" s="79"/>
      <c r="K1623" s="78"/>
      <c r="L1623" s="77">
        <v>43661</v>
      </c>
      <c r="M1623" s="68"/>
      <c r="N1623" s="76" t="s">
        <v>2876</v>
      </c>
      <c r="O1623" s="75"/>
      <c r="R1623" s="74"/>
    </row>
    <row r="1624" spans="2:18" ht="36" hidden="1" customHeight="1" x14ac:dyDescent="0.25">
      <c r="B1624" s="84">
        <v>1824</v>
      </c>
      <c r="C1624" s="83" t="s">
        <v>23</v>
      </c>
      <c r="D1624" s="82" t="s">
        <v>2879</v>
      </c>
      <c r="E1624" s="81">
        <v>43656</v>
      </c>
      <c r="F1624" s="27">
        <f t="shared" ca="1" si="25"/>
        <v>817</v>
      </c>
      <c r="G1624" s="79"/>
      <c r="H1624" s="80"/>
      <c r="I1624" s="80"/>
      <c r="J1624" s="79"/>
      <c r="K1624" s="78"/>
      <c r="L1624" s="77">
        <v>43679</v>
      </c>
      <c r="M1624" s="68"/>
      <c r="N1624" s="76" t="s">
        <v>185</v>
      </c>
      <c r="O1624" s="75"/>
      <c r="R1624" s="74"/>
    </row>
    <row r="1625" spans="2:18" ht="36" hidden="1" customHeight="1" x14ac:dyDescent="0.25">
      <c r="B1625" s="84">
        <v>1828</v>
      </c>
      <c r="C1625" s="83" t="s">
        <v>19</v>
      </c>
      <c r="D1625" s="82" t="s">
        <v>3643</v>
      </c>
      <c r="E1625" s="81">
        <v>43657</v>
      </c>
      <c r="F1625" s="27">
        <f t="shared" ca="1" si="25"/>
        <v>816</v>
      </c>
      <c r="G1625" s="79"/>
      <c r="H1625" s="80"/>
      <c r="I1625" s="80"/>
      <c r="J1625" s="79"/>
      <c r="K1625" s="78"/>
      <c r="L1625" s="77">
        <v>43668</v>
      </c>
      <c r="M1625" s="68"/>
      <c r="N1625" s="76" t="s">
        <v>686</v>
      </c>
      <c r="O1625" s="75" t="s">
        <v>3644</v>
      </c>
      <c r="R1625" s="74"/>
    </row>
    <row r="1626" spans="2:18" ht="36" hidden="1" customHeight="1" x14ac:dyDescent="0.25">
      <c r="B1626" s="84">
        <v>1645</v>
      </c>
      <c r="C1626" s="83" t="s">
        <v>40</v>
      </c>
      <c r="D1626" s="82" t="s">
        <v>1063</v>
      </c>
      <c r="E1626" s="81">
        <v>43658</v>
      </c>
      <c r="F1626" s="27">
        <f t="shared" ca="1" si="25"/>
        <v>815</v>
      </c>
      <c r="G1626" s="79"/>
      <c r="H1626" s="80"/>
      <c r="I1626" s="80"/>
      <c r="J1626" s="79"/>
      <c r="K1626" s="78"/>
      <c r="L1626" s="77">
        <v>43668</v>
      </c>
      <c r="M1626" s="68"/>
      <c r="N1626" s="76"/>
      <c r="O1626" s="75" t="s">
        <v>1064</v>
      </c>
      <c r="R1626" s="74"/>
    </row>
    <row r="1627" spans="2:18" ht="36" hidden="1" customHeight="1" x14ac:dyDescent="0.25">
      <c r="B1627" s="84">
        <v>1822</v>
      </c>
      <c r="C1627" s="83" t="s">
        <v>17</v>
      </c>
      <c r="D1627" s="82" t="s">
        <v>1405</v>
      </c>
      <c r="E1627" s="81">
        <v>43658</v>
      </c>
      <c r="F1627" s="27">
        <f t="shared" ca="1" si="25"/>
        <v>815</v>
      </c>
      <c r="G1627" s="79"/>
      <c r="H1627" s="80"/>
      <c r="I1627" s="80"/>
      <c r="J1627" s="79"/>
      <c r="K1627" s="78"/>
      <c r="L1627" s="77">
        <v>43662</v>
      </c>
      <c r="M1627" s="68"/>
      <c r="N1627" s="76"/>
      <c r="O1627" s="75" t="s">
        <v>2467</v>
      </c>
      <c r="R1627" s="74"/>
    </row>
    <row r="1628" spans="2:18" ht="36" hidden="1" customHeight="1" x14ac:dyDescent="0.25">
      <c r="B1628" s="84">
        <v>1822</v>
      </c>
      <c r="C1628" s="83" t="s">
        <v>12</v>
      </c>
      <c r="D1628" s="82" t="s">
        <v>2468</v>
      </c>
      <c r="E1628" s="81">
        <v>43658</v>
      </c>
      <c r="F1628" s="27">
        <f t="shared" ca="1" si="25"/>
        <v>815</v>
      </c>
      <c r="G1628" s="79"/>
      <c r="H1628" s="80"/>
      <c r="I1628" s="80"/>
      <c r="J1628" s="79"/>
      <c r="K1628" s="78"/>
      <c r="L1628" s="77">
        <v>43662</v>
      </c>
      <c r="M1628" s="68"/>
      <c r="N1628" s="76"/>
      <c r="O1628" s="75" t="s">
        <v>2469</v>
      </c>
      <c r="R1628" s="74"/>
    </row>
    <row r="1629" spans="2:18" ht="36" hidden="1" customHeight="1" x14ac:dyDescent="0.25">
      <c r="B1629" s="84">
        <v>1822</v>
      </c>
      <c r="C1629" s="83" t="s">
        <v>11</v>
      </c>
      <c r="D1629" s="82" t="s">
        <v>2470</v>
      </c>
      <c r="E1629" s="81">
        <v>43658</v>
      </c>
      <c r="F1629" s="27">
        <f t="shared" ca="1" si="25"/>
        <v>815</v>
      </c>
      <c r="G1629" s="79"/>
      <c r="H1629" s="80"/>
      <c r="I1629" s="80"/>
      <c r="J1629" s="79"/>
      <c r="K1629" s="78"/>
      <c r="L1629" s="77">
        <v>43662</v>
      </c>
      <c r="M1629" s="68"/>
      <c r="N1629" s="76"/>
      <c r="O1629" s="75" t="s">
        <v>2471</v>
      </c>
      <c r="R1629" s="74"/>
    </row>
    <row r="1630" spans="2:18" ht="36" hidden="1" customHeight="1" x14ac:dyDescent="0.25">
      <c r="B1630" s="84">
        <v>1822</v>
      </c>
      <c r="C1630" s="83" t="s">
        <v>40</v>
      </c>
      <c r="D1630" s="82" t="s">
        <v>2472</v>
      </c>
      <c r="E1630" s="81">
        <v>43658</v>
      </c>
      <c r="F1630" s="27">
        <f t="shared" ca="1" si="25"/>
        <v>815</v>
      </c>
      <c r="G1630" s="79"/>
      <c r="H1630" s="80"/>
      <c r="I1630" s="80"/>
      <c r="J1630" s="79"/>
      <c r="K1630" s="78"/>
      <c r="L1630" s="77">
        <v>43662</v>
      </c>
      <c r="M1630" s="68"/>
      <c r="N1630" s="76"/>
      <c r="O1630" s="75" t="s">
        <v>2378</v>
      </c>
      <c r="R1630" s="74"/>
    </row>
    <row r="1631" spans="2:18" ht="36" hidden="1" customHeight="1" x14ac:dyDescent="0.25">
      <c r="B1631" s="84">
        <v>1822</v>
      </c>
      <c r="C1631" s="83" t="s">
        <v>21</v>
      </c>
      <c r="D1631" s="82" t="s">
        <v>2473</v>
      </c>
      <c r="E1631" s="81">
        <v>43658</v>
      </c>
      <c r="F1631" s="27">
        <f t="shared" ca="1" si="25"/>
        <v>815</v>
      </c>
      <c r="G1631" s="79"/>
      <c r="H1631" s="80"/>
      <c r="I1631" s="80"/>
      <c r="J1631" s="79"/>
      <c r="K1631" s="78"/>
      <c r="L1631" s="77">
        <v>43662</v>
      </c>
      <c r="M1631" s="68"/>
      <c r="N1631" s="76"/>
      <c r="O1631" s="75" t="s">
        <v>2474</v>
      </c>
      <c r="R1631" s="74"/>
    </row>
    <row r="1632" spans="2:18" ht="36" hidden="1" customHeight="1" x14ac:dyDescent="0.25">
      <c r="B1632" s="84">
        <v>1647</v>
      </c>
      <c r="C1632" s="83" t="s">
        <v>37</v>
      </c>
      <c r="D1632" s="82" t="s">
        <v>1237</v>
      </c>
      <c r="E1632" s="81">
        <v>43661</v>
      </c>
      <c r="F1632" s="27">
        <f t="shared" ca="1" si="25"/>
        <v>812</v>
      </c>
      <c r="G1632" s="79"/>
      <c r="H1632" s="80"/>
      <c r="I1632" s="80"/>
      <c r="J1632" s="79"/>
      <c r="K1632" s="78"/>
      <c r="L1632" s="77">
        <v>43664</v>
      </c>
      <c r="M1632" s="68"/>
      <c r="N1632" s="76" t="s">
        <v>686</v>
      </c>
      <c r="O1632" s="75"/>
      <c r="R1632" s="74"/>
    </row>
    <row r="1633" spans="2:18" ht="36" hidden="1" customHeight="1" x14ac:dyDescent="0.25">
      <c r="B1633" s="84">
        <v>1817</v>
      </c>
      <c r="C1633" s="83" t="s">
        <v>23</v>
      </c>
      <c r="D1633" s="82" t="s">
        <v>1618</v>
      </c>
      <c r="E1633" s="81">
        <v>43661</v>
      </c>
      <c r="F1633" s="27">
        <f t="shared" ca="1" si="25"/>
        <v>812</v>
      </c>
      <c r="G1633" s="79"/>
      <c r="H1633" s="80"/>
      <c r="I1633" s="80"/>
      <c r="J1633" s="79"/>
      <c r="K1633" s="78"/>
      <c r="L1633" s="77">
        <v>43661</v>
      </c>
      <c r="M1633" s="68"/>
      <c r="N1633" s="76" t="s">
        <v>829</v>
      </c>
      <c r="O1633" s="75"/>
      <c r="R1633" s="74"/>
    </row>
    <row r="1634" spans="2:18" ht="36" hidden="1" customHeight="1" x14ac:dyDescent="0.25">
      <c r="B1634" s="84">
        <v>1829</v>
      </c>
      <c r="C1634" s="83" t="s">
        <v>37</v>
      </c>
      <c r="D1634" s="82" t="s">
        <v>3833</v>
      </c>
      <c r="E1634" s="81">
        <v>43661</v>
      </c>
      <c r="F1634" s="27">
        <f t="shared" ca="1" si="25"/>
        <v>812</v>
      </c>
      <c r="G1634" s="79"/>
      <c r="H1634" s="80"/>
      <c r="I1634" s="80"/>
      <c r="J1634" s="79"/>
      <c r="K1634" s="78"/>
      <c r="L1634" s="77">
        <v>43661</v>
      </c>
      <c r="M1634" s="68"/>
      <c r="N1634" s="76" t="s">
        <v>3834</v>
      </c>
      <c r="O1634" s="75"/>
      <c r="R1634" s="74"/>
    </row>
    <row r="1635" spans="2:18" ht="36" hidden="1" customHeight="1" x14ac:dyDescent="0.25">
      <c r="B1635" s="84">
        <v>1647</v>
      </c>
      <c r="C1635" s="83" t="s">
        <v>19</v>
      </c>
      <c r="D1635" s="82" t="s">
        <v>967</v>
      </c>
      <c r="E1635" s="81">
        <v>43662</v>
      </c>
      <c r="F1635" s="27">
        <f t="shared" ca="1" si="25"/>
        <v>811</v>
      </c>
      <c r="G1635" s="79"/>
      <c r="H1635" s="80"/>
      <c r="I1635" s="80"/>
      <c r="J1635" s="79"/>
      <c r="K1635" s="78"/>
      <c r="L1635" s="77">
        <v>43664</v>
      </c>
      <c r="M1635" s="68"/>
      <c r="N1635" s="76" t="s">
        <v>686</v>
      </c>
      <c r="O1635" s="75"/>
      <c r="R1635" s="74"/>
    </row>
    <row r="1636" spans="2:18" ht="36" hidden="1" customHeight="1" x14ac:dyDescent="0.25">
      <c r="B1636" s="84">
        <v>1646</v>
      </c>
      <c r="C1636" s="83" t="s">
        <v>11</v>
      </c>
      <c r="D1636" s="82" t="s">
        <v>1149</v>
      </c>
      <c r="E1636" s="81">
        <v>43663</v>
      </c>
      <c r="F1636" s="27">
        <f t="shared" ca="1" si="25"/>
        <v>810</v>
      </c>
      <c r="G1636" s="79"/>
      <c r="H1636" s="80"/>
      <c r="I1636" s="80"/>
      <c r="J1636" s="79"/>
      <c r="K1636" s="78"/>
      <c r="L1636" s="77">
        <v>43675</v>
      </c>
      <c r="M1636" s="68"/>
      <c r="N1636" s="76"/>
      <c r="O1636" s="75" t="s">
        <v>1150</v>
      </c>
      <c r="R1636" s="74"/>
    </row>
    <row r="1637" spans="2:18" ht="36" hidden="1" customHeight="1" x14ac:dyDescent="0.25">
      <c r="B1637" s="84">
        <v>1820</v>
      </c>
      <c r="C1637" s="83" t="s">
        <v>31</v>
      </c>
      <c r="D1637" s="82" t="s">
        <v>2139</v>
      </c>
      <c r="E1637" s="81">
        <v>43664</v>
      </c>
      <c r="F1637" s="27">
        <f t="shared" ca="1" si="25"/>
        <v>809</v>
      </c>
      <c r="G1637" s="79" t="s">
        <v>1863</v>
      </c>
      <c r="H1637" s="80"/>
      <c r="I1637" s="80"/>
      <c r="J1637" s="79" t="s">
        <v>579</v>
      </c>
      <c r="K1637" s="78" t="s">
        <v>623</v>
      </c>
      <c r="L1637" s="77">
        <v>43314</v>
      </c>
      <c r="M1637" s="68"/>
      <c r="N1637" s="76" t="s">
        <v>1570</v>
      </c>
      <c r="O1637" s="75" t="s">
        <v>2140</v>
      </c>
      <c r="R1637" s="74"/>
    </row>
    <row r="1638" spans="2:18" ht="36" hidden="1" customHeight="1" x14ac:dyDescent="0.25">
      <c r="B1638" s="84">
        <v>1826</v>
      </c>
      <c r="C1638" s="83" t="s">
        <v>23</v>
      </c>
      <c r="D1638" s="82" t="s">
        <v>3256</v>
      </c>
      <c r="E1638" s="81">
        <v>43665</v>
      </c>
      <c r="F1638" s="27">
        <f t="shared" ca="1" si="25"/>
        <v>808</v>
      </c>
      <c r="G1638" s="79"/>
      <c r="H1638" s="80"/>
      <c r="I1638" s="80"/>
      <c r="J1638" s="79"/>
      <c r="K1638" s="78"/>
      <c r="L1638" s="77">
        <v>43678</v>
      </c>
      <c r="M1638" s="68"/>
      <c r="N1638" s="76" t="s">
        <v>2019</v>
      </c>
      <c r="O1638" s="75"/>
      <c r="R1638" s="74"/>
    </row>
    <row r="1639" spans="2:18" ht="36" hidden="1" customHeight="1" x14ac:dyDescent="0.25">
      <c r="B1639" s="84">
        <v>1644</v>
      </c>
      <c r="C1639" s="83" t="s">
        <v>19</v>
      </c>
      <c r="D1639" s="82" t="s">
        <v>967</v>
      </c>
      <c r="E1639" s="81">
        <v>43668</v>
      </c>
      <c r="F1639" s="27">
        <f t="shared" ca="1" si="25"/>
        <v>805</v>
      </c>
      <c r="G1639" s="79"/>
      <c r="H1639" s="80"/>
      <c r="I1639" s="80"/>
      <c r="J1639" s="79"/>
      <c r="K1639" s="78"/>
      <c r="L1639" s="77">
        <v>43669</v>
      </c>
      <c r="M1639" s="68"/>
      <c r="N1639" s="76" t="s">
        <v>983</v>
      </c>
      <c r="O1639" s="75" t="s">
        <v>984</v>
      </c>
      <c r="R1639" s="74"/>
    </row>
    <row r="1640" spans="2:18" ht="36" hidden="1" customHeight="1" x14ac:dyDescent="0.25">
      <c r="B1640" s="84">
        <v>1645</v>
      </c>
      <c r="C1640" s="83" t="s">
        <v>19</v>
      </c>
      <c r="D1640" s="82" t="s">
        <v>1065</v>
      </c>
      <c r="E1640" s="81">
        <v>43668</v>
      </c>
      <c r="F1640" s="27">
        <f t="shared" ca="1" si="25"/>
        <v>805</v>
      </c>
      <c r="G1640" s="79"/>
      <c r="H1640" s="80"/>
      <c r="I1640" s="80"/>
      <c r="J1640" s="79"/>
      <c r="K1640" s="78"/>
      <c r="L1640" s="77">
        <v>43668</v>
      </c>
      <c r="M1640" s="68"/>
      <c r="N1640" s="76"/>
      <c r="O1640" s="75" t="s">
        <v>1066</v>
      </c>
      <c r="R1640" s="74"/>
    </row>
    <row r="1641" spans="2:18" ht="36" hidden="1" customHeight="1" x14ac:dyDescent="0.25">
      <c r="B1641" s="84">
        <v>1645</v>
      </c>
      <c r="C1641" s="83" t="s">
        <v>19</v>
      </c>
      <c r="D1641" s="82" t="s">
        <v>1067</v>
      </c>
      <c r="E1641" s="81">
        <v>43668</v>
      </c>
      <c r="F1641" s="27">
        <f t="shared" ca="1" si="25"/>
        <v>805</v>
      </c>
      <c r="G1641" s="79"/>
      <c r="H1641" s="80"/>
      <c r="I1641" s="80"/>
      <c r="J1641" s="79"/>
      <c r="K1641" s="78"/>
      <c r="L1641" s="77">
        <v>43669</v>
      </c>
      <c r="M1641" s="68"/>
      <c r="N1641" s="76"/>
      <c r="O1641" s="75" t="s">
        <v>1068</v>
      </c>
      <c r="R1641" s="74"/>
    </row>
    <row r="1642" spans="2:18" ht="36" hidden="1" customHeight="1" x14ac:dyDescent="0.25">
      <c r="B1642" s="84">
        <v>1830</v>
      </c>
      <c r="C1642" s="83" t="s">
        <v>23</v>
      </c>
      <c r="D1642" s="82" t="s">
        <v>1638</v>
      </c>
      <c r="E1642" s="81">
        <v>43668</v>
      </c>
      <c r="F1642" s="27">
        <f t="shared" ca="1" si="25"/>
        <v>805</v>
      </c>
      <c r="G1642" s="79"/>
      <c r="H1642" s="80"/>
      <c r="I1642" s="80"/>
      <c r="J1642" s="79"/>
      <c r="K1642" s="78"/>
      <c r="L1642" s="77">
        <v>43671</v>
      </c>
      <c r="M1642" s="68"/>
      <c r="N1642" s="76" t="s">
        <v>2019</v>
      </c>
      <c r="O1642" s="75" t="s">
        <v>168</v>
      </c>
      <c r="R1642" s="74"/>
    </row>
    <row r="1643" spans="2:18" ht="36" hidden="1" customHeight="1" x14ac:dyDescent="0.25">
      <c r="B1643" s="84">
        <v>1830</v>
      </c>
      <c r="C1643" s="83" t="s">
        <v>21</v>
      </c>
      <c r="D1643" s="82" t="s">
        <v>4006</v>
      </c>
      <c r="E1643" s="81">
        <v>43668</v>
      </c>
      <c r="F1643" s="27">
        <f t="shared" ca="1" si="25"/>
        <v>805</v>
      </c>
      <c r="G1643" s="79"/>
      <c r="H1643" s="80"/>
      <c r="I1643" s="80"/>
      <c r="J1643" s="79"/>
      <c r="K1643" s="78"/>
      <c r="L1643" s="77">
        <v>43671</v>
      </c>
      <c r="M1643" s="68"/>
      <c r="N1643" s="76" t="s">
        <v>2019</v>
      </c>
      <c r="O1643" s="75" t="s">
        <v>4007</v>
      </c>
      <c r="R1643" s="74"/>
    </row>
    <row r="1644" spans="2:18" ht="36" hidden="1" customHeight="1" x14ac:dyDescent="0.25">
      <c r="B1644" s="84">
        <v>1830</v>
      </c>
      <c r="C1644" s="83" t="s">
        <v>37</v>
      </c>
      <c r="D1644" s="82" t="s">
        <v>4008</v>
      </c>
      <c r="E1644" s="81">
        <v>43668</v>
      </c>
      <c r="F1644" s="27">
        <f t="shared" ca="1" si="25"/>
        <v>805</v>
      </c>
      <c r="G1644" s="79"/>
      <c r="H1644" s="80"/>
      <c r="I1644" s="80"/>
      <c r="J1644" s="79"/>
      <c r="K1644" s="78"/>
      <c r="L1644" s="77">
        <v>43671</v>
      </c>
      <c r="M1644" s="68"/>
      <c r="N1644" s="76" t="s">
        <v>2019</v>
      </c>
      <c r="O1644" s="75" t="s">
        <v>4009</v>
      </c>
      <c r="R1644" s="74"/>
    </row>
    <row r="1645" spans="2:18" ht="36" hidden="1" customHeight="1" x14ac:dyDescent="0.25">
      <c r="B1645" s="84">
        <v>1830</v>
      </c>
      <c r="C1645" s="83" t="s">
        <v>17</v>
      </c>
      <c r="D1645" s="82" t="s">
        <v>2347</v>
      </c>
      <c r="E1645" s="81">
        <v>43668</v>
      </c>
      <c r="F1645" s="27">
        <f t="shared" ca="1" si="25"/>
        <v>805</v>
      </c>
      <c r="G1645" s="79"/>
      <c r="H1645" s="80"/>
      <c r="I1645" s="80"/>
      <c r="J1645" s="79"/>
      <c r="K1645" s="78"/>
      <c r="L1645" s="77">
        <v>43671</v>
      </c>
      <c r="M1645" s="68"/>
      <c r="N1645" s="76" t="s">
        <v>2019</v>
      </c>
      <c r="O1645" s="75" t="s">
        <v>4010</v>
      </c>
      <c r="R1645" s="74"/>
    </row>
    <row r="1646" spans="2:18" ht="36" hidden="1" customHeight="1" x14ac:dyDescent="0.25">
      <c r="B1646" s="84">
        <v>1816</v>
      </c>
      <c r="C1646" s="83" t="s">
        <v>40</v>
      </c>
      <c r="D1646" s="82" t="s">
        <v>1413</v>
      </c>
      <c r="E1646" s="81">
        <v>43671</v>
      </c>
      <c r="F1646" s="27">
        <f t="shared" ca="1" si="25"/>
        <v>802</v>
      </c>
      <c r="G1646" s="79"/>
      <c r="H1646" s="80"/>
      <c r="I1646" s="80"/>
      <c r="J1646" s="79"/>
      <c r="K1646" s="78"/>
      <c r="L1646" s="77">
        <v>43672</v>
      </c>
      <c r="M1646" s="68"/>
      <c r="N1646" s="76" t="s">
        <v>686</v>
      </c>
      <c r="O1646" s="75"/>
      <c r="R1646" s="74"/>
    </row>
    <row r="1647" spans="2:18" ht="36" hidden="1" customHeight="1" x14ac:dyDescent="0.25">
      <c r="B1647" s="84">
        <v>1824</v>
      </c>
      <c r="C1647" s="83" t="s">
        <v>1379</v>
      </c>
      <c r="D1647" s="82" t="s">
        <v>2880</v>
      </c>
      <c r="E1647" s="81">
        <v>43671</v>
      </c>
      <c r="F1647" s="27">
        <f t="shared" ca="1" si="25"/>
        <v>802</v>
      </c>
      <c r="G1647" s="79"/>
      <c r="H1647" s="80"/>
      <c r="I1647" s="80"/>
      <c r="J1647" s="79"/>
      <c r="K1647" s="78"/>
      <c r="L1647" s="77">
        <v>43679</v>
      </c>
      <c r="M1647" s="68"/>
      <c r="N1647" s="76" t="s">
        <v>185</v>
      </c>
      <c r="O1647" s="75" t="s">
        <v>2881</v>
      </c>
      <c r="R1647" s="74"/>
    </row>
    <row r="1648" spans="2:18" ht="36" hidden="1" customHeight="1" x14ac:dyDescent="0.25">
      <c r="B1648" s="84">
        <v>1641</v>
      </c>
      <c r="C1648" s="83" t="s">
        <v>33</v>
      </c>
      <c r="D1648" s="82" t="s">
        <v>691</v>
      </c>
      <c r="E1648" s="81">
        <v>43672</v>
      </c>
      <c r="F1648" s="27">
        <f t="shared" ca="1" si="25"/>
        <v>801</v>
      </c>
      <c r="G1648" s="79"/>
      <c r="H1648" s="80"/>
      <c r="I1648" s="80"/>
      <c r="J1648" s="79"/>
      <c r="K1648" s="78"/>
      <c r="L1648" s="77">
        <v>43676</v>
      </c>
      <c r="M1648" s="68"/>
      <c r="N1648" s="76" t="s">
        <v>686</v>
      </c>
      <c r="O1648" s="75" t="s">
        <v>692</v>
      </c>
      <c r="R1648" s="74"/>
    </row>
    <row r="1649" spans="2:18" ht="36" hidden="1" customHeight="1" x14ac:dyDescent="0.25">
      <c r="B1649" s="84">
        <v>1817</v>
      </c>
      <c r="C1649" s="83" t="s">
        <v>23</v>
      </c>
      <c r="D1649" s="82" t="s">
        <v>458</v>
      </c>
      <c r="E1649" s="81">
        <v>43672</v>
      </c>
      <c r="F1649" s="27">
        <f t="shared" ca="1" si="25"/>
        <v>801</v>
      </c>
      <c r="G1649" s="79"/>
      <c r="H1649" s="80"/>
      <c r="I1649" s="80"/>
      <c r="J1649" s="79"/>
      <c r="K1649" s="78"/>
      <c r="L1649" s="77">
        <v>43677</v>
      </c>
      <c r="M1649" s="68"/>
      <c r="N1649" s="76" t="s">
        <v>185</v>
      </c>
      <c r="O1649" s="75"/>
      <c r="R1649" s="74"/>
    </row>
    <row r="1650" spans="2:18" ht="36" hidden="1" customHeight="1" x14ac:dyDescent="0.25">
      <c r="B1650" s="84">
        <v>1819</v>
      </c>
      <c r="C1650" s="83" t="s">
        <v>23</v>
      </c>
      <c r="D1650" s="82" t="s">
        <v>2009</v>
      </c>
      <c r="E1650" s="81">
        <v>43675</v>
      </c>
      <c r="F1650" s="27">
        <f t="shared" ca="1" si="25"/>
        <v>798</v>
      </c>
      <c r="G1650" s="79"/>
      <c r="H1650" s="80"/>
      <c r="I1650" s="80"/>
      <c r="J1650" s="79"/>
      <c r="K1650" s="78"/>
      <c r="L1650" s="77">
        <v>43677</v>
      </c>
      <c r="M1650" s="68"/>
      <c r="N1650" s="76" t="s">
        <v>185</v>
      </c>
      <c r="O1650" s="75"/>
      <c r="R1650" s="74"/>
    </row>
    <row r="1651" spans="2:18" ht="36" hidden="1" customHeight="1" x14ac:dyDescent="0.25">
      <c r="B1651" s="84">
        <v>1823</v>
      </c>
      <c r="C1651" s="83" t="s">
        <v>23</v>
      </c>
      <c r="D1651" s="82" t="s">
        <v>2663</v>
      </c>
      <c r="E1651" s="81">
        <v>43675</v>
      </c>
      <c r="F1651" s="27">
        <f t="shared" ca="1" si="25"/>
        <v>798</v>
      </c>
      <c r="G1651" s="79"/>
      <c r="H1651" s="80"/>
      <c r="I1651" s="80"/>
      <c r="J1651" s="79"/>
      <c r="K1651" s="78"/>
      <c r="L1651" s="77">
        <v>43685</v>
      </c>
      <c r="M1651" s="68"/>
      <c r="N1651" s="76"/>
      <c r="O1651" s="75" t="s">
        <v>686</v>
      </c>
      <c r="R1651" s="74"/>
    </row>
    <row r="1652" spans="2:18" ht="36" hidden="1" customHeight="1" x14ac:dyDescent="0.25">
      <c r="B1652" s="84">
        <v>1826</v>
      </c>
      <c r="C1652" s="83" t="s">
        <v>31</v>
      </c>
      <c r="D1652" s="82" t="s">
        <v>3252</v>
      </c>
      <c r="E1652" s="81">
        <v>43675</v>
      </c>
      <c r="F1652" s="27">
        <f t="shared" ca="1" si="25"/>
        <v>798</v>
      </c>
      <c r="G1652" s="79"/>
      <c r="H1652" s="80"/>
      <c r="I1652" s="80"/>
      <c r="J1652" s="79"/>
      <c r="K1652" s="78"/>
      <c r="L1652" s="77">
        <v>43676</v>
      </c>
      <c r="M1652" s="68"/>
      <c r="N1652" s="76" t="s">
        <v>1625</v>
      </c>
      <c r="O1652" s="75"/>
      <c r="R1652" s="74"/>
    </row>
    <row r="1653" spans="2:18" ht="36" hidden="1" customHeight="1" x14ac:dyDescent="0.25">
      <c r="B1653" s="84">
        <v>1821</v>
      </c>
      <c r="C1653" s="83" t="s">
        <v>20</v>
      </c>
      <c r="D1653" s="82" t="s">
        <v>2346</v>
      </c>
      <c r="E1653" s="81">
        <v>43676</v>
      </c>
      <c r="F1653" s="27">
        <f t="shared" ca="1" si="25"/>
        <v>797</v>
      </c>
      <c r="G1653" s="79"/>
      <c r="H1653" s="80"/>
      <c r="I1653" s="80"/>
      <c r="J1653" s="79"/>
      <c r="K1653" s="78"/>
      <c r="L1653" s="77">
        <v>43675</v>
      </c>
      <c r="M1653" s="68"/>
      <c r="N1653" s="76" t="s">
        <v>1625</v>
      </c>
      <c r="O1653" s="75"/>
      <c r="R1653" s="74"/>
    </row>
    <row r="1654" spans="2:18" ht="36" hidden="1" customHeight="1" x14ac:dyDescent="0.25">
      <c r="B1654" s="84">
        <v>1828</v>
      </c>
      <c r="C1654" s="83" t="s">
        <v>31</v>
      </c>
      <c r="D1654" s="82" t="s">
        <v>3252</v>
      </c>
      <c r="E1654" s="81">
        <v>43676</v>
      </c>
      <c r="F1654" s="27">
        <f t="shared" ca="1" si="25"/>
        <v>797</v>
      </c>
      <c r="G1654" s="79"/>
      <c r="H1654" s="80"/>
      <c r="I1654" s="80"/>
      <c r="J1654" s="79"/>
      <c r="K1654" s="78"/>
      <c r="L1654" s="77">
        <v>43676</v>
      </c>
      <c r="M1654" s="68"/>
      <c r="N1654" s="76" t="s">
        <v>1625</v>
      </c>
      <c r="O1654" s="75"/>
      <c r="R1654" s="74"/>
    </row>
    <row r="1655" spans="2:18" ht="36" hidden="1" customHeight="1" x14ac:dyDescent="0.25">
      <c r="B1655" s="84">
        <v>1819</v>
      </c>
      <c r="C1655" s="83" t="s">
        <v>23</v>
      </c>
      <c r="D1655" s="82" t="s">
        <v>458</v>
      </c>
      <c r="E1655" s="81">
        <v>43677</v>
      </c>
      <c r="F1655" s="27">
        <f t="shared" ca="1" si="25"/>
        <v>796</v>
      </c>
      <c r="G1655" s="79"/>
      <c r="H1655" s="80"/>
      <c r="I1655" s="80"/>
      <c r="J1655" s="79"/>
      <c r="K1655" s="78"/>
      <c r="L1655" s="77">
        <v>43683</v>
      </c>
      <c r="M1655" s="68"/>
      <c r="N1655" s="76"/>
      <c r="O1655" s="75"/>
      <c r="R1655" s="74"/>
    </row>
    <row r="1656" spans="2:18" ht="36" hidden="1" customHeight="1" x14ac:dyDescent="0.25">
      <c r="B1656" s="84">
        <v>1829</v>
      </c>
      <c r="C1656" s="83" t="s">
        <v>11</v>
      </c>
      <c r="D1656" s="82" t="s">
        <v>3836</v>
      </c>
      <c r="E1656" s="81">
        <v>43677</v>
      </c>
      <c r="F1656" s="27">
        <f t="shared" ca="1" si="25"/>
        <v>796</v>
      </c>
      <c r="G1656" s="79"/>
      <c r="H1656" s="80"/>
      <c r="I1656" s="80"/>
      <c r="J1656" s="79"/>
      <c r="K1656" s="78"/>
      <c r="L1656" s="77">
        <v>43683</v>
      </c>
      <c r="M1656" s="68"/>
      <c r="N1656" s="76"/>
      <c r="O1656" s="75"/>
      <c r="R1656" s="74"/>
    </row>
    <row r="1657" spans="2:18" ht="36" hidden="1" customHeight="1" x14ac:dyDescent="0.25">
      <c r="B1657" s="84">
        <v>1818</v>
      </c>
      <c r="C1657" s="83" t="s">
        <v>1786</v>
      </c>
      <c r="D1657" s="82" t="s">
        <v>1787</v>
      </c>
      <c r="E1657" s="81">
        <v>43678</v>
      </c>
      <c r="F1657" s="27">
        <f t="shared" ca="1" si="25"/>
        <v>795</v>
      </c>
      <c r="G1657" s="79"/>
      <c r="H1657" s="80"/>
      <c r="I1657" s="80"/>
      <c r="J1657" s="79"/>
      <c r="K1657" s="78"/>
      <c r="L1657" s="77">
        <v>43679</v>
      </c>
      <c r="M1657" s="68"/>
      <c r="N1657" s="76" t="s">
        <v>185</v>
      </c>
      <c r="O1657" s="75"/>
      <c r="R1657" s="74"/>
    </row>
    <row r="1658" spans="2:18" ht="36" hidden="1" customHeight="1" x14ac:dyDescent="0.25">
      <c r="B1658" s="84">
        <v>1818</v>
      </c>
      <c r="C1658" s="83" t="s">
        <v>23</v>
      </c>
      <c r="D1658" s="82" t="s">
        <v>58</v>
      </c>
      <c r="E1658" s="81">
        <v>43678</v>
      </c>
      <c r="F1658" s="27">
        <f t="shared" ca="1" si="25"/>
        <v>795</v>
      </c>
      <c r="G1658" s="79"/>
      <c r="H1658" s="80"/>
      <c r="I1658" s="80"/>
      <c r="J1658" s="79"/>
      <c r="K1658" s="78"/>
      <c r="L1658" s="77">
        <v>43679</v>
      </c>
      <c r="M1658" s="68"/>
      <c r="N1658" s="76" t="s">
        <v>185</v>
      </c>
      <c r="O1658" s="75"/>
      <c r="R1658" s="74"/>
    </row>
    <row r="1659" spans="2:18" ht="36" hidden="1" customHeight="1" x14ac:dyDescent="0.25">
      <c r="B1659" s="84">
        <v>1824</v>
      </c>
      <c r="C1659" s="83" t="s">
        <v>35</v>
      </c>
      <c r="D1659" s="82" t="s">
        <v>2882</v>
      </c>
      <c r="E1659" s="81">
        <v>43678</v>
      </c>
      <c r="F1659" s="27">
        <f t="shared" ca="1" si="25"/>
        <v>795</v>
      </c>
      <c r="G1659" s="79"/>
      <c r="H1659" s="80"/>
      <c r="I1659" s="80"/>
      <c r="J1659" s="79"/>
      <c r="K1659" s="78"/>
      <c r="L1659" s="77">
        <v>43679</v>
      </c>
      <c r="M1659" s="68"/>
      <c r="N1659" s="76" t="s">
        <v>2883</v>
      </c>
      <c r="O1659" s="75" t="s">
        <v>2884</v>
      </c>
      <c r="R1659" s="74"/>
    </row>
    <row r="1660" spans="2:18" ht="36" hidden="1" customHeight="1" x14ac:dyDescent="0.25">
      <c r="B1660" s="84">
        <v>1647</v>
      </c>
      <c r="C1660" s="83" t="s">
        <v>40</v>
      </c>
      <c r="D1660" s="82" t="s">
        <v>1238</v>
      </c>
      <c r="E1660" s="81">
        <v>43679</v>
      </c>
      <c r="F1660" s="27">
        <f t="shared" ca="1" si="25"/>
        <v>794</v>
      </c>
      <c r="G1660" s="79"/>
      <c r="H1660" s="80"/>
      <c r="I1660" s="80"/>
      <c r="J1660" s="79"/>
      <c r="K1660" s="78"/>
      <c r="L1660" s="77">
        <v>43689</v>
      </c>
      <c r="M1660" s="68"/>
      <c r="N1660" s="76" t="s">
        <v>686</v>
      </c>
      <c r="O1660" s="75"/>
      <c r="R1660" s="74"/>
    </row>
    <row r="1661" spans="2:18" ht="36" hidden="1" customHeight="1" x14ac:dyDescent="0.25">
      <c r="B1661" s="84">
        <v>1818</v>
      </c>
      <c r="C1661" s="83" t="s">
        <v>23</v>
      </c>
      <c r="D1661" s="82" t="s">
        <v>458</v>
      </c>
      <c r="E1661" s="81">
        <v>43679</v>
      </c>
      <c r="F1661" s="27">
        <f t="shared" ca="1" si="25"/>
        <v>794</v>
      </c>
      <c r="G1661" s="79"/>
      <c r="H1661" s="80"/>
      <c r="I1661" s="80"/>
      <c r="J1661" s="79"/>
      <c r="K1661" s="78"/>
      <c r="L1661" s="77">
        <v>43683</v>
      </c>
      <c r="M1661" s="68"/>
      <c r="N1661" s="76"/>
      <c r="O1661" s="75"/>
      <c r="R1661" s="74"/>
    </row>
    <row r="1662" spans="2:18" ht="36" hidden="1" customHeight="1" x14ac:dyDescent="0.25">
      <c r="B1662" s="84">
        <v>1821</v>
      </c>
      <c r="C1662" s="83" t="s">
        <v>40</v>
      </c>
      <c r="D1662" s="82" t="s">
        <v>2347</v>
      </c>
      <c r="E1662" s="81">
        <v>43679</v>
      </c>
      <c r="F1662" s="27">
        <f t="shared" ca="1" si="25"/>
        <v>794</v>
      </c>
      <c r="G1662" s="79"/>
      <c r="H1662" s="80"/>
      <c r="I1662" s="80"/>
      <c r="J1662" s="79"/>
      <c r="K1662" s="78"/>
      <c r="L1662" s="77">
        <v>43686</v>
      </c>
      <c r="M1662" s="68"/>
      <c r="N1662" s="76" t="s">
        <v>688</v>
      </c>
      <c r="O1662" s="75"/>
      <c r="R1662" s="74"/>
    </row>
    <row r="1663" spans="2:18" ht="36" hidden="1" customHeight="1" x14ac:dyDescent="0.25">
      <c r="B1663" s="84">
        <v>1823</v>
      </c>
      <c r="C1663" s="83" t="s">
        <v>27</v>
      </c>
      <c r="D1663" s="82" t="s">
        <v>2664</v>
      </c>
      <c r="E1663" s="81">
        <v>43679</v>
      </c>
      <c r="F1663" s="27">
        <f t="shared" ca="1" si="25"/>
        <v>794</v>
      </c>
      <c r="G1663" s="79"/>
      <c r="H1663" s="80"/>
      <c r="I1663" s="80"/>
      <c r="J1663" s="79"/>
      <c r="K1663" s="78"/>
      <c r="L1663" s="77">
        <v>43685</v>
      </c>
      <c r="M1663" s="68"/>
      <c r="N1663" s="76"/>
      <c r="O1663" s="75" t="s">
        <v>686</v>
      </c>
      <c r="R1663" s="74"/>
    </row>
    <row r="1664" spans="2:18" ht="36" hidden="1" customHeight="1" x14ac:dyDescent="0.25">
      <c r="B1664" s="84">
        <v>1824</v>
      </c>
      <c r="C1664" s="83" t="s">
        <v>23</v>
      </c>
      <c r="D1664" s="82" t="s">
        <v>458</v>
      </c>
      <c r="E1664" s="81">
        <v>43679</v>
      </c>
      <c r="F1664" s="27">
        <f t="shared" ca="1" si="25"/>
        <v>794</v>
      </c>
      <c r="G1664" s="79"/>
      <c r="H1664" s="80"/>
      <c r="I1664" s="80"/>
      <c r="J1664" s="79"/>
      <c r="K1664" s="78"/>
      <c r="L1664" s="77">
        <v>43683</v>
      </c>
      <c r="M1664" s="68"/>
      <c r="N1664" s="76"/>
      <c r="O1664" s="75"/>
      <c r="R1664" s="74"/>
    </row>
    <row r="1665" spans="2:18" ht="36" hidden="1" customHeight="1" x14ac:dyDescent="0.25">
      <c r="B1665" s="84">
        <v>1827</v>
      </c>
      <c r="C1665" s="83" t="s">
        <v>23</v>
      </c>
      <c r="D1665" s="82" t="s">
        <v>3421</v>
      </c>
      <c r="E1665" s="81">
        <v>43679</v>
      </c>
      <c r="F1665" s="27">
        <f t="shared" ca="1" si="25"/>
        <v>794</v>
      </c>
      <c r="G1665" s="79"/>
      <c r="H1665" s="80"/>
      <c r="I1665" s="80"/>
      <c r="J1665" s="79"/>
      <c r="K1665" s="78"/>
      <c r="L1665" s="77">
        <v>43689</v>
      </c>
      <c r="M1665" s="68"/>
      <c r="N1665" s="76" t="s">
        <v>703</v>
      </c>
      <c r="O1665" s="75"/>
      <c r="R1665" s="74"/>
    </row>
    <row r="1666" spans="2:18" ht="36" hidden="1" customHeight="1" x14ac:dyDescent="0.25">
      <c r="B1666" s="84">
        <v>1827</v>
      </c>
      <c r="C1666" s="83" t="s">
        <v>40</v>
      </c>
      <c r="D1666" s="82" t="s">
        <v>3424</v>
      </c>
      <c r="E1666" s="81">
        <v>43679</v>
      </c>
      <c r="F1666" s="27">
        <f t="shared" ca="1" si="25"/>
        <v>794</v>
      </c>
      <c r="G1666" s="79"/>
      <c r="H1666" s="80"/>
      <c r="I1666" s="80"/>
      <c r="J1666" s="79"/>
      <c r="K1666" s="78"/>
      <c r="L1666" s="77">
        <v>43691</v>
      </c>
      <c r="M1666" s="68"/>
      <c r="N1666" s="76"/>
      <c r="O1666" s="75" t="s">
        <v>3425</v>
      </c>
      <c r="R1666" s="74"/>
    </row>
    <row r="1667" spans="2:18" ht="36" hidden="1" customHeight="1" x14ac:dyDescent="0.25">
      <c r="B1667" s="84">
        <v>1829</v>
      </c>
      <c r="C1667" s="83" t="s">
        <v>35</v>
      </c>
      <c r="D1667" s="82" t="s">
        <v>3835</v>
      </c>
      <c r="E1667" s="81">
        <v>43679</v>
      </c>
      <c r="F1667" s="27">
        <f t="shared" ca="1" si="25"/>
        <v>794</v>
      </c>
      <c r="G1667" s="79"/>
      <c r="H1667" s="80"/>
      <c r="I1667" s="80"/>
      <c r="J1667" s="79"/>
      <c r="K1667" s="78"/>
      <c r="L1667" s="77">
        <v>43679</v>
      </c>
      <c r="M1667" s="68"/>
      <c r="N1667" s="76" t="s">
        <v>2883</v>
      </c>
      <c r="O1667" s="75" t="s">
        <v>2884</v>
      </c>
      <c r="R1667" s="74"/>
    </row>
    <row r="1668" spans="2:18" ht="36" hidden="1" customHeight="1" x14ac:dyDescent="0.25">
      <c r="B1668" s="84">
        <v>1645</v>
      </c>
      <c r="C1668" s="83" t="s">
        <v>20</v>
      </c>
      <c r="D1668" s="82" t="s">
        <v>1069</v>
      </c>
      <c r="E1668" s="81">
        <v>43684</v>
      </c>
      <c r="F1668" s="27">
        <f t="shared" ca="1" si="25"/>
        <v>789</v>
      </c>
      <c r="G1668" s="79"/>
      <c r="H1668" s="80"/>
      <c r="I1668" s="80"/>
      <c r="J1668" s="79"/>
      <c r="K1668" s="78"/>
      <c r="L1668" s="77">
        <v>43685</v>
      </c>
      <c r="M1668" s="68"/>
      <c r="N1668" s="76" t="s">
        <v>1070</v>
      </c>
      <c r="O1668" s="75"/>
      <c r="R1668" s="74"/>
    </row>
    <row r="1669" spans="2:18" ht="36" hidden="1" customHeight="1" x14ac:dyDescent="0.25">
      <c r="B1669" s="84">
        <v>1828</v>
      </c>
      <c r="C1669" s="83" t="s">
        <v>40</v>
      </c>
      <c r="D1669" s="82" t="s">
        <v>3645</v>
      </c>
      <c r="E1669" s="81">
        <v>43684</v>
      </c>
      <c r="F1669" s="27">
        <f t="shared" ca="1" si="25"/>
        <v>789</v>
      </c>
      <c r="G1669" s="79"/>
      <c r="H1669" s="80"/>
      <c r="I1669" s="80"/>
      <c r="J1669" s="79"/>
      <c r="K1669" s="78"/>
      <c r="L1669" s="77">
        <v>43711</v>
      </c>
      <c r="M1669" s="68"/>
      <c r="N1669" s="76" t="s">
        <v>686</v>
      </c>
      <c r="O1669" s="75"/>
      <c r="R1669" s="74"/>
    </row>
    <row r="1670" spans="2:18" ht="36" hidden="1" customHeight="1" x14ac:dyDescent="0.25">
      <c r="B1670" s="84">
        <v>1816</v>
      </c>
      <c r="C1670" s="83" t="s">
        <v>38</v>
      </c>
      <c r="D1670" s="82" t="s">
        <v>1414</v>
      </c>
      <c r="E1670" s="81">
        <v>43685</v>
      </c>
      <c r="F1670" s="27">
        <f t="shared" ca="1" si="25"/>
        <v>788</v>
      </c>
      <c r="G1670" s="79"/>
      <c r="H1670" s="80"/>
      <c r="I1670" s="80"/>
      <c r="J1670" s="79"/>
      <c r="K1670" s="78"/>
      <c r="L1670" s="77">
        <v>43686</v>
      </c>
      <c r="M1670" s="68"/>
      <c r="N1670" s="76" t="s">
        <v>1415</v>
      </c>
      <c r="O1670" s="75"/>
      <c r="R1670" s="74"/>
    </row>
    <row r="1671" spans="2:18" ht="36" hidden="1" customHeight="1" x14ac:dyDescent="0.25">
      <c r="B1671" s="84">
        <v>1819</v>
      </c>
      <c r="C1671" s="83" t="s">
        <v>23</v>
      </c>
      <c r="D1671" s="82" t="s">
        <v>2010</v>
      </c>
      <c r="E1671" s="81">
        <v>43685</v>
      </c>
      <c r="F1671" s="27">
        <f t="shared" ca="1" si="25"/>
        <v>788</v>
      </c>
      <c r="G1671" s="79"/>
      <c r="H1671" s="80"/>
      <c r="I1671" s="80"/>
      <c r="J1671" s="79"/>
      <c r="K1671" s="78"/>
      <c r="L1671" s="77">
        <v>43687</v>
      </c>
      <c r="M1671" s="68"/>
      <c r="N1671" s="76" t="s">
        <v>937</v>
      </c>
      <c r="O1671" s="75"/>
      <c r="R1671" s="74"/>
    </row>
    <row r="1672" spans="2:18" ht="36" hidden="1" customHeight="1" x14ac:dyDescent="0.25">
      <c r="B1672" s="84">
        <v>1825</v>
      </c>
      <c r="C1672" s="83" t="s">
        <v>23</v>
      </c>
      <c r="D1672" s="82" t="s">
        <v>2912</v>
      </c>
      <c r="E1672" s="81">
        <v>43685</v>
      </c>
      <c r="F1672" s="27">
        <f t="shared" ca="1" si="25"/>
        <v>788</v>
      </c>
      <c r="G1672" s="79"/>
      <c r="H1672" s="80"/>
      <c r="I1672" s="80"/>
      <c r="J1672" s="79"/>
      <c r="K1672" s="78"/>
      <c r="L1672" s="77">
        <v>43685</v>
      </c>
      <c r="M1672" s="68"/>
      <c r="N1672" s="76" t="s">
        <v>3128</v>
      </c>
      <c r="O1672" s="75"/>
      <c r="R1672" s="74"/>
    </row>
    <row r="1673" spans="2:18" ht="36" hidden="1" customHeight="1" x14ac:dyDescent="0.25">
      <c r="B1673" s="84">
        <v>1827</v>
      </c>
      <c r="C1673" s="83" t="s">
        <v>40</v>
      </c>
      <c r="D1673" s="82" t="s">
        <v>3426</v>
      </c>
      <c r="E1673" s="81">
        <v>43686</v>
      </c>
      <c r="F1673" s="27">
        <f t="shared" ca="1" si="25"/>
        <v>787</v>
      </c>
      <c r="G1673" s="79"/>
      <c r="H1673" s="80"/>
      <c r="I1673" s="80"/>
      <c r="J1673" s="79"/>
      <c r="K1673" s="78"/>
      <c r="L1673" s="77">
        <v>43691</v>
      </c>
      <c r="M1673" s="68"/>
      <c r="N1673" s="76"/>
      <c r="O1673" s="75" t="s">
        <v>3427</v>
      </c>
      <c r="R1673" s="74"/>
    </row>
    <row r="1674" spans="2:18" ht="36" hidden="1" customHeight="1" x14ac:dyDescent="0.25">
      <c r="B1674" s="84">
        <v>1827</v>
      </c>
      <c r="C1674" s="83" t="s">
        <v>40</v>
      </c>
      <c r="D1674" s="82" t="s">
        <v>3428</v>
      </c>
      <c r="E1674" s="81">
        <v>43686</v>
      </c>
      <c r="F1674" s="27">
        <f t="shared" ca="1" si="25"/>
        <v>787</v>
      </c>
      <c r="G1674" s="79"/>
      <c r="H1674" s="80"/>
      <c r="I1674" s="80"/>
      <c r="J1674" s="79"/>
      <c r="K1674" s="78"/>
      <c r="L1674" s="77">
        <v>43691</v>
      </c>
      <c r="M1674" s="68"/>
      <c r="N1674" s="76"/>
      <c r="O1674" s="75" t="s">
        <v>3429</v>
      </c>
      <c r="R1674" s="74"/>
    </row>
    <row r="1675" spans="2:18" ht="36" hidden="1" customHeight="1" x14ac:dyDescent="0.25">
      <c r="B1675" s="84">
        <v>1829</v>
      </c>
      <c r="C1675" s="83" t="s">
        <v>16</v>
      </c>
      <c r="D1675" s="82" t="s">
        <v>3837</v>
      </c>
      <c r="E1675" s="81">
        <v>43686</v>
      </c>
      <c r="F1675" s="27">
        <f t="shared" ca="1" si="25"/>
        <v>787</v>
      </c>
      <c r="G1675" s="79"/>
      <c r="H1675" s="80"/>
      <c r="I1675" s="80"/>
      <c r="J1675" s="79"/>
      <c r="K1675" s="78"/>
      <c r="L1675" s="77">
        <v>43687</v>
      </c>
      <c r="M1675" s="68"/>
      <c r="N1675" s="76" t="s">
        <v>937</v>
      </c>
      <c r="O1675" s="75"/>
      <c r="R1675" s="74"/>
    </row>
    <row r="1676" spans="2:18" ht="36" hidden="1" customHeight="1" x14ac:dyDescent="0.25">
      <c r="B1676" s="84">
        <v>1830</v>
      </c>
      <c r="C1676" s="83" t="s">
        <v>15</v>
      </c>
      <c r="D1676" s="82" t="s">
        <v>4011</v>
      </c>
      <c r="E1676" s="81">
        <v>43686</v>
      </c>
      <c r="F1676" s="27">
        <f t="shared" ca="1" si="25"/>
        <v>787</v>
      </c>
      <c r="G1676" s="79"/>
      <c r="H1676" s="80"/>
      <c r="I1676" s="80"/>
      <c r="J1676" s="79"/>
      <c r="K1676" s="78"/>
      <c r="L1676" s="77">
        <v>43689</v>
      </c>
      <c r="M1676" s="68"/>
      <c r="N1676" s="76"/>
      <c r="O1676" s="75" t="s">
        <v>4012</v>
      </c>
      <c r="R1676" s="74"/>
    </row>
    <row r="1677" spans="2:18" ht="36" hidden="1" customHeight="1" x14ac:dyDescent="0.25">
      <c r="B1677" s="84">
        <v>1830</v>
      </c>
      <c r="C1677" s="83" t="s">
        <v>23</v>
      </c>
      <c r="D1677" s="82" t="s">
        <v>4013</v>
      </c>
      <c r="E1677" s="81">
        <v>43686</v>
      </c>
      <c r="F1677" s="27">
        <f t="shared" ca="1" si="25"/>
        <v>787</v>
      </c>
      <c r="G1677" s="79"/>
      <c r="H1677" s="80"/>
      <c r="I1677" s="80"/>
      <c r="J1677" s="79"/>
      <c r="K1677" s="78"/>
      <c r="L1677" s="77">
        <v>43689</v>
      </c>
      <c r="M1677" s="68"/>
      <c r="N1677" s="76" t="s">
        <v>703</v>
      </c>
      <c r="O1677" s="75"/>
      <c r="R1677" s="74"/>
    </row>
    <row r="1678" spans="2:18" ht="36" hidden="1" customHeight="1" x14ac:dyDescent="0.25">
      <c r="B1678" s="84">
        <v>1819</v>
      </c>
      <c r="C1678" s="83" t="s">
        <v>11</v>
      </c>
      <c r="D1678" s="82" t="s">
        <v>2011</v>
      </c>
      <c r="E1678" s="81">
        <v>43689</v>
      </c>
      <c r="F1678" s="27">
        <f t="shared" ca="1" si="25"/>
        <v>784</v>
      </c>
      <c r="G1678" s="79"/>
      <c r="H1678" s="80"/>
      <c r="I1678" s="80"/>
      <c r="J1678" s="79"/>
      <c r="K1678" s="78"/>
      <c r="L1678" s="77">
        <v>43696</v>
      </c>
      <c r="M1678" s="68"/>
      <c r="N1678" s="76"/>
      <c r="O1678" s="75"/>
      <c r="R1678" s="74"/>
    </row>
    <row r="1679" spans="2:18" ht="36" hidden="1" customHeight="1" x14ac:dyDescent="0.25">
      <c r="B1679" s="84">
        <v>1647</v>
      </c>
      <c r="C1679" s="83" t="s">
        <v>30</v>
      </c>
      <c r="D1679" s="82" t="s">
        <v>1239</v>
      </c>
      <c r="E1679" s="81">
        <v>43690</v>
      </c>
      <c r="F1679" s="27">
        <f t="shared" ca="1" si="25"/>
        <v>783</v>
      </c>
      <c r="G1679" s="79"/>
      <c r="H1679" s="80"/>
      <c r="I1679" s="80"/>
      <c r="J1679" s="79"/>
      <c r="K1679" s="78"/>
      <c r="L1679" s="77">
        <v>43698</v>
      </c>
      <c r="M1679" s="68"/>
      <c r="N1679" s="76"/>
      <c r="O1679" s="75"/>
      <c r="R1679" s="74"/>
    </row>
    <row r="1680" spans="2:18" ht="36" hidden="1" customHeight="1" x14ac:dyDescent="0.25">
      <c r="B1680" s="84">
        <v>1647</v>
      </c>
      <c r="C1680" s="83" t="s">
        <v>12</v>
      </c>
      <c r="D1680" s="82" t="s">
        <v>1240</v>
      </c>
      <c r="E1680" s="81">
        <v>43690</v>
      </c>
      <c r="F1680" s="27">
        <f t="shared" ref="F1680:F1743" ca="1" si="26">IF(E1680&lt;&gt;"",TODAY()-E1680,"")</f>
        <v>783</v>
      </c>
      <c r="G1680" s="79"/>
      <c r="H1680" s="80"/>
      <c r="I1680" s="80"/>
      <c r="J1680" s="79"/>
      <c r="K1680" s="78"/>
      <c r="L1680" s="77">
        <v>43703</v>
      </c>
      <c r="M1680" s="68"/>
      <c r="N1680" s="76" t="s">
        <v>1241</v>
      </c>
      <c r="O1680" s="75"/>
      <c r="R1680" s="74"/>
    </row>
    <row r="1681" spans="2:18" ht="36" hidden="1" customHeight="1" x14ac:dyDescent="0.25">
      <c r="B1681" s="84">
        <v>1819</v>
      </c>
      <c r="C1681" s="83" t="s">
        <v>19</v>
      </c>
      <c r="D1681" s="82" t="s">
        <v>2012</v>
      </c>
      <c r="E1681" s="81">
        <v>43690</v>
      </c>
      <c r="F1681" s="27">
        <f t="shared" ca="1" si="26"/>
        <v>783</v>
      </c>
      <c r="G1681" s="79"/>
      <c r="H1681" s="80"/>
      <c r="I1681" s="80"/>
      <c r="J1681" s="79"/>
      <c r="K1681" s="78"/>
      <c r="L1681" s="77">
        <v>43696</v>
      </c>
      <c r="M1681" s="68"/>
      <c r="N1681" s="76"/>
      <c r="O1681" s="75"/>
      <c r="R1681" s="74"/>
    </row>
    <row r="1682" spans="2:18" ht="36" hidden="1" customHeight="1" x14ac:dyDescent="0.25">
      <c r="B1682" s="84">
        <v>1819</v>
      </c>
      <c r="C1682" s="83" t="s">
        <v>17</v>
      </c>
      <c r="D1682" s="82" t="s">
        <v>2013</v>
      </c>
      <c r="E1682" s="81">
        <v>43690</v>
      </c>
      <c r="F1682" s="27">
        <f t="shared" ca="1" si="26"/>
        <v>783</v>
      </c>
      <c r="G1682" s="79"/>
      <c r="H1682" s="80"/>
      <c r="I1682" s="80"/>
      <c r="J1682" s="79"/>
      <c r="K1682" s="78"/>
      <c r="L1682" s="77">
        <v>43696</v>
      </c>
      <c r="M1682" s="68"/>
      <c r="N1682" s="76"/>
      <c r="O1682" s="75"/>
      <c r="R1682" s="74"/>
    </row>
    <row r="1683" spans="2:18" ht="36" hidden="1" customHeight="1" x14ac:dyDescent="0.25">
      <c r="B1683" s="84">
        <v>1819</v>
      </c>
      <c r="C1683" s="83" t="s">
        <v>40</v>
      </c>
      <c r="D1683" s="82" t="s">
        <v>2016</v>
      </c>
      <c r="E1683" s="81">
        <v>43690</v>
      </c>
      <c r="F1683" s="27">
        <f t="shared" ca="1" si="26"/>
        <v>783</v>
      </c>
      <c r="G1683" s="79"/>
      <c r="H1683" s="80"/>
      <c r="I1683" s="80"/>
      <c r="J1683" s="79"/>
      <c r="K1683" s="78"/>
      <c r="L1683" s="77">
        <v>43719</v>
      </c>
      <c r="M1683" s="68"/>
      <c r="N1683" s="76" t="s">
        <v>2017</v>
      </c>
      <c r="O1683" s="75"/>
      <c r="R1683" s="74"/>
    </row>
    <row r="1684" spans="2:18" ht="36" hidden="1" customHeight="1" x14ac:dyDescent="0.25">
      <c r="B1684" s="84">
        <v>1647</v>
      </c>
      <c r="C1684" s="83" t="s">
        <v>40</v>
      </c>
      <c r="D1684" s="82" t="s">
        <v>1238</v>
      </c>
      <c r="E1684" s="81">
        <v>43691</v>
      </c>
      <c r="F1684" s="27">
        <f t="shared" ca="1" si="26"/>
        <v>782</v>
      </c>
      <c r="G1684" s="79"/>
      <c r="H1684" s="80"/>
      <c r="I1684" s="80"/>
      <c r="J1684" s="79"/>
      <c r="K1684" s="78"/>
      <c r="L1684" s="77">
        <v>43698</v>
      </c>
      <c r="M1684" s="68"/>
      <c r="N1684" s="76"/>
      <c r="O1684" s="75"/>
      <c r="R1684" s="74"/>
    </row>
    <row r="1685" spans="2:18" ht="36" hidden="1" customHeight="1" x14ac:dyDescent="0.25">
      <c r="B1685" s="84">
        <v>1642</v>
      </c>
      <c r="C1685" s="83" t="s">
        <v>31</v>
      </c>
      <c r="D1685" s="82" t="s">
        <v>824</v>
      </c>
      <c r="E1685" s="81">
        <v>43692</v>
      </c>
      <c r="F1685" s="27">
        <f t="shared" ca="1" si="26"/>
        <v>781</v>
      </c>
      <c r="G1685" s="79"/>
      <c r="H1685" s="80"/>
      <c r="I1685" s="80"/>
      <c r="J1685" s="79"/>
      <c r="K1685" s="78"/>
      <c r="L1685" s="77">
        <v>43712</v>
      </c>
      <c r="M1685" s="68"/>
      <c r="N1685" s="76"/>
      <c r="O1685" s="75" t="s">
        <v>825</v>
      </c>
      <c r="R1685" s="74"/>
    </row>
    <row r="1686" spans="2:18" ht="36" hidden="1" customHeight="1" x14ac:dyDescent="0.25">
      <c r="B1686" s="84">
        <v>1644</v>
      </c>
      <c r="C1686" s="83" t="s">
        <v>19</v>
      </c>
      <c r="D1686" s="82" t="s">
        <v>967</v>
      </c>
      <c r="E1686" s="81">
        <v>43692</v>
      </c>
      <c r="F1686" s="27">
        <f t="shared" ca="1" si="26"/>
        <v>781</v>
      </c>
      <c r="G1686" s="79"/>
      <c r="H1686" s="80"/>
      <c r="I1686" s="80"/>
      <c r="J1686" s="79"/>
      <c r="K1686" s="78"/>
      <c r="L1686" s="77">
        <v>43734</v>
      </c>
      <c r="M1686" s="68"/>
      <c r="N1686" s="76"/>
      <c r="O1686" s="75"/>
      <c r="R1686" s="74"/>
    </row>
    <row r="1687" spans="2:18" ht="36" hidden="1" customHeight="1" x14ac:dyDescent="0.25">
      <c r="B1687" s="84">
        <v>1828</v>
      </c>
      <c r="C1687" s="83" t="s">
        <v>11</v>
      </c>
      <c r="D1687" s="82" t="s">
        <v>3646</v>
      </c>
      <c r="E1687" s="81">
        <v>43693</v>
      </c>
      <c r="F1687" s="27">
        <f t="shared" ca="1" si="26"/>
        <v>780</v>
      </c>
      <c r="G1687" s="79"/>
      <c r="H1687" s="80"/>
      <c r="I1687" s="80"/>
      <c r="J1687" s="79"/>
      <c r="K1687" s="78"/>
      <c r="L1687" s="77">
        <v>43711</v>
      </c>
      <c r="M1687" s="68"/>
      <c r="N1687" s="76" t="s">
        <v>686</v>
      </c>
      <c r="O1687" s="75"/>
      <c r="R1687" s="74"/>
    </row>
    <row r="1688" spans="2:18" ht="36" hidden="1" customHeight="1" x14ac:dyDescent="0.25">
      <c r="B1688" s="84">
        <v>1828</v>
      </c>
      <c r="C1688" s="83" t="s">
        <v>23</v>
      </c>
      <c r="D1688" s="82" t="s">
        <v>3647</v>
      </c>
      <c r="E1688" s="81">
        <v>43693</v>
      </c>
      <c r="F1688" s="27">
        <f t="shared" ca="1" si="26"/>
        <v>780</v>
      </c>
      <c r="G1688" s="79"/>
      <c r="H1688" s="80"/>
      <c r="I1688" s="80"/>
      <c r="J1688" s="79"/>
      <c r="K1688" s="78"/>
      <c r="L1688" s="77">
        <v>43711</v>
      </c>
      <c r="M1688" s="68"/>
      <c r="N1688" s="76" t="s">
        <v>686</v>
      </c>
      <c r="O1688" s="75"/>
      <c r="R1688" s="74"/>
    </row>
    <row r="1689" spans="2:18" ht="36" hidden="1" customHeight="1" x14ac:dyDescent="0.25">
      <c r="B1689" s="84">
        <v>1829</v>
      </c>
      <c r="C1689" s="83" t="s">
        <v>40</v>
      </c>
      <c r="D1689" s="82" t="s">
        <v>3839</v>
      </c>
      <c r="E1689" s="81">
        <v>43693</v>
      </c>
      <c r="F1689" s="27">
        <f t="shared" ca="1" si="26"/>
        <v>780</v>
      </c>
      <c r="G1689" s="79"/>
      <c r="H1689" s="80"/>
      <c r="I1689" s="80"/>
      <c r="J1689" s="79"/>
      <c r="K1689" s="78"/>
      <c r="L1689" s="77">
        <v>43730</v>
      </c>
      <c r="M1689" s="68"/>
      <c r="N1689" s="76"/>
      <c r="O1689" s="75"/>
      <c r="R1689" s="74"/>
    </row>
    <row r="1690" spans="2:18" ht="36" hidden="1" customHeight="1" x14ac:dyDescent="0.25">
      <c r="B1690" s="84">
        <v>1829</v>
      </c>
      <c r="C1690" s="83" t="s">
        <v>16</v>
      </c>
      <c r="D1690" s="82" t="s">
        <v>3840</v>
      </c>
      <c r="E1690" s="81">
        <v>43693</v>
      </c>
      <c r="F1690" s="27">
        <f t="shared" ca="1" si="26"/>
        <v>780</v>
      </c>
      <c r="G1690" s="79"/>
      <c r="H1690" s="80"/>
      <c r="I1690" s="80"/>
      <c r="J1690" s="79"/>
      <c r="K1690" s="78"/>
      <c r="L1690" s="77">
        <v>43730</v>
      </c>
      <c r="M1690" s="68"/>
      <c r="N1690" s="76" t="s">
        <v>1074</v>
      </c>
      <c r="O1690" s="75"/>
      <c r="R1690" s="74"/>
    </row>
    <row r="1691" spans="2:18" ht="36" hidden="1" customHeight="1" x14ac:dyDescent="0.25">
      <c r="B1691" s="84">
        <v>1829</v>
      </c>
      <c r="C1691" s="83" t="s">
        <v>11</v>
      </c>
      <c r="D1691" s="82" t="s">
        <v>3841</v>
      </c>
      <c r="E1691" s="81">
        <v>43693</v>
      </c>
      <c r="F1691" s="27">
        <f t="shared" ca="1" si="26"/>
        <v>780</v>
      </c>
      <c r="G1691" s="79"/>
      <c r="H1691" s="80"/>
      <c r="I1691" s="80"/>
      <c r="J1691" s="79"/>
      <c r="K1691" s="78"/>
      <c r="L1691" s="77">
        <v>43730</v>
      </c>
      <c r="M1691" s="68"/>
      <c r="N1691" s="76"/>
      <c r="O1691" s="75"/>
      <c r="R1691" s="74"/>
    </row>
    <row r="1692" spans="2:18" ht="36" hidden="1" customHeight="1" x14ac:dyDescent="0.25">
      <c r="B1692" s="84">
        <v>1816</v>
      </c>
      <c r="C1692" s="83" t="s">
        <v>11</v>
      </c>
      <c r="D1692" s="82" t="s">
        <v>1416</v>
      </c>
      <c r="E1692" s="81">
        <v>43696</v>
      </c>
      <c r="F1692" s="27">
        <f t="shared" ca="1" si="26"/>
        <v>777</v>
      </c>
      <c r="G1692" s="79"/>
      <c r="H1692" s="80"/>
      <c r="I1692" s="80"/>
      <c r="J1692" s="79"/>
      <c r="K1692" s="78"/>
      <c r="L1692" s="77">
        <v>43698</v>
      </c>
      <c r="M1692" s="68"/>
      <c r="N1692" s="76"/>
      <c r="O1692" s="75"/>
      <c r="R1692" s="74"/>
    </row>
    <row r="1693" spans="2:18" ht="36" hidden="1" customHeight="1" x14ac:dyDescent="0.25">
      <c r="B1693" s="84">
        <v>1825</v>
      </c>
      <c r="C1693" s="83" t="s">
        <v>40</v>
      </c>
      <c r="D1693" s="82" t="s">
        <v>3133</v>
      </c>
      <c r="E1693" s="81">
        <v>43696</v>
      </c>
      <c r="F1693" s="27">
        <f t="shared" ca="1" si="26"/>
        <v>777</v>
      </c>
      <c r="G1693" s="79"/>
      <c r="H1693" s="80"/>
      <c r="I1693" s="80"/>
      <c r="J1693" s="79"/>
      <c r="K1693" s="78"/>
      <c r="L1693" s="77">
        <v>43720</v>
      </c>
      <c r="M1693" s="68"/>
      <c r="N1693" s="76"/>
      <c r="O1693" s="75" t="s">
        <v>3134</v>
      </c>
      <c r="R1693" s="74"/>
    </row>
    <row r="1694" spans="2:18" ht="36" hidden="1" customHeight="1" x14ac:dyDescent="0.25">
      <c r="B1694" s="84">
        <v>1826</v>
      </c>
      <c r="C1694" s="83" t="s">
        <v>23</v>
      </c>
      <c r="D1694" s="82" t="s">
        <v>3257</v>
      </c>
      <c r="E1694" s="81">
        <v>43696</v>
      </c>
      <c r="F1694" s="27">
        <f t="shared" ca="1" si="26"/>
        <v>777</v>
      </c>
      <c r="G1694" s="79"/>
      <c r="H1694" s="80"/>
      <c r="I1694" s="80"/>
      <c r="J1694" s="79"/>
      <c r="K1694" s="78"/>
      <c r="L1694" s="77">
        <v>43714</v>
      </c>
      <c r="M1694" s="68"/>
      <c r="N1694" s="76" t="s">
        <v>1789</v>
      </c>
      <c r="O1694" s="75"/>
      <c r="R1694" s="74"/>
    </row>
    <row r="1695" spans="2:18" ht="36" hidden="1" customHeight="1" x14ac:dyDescent="0.25">
      <c r="B1695" s="84">
        <v>1823</v>
      </c>
      <c r="C1695" s="83" t="s">
        <v>23</v>
      </c>
      <c r="D1695" s="82" t="s">
        <v>2665</v>
      </c>
      <c r="E1695" s="81">
        <v>43697</v>
      </c>
      <c r="F1695" s="27">
        <f t="shared" ca="1" si="26"/>
        <v>776</v>
      </c>
      <c r="G1695" s="79"/>
      <c r="H1695" s="80"/>
      <c r="I1695" s="80"/>
      <c r="J1695" s="79"/>
      <c r="K1695" s="78"/>
      <c r="L1695" s="77">
        <v>43735</v>
      </c>
      <c r="M1695" s="68"/>
      <c r="N1695" s="76" t="s">
        <v>1625</v>
      </c>
      <c r="O1695" s="75" t="s">
        <v>154</v>
      </c>
      <c r="R1695" s="74"/>
    </row>
    <row r="1696" spans="2:18" ht="36" hidden="1" customHeight="1" x14ac:dyDescent="0.25">
      <c r="B1696" s="84">
        <v>1829</v>
      </c>
      <c r="C1696" s="83" t="s">
        <v>23</v>
      </c>
      <c r="D1696" s="82" t="s">
        <v>3842</v>
      </c>
      <c r="E1696" s="81">
        <v>43697</v>
      </c>
      <c r="F1696" s="27">
        <f t="shared" ca="1" si="26"/>
        <v>776</v>
      </c>
      <c r="G1696" s="79"/>
      <c r="H1696" s="80"/>
      <c r="I1696" s="80"/>
      <c r="J1696" s="79"/>
      <c r="K1696" s="78"/>
      <c r="L1696" s="77">
        <v>43730</v>
      </c>
      <c r="M1696" s="68"/>
      <c r="N1696" s="76"/>
      <c r="O1696" s="75"/>
      <c r="R1696" s="74"/>
    </row>
    <row r="1697" spans="2:18" ht="36" hidden="1" customHeight="1" x14ac:dyDescent="0.25">
      <c r="B1697" s="84">
        <v>1646</v>
      </c>
      <c r="C1697" s="83" t="s">
        <v>39</v>
      </c>
      <c r="D1697" s="82" t="s">
        <v>1151</v>
      </c>
      <c r="E1697" s="81">
        <v>43698</v>
      </c>
      <c r="F1697" s="27">
        <f t="shared" ca="1" si="26"/>
        <v>775</v>
      </c>
      <c r="G1697" s="79"/>
      <c r="H1697" s="80"/>
      <c r="I1697" s="80"/>
      <c r="J1697" s="79"/>
      <c r="K1697" s="78"/>
      <c r="L1697" s="77">
        <v>43698</v>
      </c>
      <c r="M1697" s="68"/>
      <c r="N1697" s="76"/>
      <c r="O1697" s="75"/>
      <c r="R1697" s="74"/>
    </row>
    <row r="1698" spans="2:18" ht="36" hidden="1" customHeight="1" x14ac:dyDescent="0.25">
      <c r="B1698" s="84">
        <v>1646</v>
      </c>
      <c r="C1698" s="83" t="s">
        <v>40</v>
      </c>
      <c r="D1698" s="82" t="s">
        <v>1152</v>
      </c>
      <c r="E1698" s="81">
        <v>43698</v>
      </c>
      <c r="F1698" s="27">
        <f t="shared" ca="1" si="26"/>
        <v>775</v>
      </c>
      <c r="G1698" s="79"/>
      <c r="H1698" s="80"/>
      <c r="I1698" s="80"/>
      <c r="J1698" s="79"/>
      <c r="K1698" s="78"/>
      <c r="L1698" s="77">
        <v>43698</v>
      </c>
      <c r="M1698" s="68"/>
      <c r="N1698" s="76"/>
      <c r="O1698" s="75"/>
      <c r="R1698" s="74"/>
    </row>
    <row r="1699" spans="2:18" ht="36" hidden="1" customHeight="1" x14ac:dyDescent="0.25">
      <c r="B1699" s="84">
        <v>1819</v>
      </c>
      <c r="C1699" s="83" t="s">
        <v>40</v>
      </c>
      <c r="D1699" s="82" t="s">
        <v>2018</v>
      </c>
      <c r="E1699" s="81">
        <v>43698</v>
      </c>
      <c r="F1699" s="27">
        <f t="shared" ca="1" si="26"/>
        <v>775</v>
      </c>
      <c r="G1699" s="79"/>
      <c r="H1699" s="80"/>
      <c r="I1699" s="80"/>
      <c r="J1699" s="79"/>
      <c r="K1699" s="78"/>
      <c r="L1699" s="77">
        <v>43719</v>
      </c>
      <c r="M1699" s="68"/>
      <c r="N1699" s="76" t="s">
        <v>2017</v>
      </c>
      <c r="O1699" s="75"/>
      <c r="R1699" s="74"/>
    </row>
    <row r="1700" spans="2:18" ht="36" hidden="1" customHeight="1" x14ac:dyDescent="0.25">
      <c r="B1700" s="84">
        <v>1828</v>
      </c>
      <c r="C1700" s="83" t="s">
        <v>19</v>
      </c>
      <c r="D1700" s="82" t="s">
        <v>3648</v>
      </c>
      <c r="E1700" s="81">
        <v>43699</v>
      </c>
      <c r="F1700" s="27">
        <f t="shared" ca="1" si="26"/>
        <v>774</v>
      </c>
      <c r="G1700" s="79"/>
      <c r="H1700" s="80"/>
      <c r="I1700" s="80"/>
      <c r="J1700" s="79"/>
      <c r="K1700" s="78"/>
      <c r="L1700" s="77">
        <v>43711</v>
      </c>
      <c r="M1700" s="68"/>
      <c r="N1700" s="76" t="s">
        <v>686</v>
      </c>
      <c r="O1700" s="75"/>
      <c r="R1700" s="74"/>
    </row>
    <row r="1701" spans="2:18" ht="36" hidden="1" customHeight="1" x14ac:dyDescent="0.25">
      <c r="B1701" s="84">
        <v>1818</v>
      </c>
      <c r="C1701" s="83" t="s">
        <v>20</v>
      </c>
      <c r="D1701" s="82" t="s">
        <v>1790</v>
      </c>
      <c r="E1701" s="81">
        <v>43700</v>
      </c>
      <c r="F1701" s="27">
        <f t="shared" ca="1" si="26"/>
        <v>773</v>
      </c>
      <c r="G1701" s="79"/>
      <c r="H1701" s="80"/>
      <c r="I1701" s="80"/>
      <c r="J1701" s="79"/>
      <c r="K1701" s="78"/>
      <c r="L1701" s="77">
        <v>43717</v>
      </c>
      <c r="M1701" s="68"/>
      <c r="N1701" s="76"/>
      <c r="O1701" s="75" t="s">
        <v>1791</v>
      </c>
      <c r="R1701" s="74"/>
    </row>
    <row r="1702" spans="2:18" ht="36" hidden="1" customHeight="1" x14ac:dyDescent="0.25">
      <c r="B1702" s="84">
        <v>1820</v>
      </c>
      <c r="C1702" s="83" t="s">
        <v>23</v>
      </c>
      <c r="D1702" s="82" t="s">
        <v>2181</v>
      </c>
      <c r="E1702" s="81">
        <v>43704</v>
      </c>
      <c r="F1702" s="27">
        <f t="shared" ca="1" si="26"/>
        <v>769</v>
      </c>
      <c r="G1702" s="79"/>
      <c r="H1702" s="80"/>
      <c r="I1702" s="80"/>
      <c r="J1702" s="79"/>
      <c r="K1702" s="78"/>
      <c r="L1702" s="77">
        <v>43720</v>
      </c>
      <c r="M1702" s="68"/>
      <c r="N1702" s="76" t="s">
        <v>2182</v>
      </c>
      <c r="O1702" s="75"/>
      <c r="R1702" s="74"/>
    </row>
    <row r="1703" spans="2:18" ht="36" hidden="1" customHeight="1" x14ac:dyDescent="0.25">
      <c r="B1703" s="84">
        <v>1642</v>
      </c>
      <c r="C1703" s="83" t="s">
        <v>40</v>
      </c>
      <c r="D1703" s="82" t="s">
        <v>826</v>
      </c>
      <c r="E1703" s="81">
        <v>43705</v>
      </c>
      <c r="F1703" s="27">
        <f t="shared" ca="1" si="26"/>
        <v>768</v>
      </c>
      <c r="G1703" s="79"/>
      <c r="H1703" s="80"/>
      <c r="I1703" s="80"/>
      <c r="J1703" s="79"/>
      <c r="K1703" s="78"/>
      <c r="L1703" s="77">
        <v>43712</v>
      </c>
      <c r="M1703" s="68"/>
      <c r="N1703" s="76"/>
      <c r="O1703" s="75" t="s">
        <v>827</v>
      </c>
      <c r="R1703" s="74"/>
    </row>
    <row r="1704" spans="2:18" ht="36" hidden="1" customHeight="1" x14ac:dyDescent="0.25">
      <c r="B1704" s="84">
        <v>1820</v>
      </c>
      <c r="C1704" s="83" t="s">
        <v>11</v>
      </c>
      <c r="D1704" s="82" t="s">
        <v>2183</v>
      </c>
      <c r="E1704" s="81">
        <v>43705</v>
      </c>
      <c r="F1704" s="27">
        <f t="shared" ca="1" si="26"/>
        <v>768</v>
      </c>
      <c r="G1704" s="79"/>
      <c r="H1704" s="80"/>
      <c r="I1704" s="80"/>
      <c r="J1704" s="79"/>
      <c r="K1704" s="78"/>
      <c r="L1704" s="77">
        <v>43720</v>
      </c>
      <c r="M1704" s="68"/>
      <c r="N1704" s="76" t="s">
        <v>2182</v>
      </c>
      <c r="O1704" s="75"/>
      <c r="R1704" s="74"/>
    </row>
    <row r="1705" spans="2:18" ht="36" hidden="1" customHeight="1" x14ac:dyDescent="0.25">
      <c r="B1705" s="84">
        <v>1646</v>
      </c>
      <c r="C1705" s="83" t="s">
        <v>31</v>
      </c>
      <c r="D1705" s="82" t="s">
        <v>1153</v>
      </c>
      <c r="E1705" s="81">
        <v>43706</v>
      </c>
      <c r="F1705" s="27">
        <f t="shared" ca="1" si="26"/>
        <v>767</v>
      </c>
      <c r="G1705" s="79"/>
      <c r="H1705" s="80"/>
      <c r="I1705" s="80"/>
      <c r="J1705" s="79"/>
      <c r="K1705" s="78"/>
      <c r="L1705" s="77">
        <v>43713</v>
      </c>
      <c r="M1705" s="68"/>
      <c r="N1705" s="76" t="s">
        <v>686</v>
      </c>
      <c r="O1705" s="75" t="s">
        <v>61</v>
      </c>
      <c r="R1705" s="74"/>
    </row>
    <row r="1706" spans="2:18" ht="36" hidden="1" customHeight="1" x14ac:dyDescent="0.25">
      <c r="B1706" s="84">
        <v>1819</v>
      </c>
      <c r="C1706" s="83" t="s">
        <v>11</v>
      </c>
      <c r="D1706" s="82" t="s">
        <v>2014</v>
      </c>
      <c r="E1706" s="81">
        <v>43706</v>
      </c>
      <c r="F1706" s="27">
        <f t="shared" ca="1" si="26"/>
        <v>767</v>
      </c>
      <c r="G1706" s="79"/>
      <c r="H1706" s="80"/>
      <c r="I1706" s="80"/>
      <c r="J1706" s="79"/>
      <c r="K1706" s="78"/>
      <c r="L1706" s="77">
        <v>43712</v>
      </c>
      <c r="M1706" s="68"/>
      <c r="N1706" s="76" t="s">
        <v>2015</v>
      </c>
      <c r="O1706" s="75"/>
      <c r="R1706" s="74"/>
    </row>
    <row r="1707" spans="2:18" ht="36" hidden="1" customHeight="1" x14ac:dyDescent="0.25">
      <c r="B1707" s="84">
        <v>1829</v>
      </c>
      <c r="C1707" s="83" t="s">
        <v>9</v>
      </c>
      <c r="D1707" s="82" t="s">
        <v>3838</v>
      </c>
      <c r="E1707" s="81">
        <v>43706</v>
      </c>
      <c r="F1707" s="27">
        <f t="shared" ca="1" si="26"/>
        <v>767</v>
      </c>
      <c r="G1707" s="79"/>
      <c r="H1707" s="80"/>
      <c r="I1707" s="80"/>
      <c r="J1707" s="79"/>
      <c r="K1707" s="78"/>
      <c r="L1707" s="77">
        <v>43714</v>
      </c>
      <c r="M1707" s="68"/>
      <c r="N1707" s="76" t="s">
        <v>185</v>
      </c>
      <c r="O1707" s="75"/>
      <c r="R1707" s="74"/>
    </row>
    <row r="1708" spans="2:18" ht="36" hidden="1" customHeight="1" x14ac:dyDescent="0.25">
      <c r="B1708" s="84">
        <v>1825</v>
      </c>
      <c r="C1708" s="83" t="s">
        <v>37</v>
      </c>
      <c r="D1708" s="82" t="s">
        <v>3129</v>
      </c>
      <c r="E1708" s="81">
        <v>43707</v>
      </c>
      <c r="F1708" s="27">
        <f t="shared" ca="1" si="26"/>
        <v>766</v>
      </c>
      <c r="G1708" s="79" t="s">
        <v>3130</v>
      </c>
      <c r="H1708" s="80"/>
      <c r="I1708" s="80"/>
      <c r="J1708" s="79"/>
      <c r="K1708" s="78"/>
      <c r="L1708" s="77">
        <v>43708</v>
      </c>
      <c r="M1708" s="68"/>
      <c r="N1708" s="76" t="s">
        <v>3131</v>
      </c>
      <c r="O1708" s="75"/>
      <c r="R1708" s="74"/>
    </row>
    <row r="1709" spans="2:18" ht="36" hidden="1" customHeight="1" x14ac:dyDescent="0.25">
      <c r="B1709" s="84">
        <v>1817</v>
      </c>
      <c r="C1709" s="83" t="s">
        <v>40</v>
      </c>
      <c r="D1709" s="82" t="s">
        <v>1622</v>
      </c>
      <c r="E1709" s="81">
        <v>43709</v>
      </c>
      <c r="F1709" s="27">
        <f t="shared" ca="1" si="26"/>
        <v>764</v>
      </c>
      <c r="G1709" s="79"/>
      <c r="H1709" s="80"/>
      <c r="I1709" s="80"/>
      <c r="J1709" s="79"/>
      <c r="K1709" s="78"/>
      <c r="L1709" s="77">
        <v>43726</v>
      </c>
      <c r="M1709" s="68"/>
      <c r="N1709" s="76" t="s">
        <v>1620</v>
      </c>
      <c r="O1709" s="75"/>
      <c r="R1709" s="74"/>
    </row>
    <row r="1710" spans="2:18" ht="36" hidden="1" customHeight="1" x14ac:dyDescent="0.25">
      <c r="B1710" s="84">
        <v>1819</v>
      </c>
      <c r="C1710" s="83" t="s">
        <v>40</v>
      </c>
      <c r="D1710" s="82" t="s">
        <v>1622</v>
      </c>
      <c r="E1710" s="81">
        <v>43709</v>
      </c>
      <c r="F1710" s="27">
        <f t="shared" ca="1" si="26"/>
        <v>764</v>
      </c>
      <c r="G1710" s="79"/>
      <c r="H1710" s="80"/>
      <c r="I1710" s="80"/>
      <c r="J1710" s="79"/>
      <c r="K1710" s="78"/>
      <c r="L1710" s="77">
        <v>43719</v>
      </c>
      <c r="M1710" s="68"/>
      <c r="N1710" s="76" t="s">
        <v>2019</v>
      </c>
      <c r="O1710" s="75"/>
      <c r="R1710" s="74"/>
    </row>
    <row r="1711" spans="2:18" ht="36" hidden="1" customHeight="1" x14ac:dyDescent="0.25">
      <c r="B1711" s="84">
        <v>1828</v>
      </c>
      <c r="C1711" s="83" t="s">
        <v>40</v>
      </c>
      <c r="D1711" s="82" t="s">
        <v>3649</v>
      </c>
      <c r="E1711" s="81">
        <v>43709</v>
      </c>
      <c r="F1711" s="27">
        <f t="shared" ca="1" si="26"/>
        <v>764</v>
      </c>
      <c r="G1711" s="79"/>
      <c r="H1711" s="80"/>
      <c r="I1711" s="80"/>
      <c r="J1711" s="79"/>
      <c r="K1711" s="78"/>
      <c r="L1711" s="77">
        <v>43711</v>
      </c>
      <c r="M1711" s="68"/>
      <c r="N1711" s="76" t="s">
        <v>686</v>
      </c>
      <c r="O1711" s="75"/>
      <c r="R1711" s="74"/>
    </row>
    <row r="1712" spans="2:18" ht="36" hidden="1" customHeight="1" x14ac:dyDescent="0.25">
      <c r="B1712" s="84">
        <v>1641</v>
      </c>
      <c r="C1712" s="83" t="s">
        <v>40</v>
      </c>
      <c r="D1712" s="82" t="s">
        <v>694</v>
      </c>
      <c r="E1712" s="81">
        <v>43711</v>
      </c>
      <c r="F1712" s="27">
        <f t="shared" ca="1" si="26"/>
        <v>762</v>
      </c>
      <c r="G1712" s="79"/>
      <c r="H1712" s="80"/>
      <c r="I1712" s="80"/>
      <c r="J1712" s="79"/>
      <c r="K1712" s="78"/>
      <c r="L1712" s="77">
        <v>43746</v>
      </c>
      <c r="M1712" s="68"/>
      <c r="N1712" s="76"/>
      <c r="O1712" s="75" t="s">
        <v>695</v>
      </c>
      <c r="R1712" s="74"/>
    </row>
    <row r="1713" spans="2:18" ht="36" hidden="1" customHeight="1" x14ac:dyDescent="0.25">
      <c r="B1713" s="84">
        <v>1646</v>
      </c>
      <c r="C1713" s="83" t="s">
        <v>31</v>
      </c>
      <c r="D1713" s="82" t="s">
        <v>1154</v>
      </c>
      <c r="E1713" s="81">
        <v>43711</v>
      </c>
      <c r="F1713" s="27">
        <f t="shared" ca="1" si="26"/>
        <v>762</v>
      </c>
      <c r="G1713" s="79"/>
      <c r="H1713" s="80"/>
      <c r="I1713" s="80"/>
      <c r="J1713" s="79"/>
      <c r="K1713" s="78"/>
      <c r="L1713" s="77">
        <v>43713</v>
      </c>
      <c r="M1713" s="68"/>
      <c r="N1713" s="76" t="s">
        <v>686</v>
      </c>
      <c r="O1713" s="75" t="s">
        <v>1155</v>
      </c>
      <c r="R1713" s="74"/>
    </row>
    <row r="1714" spans="2:18" ht="36" hidden="1" customHeight="1" x14ac:dyDescent="0.25">
      <c r="B1714" s="84">
        <v>1824</v>
      </c>
      <c r="C1714" s="83" t="s">
        <v>23</v>
      </c>
      <c r="D1714" s="82" t="s">
        <v>458</v>
      </c>
      <c r="E1714" s="81">
        <v>43711</v>
      </c>
      <c r="F1714" s="27">
        <f t="shared" ca="1" si="26"/>
        <v>762</v>
      </c>
      <c r="G1714" s="79"/>
      <c r="H1714" s="80"/>
      <c r="I1714" s="80"/>
      <c r="J1714" s="79"/>
      <c r="K1714" s="78"/>
      <c r="L1714" s="77">
        <v>43720</v>
      </c>
      <c r="M1714" s="68"/>
      <c r="N1714" s="76"/>
      <c r="O1714" s="75" t="s">
        <v>2885</v>
      </c>
      <c r="R1714" s="74"/>
    </row>
    <row r="1715" spans="2:18" ht="36" hidden="1" customHeight="1" x14ac:dyDescent="0.25">
      <c r="B1715" s="84">
        <v>1821</v>
      </c>
      <c r="C1715" s="83" t="s">
        <v>23</v>
      </c>
      <c r="D1715" s="82" t="s">
        <v>458</v>
      </c>
      <c r="E1715" s="81">
        <v>43712</v>
      </c>
      <c r="F1715" s="27">
        <f t="shared" ca="1" si="26"/>
        <v>761</v>
      </c>
      <c r="G1715" s="79"/>
      <c r="H1715" s="80"/>
      <c r="I1715" s="80"/>
      <c r="J1715" s="79"/>
      <c r="K1715" s="78"/>
      <c r="L1715" s="77">
        <v>43724</v>
      </c>
      <c r="M1715" s="68"/>
      <c r="N1715" s="76" t="s">
        <v>829</v>
      </c>
      <c r="O1715" s="75"/>
      <c r="R1715" s="74"/>
    </row>
    <row r="1716" spans="2:18" ht="36" hidden="1" customHeight="1" x14ac:dyDescent="0.25">
      <c r="B1716" s="84">
        <v>1821</v>
      </c>
      <c r="C1716" s="83" t="s">
        <v>27</v>
      </c>
      <c r="D1716" s="82" t="s">
        <v>2350</v>
      </c>
      <c r="E1716" s="81">
        <v>43712</v>
      </c>
      <c r="F1716" s="27">
        <f t="shared" ca="1" si="26"/>
        <v>761</v>
      </c>
      <c r="G1716" s="79"/>
      <c r="H1716" s="80"/>
      <c r="I1716" s="80"/>
      <c r="J1716" s="79"/>
      <c r="K1716" s="78"/>
      <c r="L1716" s="77">
        <v>43739</v>
      </c>
      <c r="M1716" s="68"/>
      <c r="N1716" s="76" t="s">
        <v>2351</v>
      </c>
      <c r="O1716" s="75" t="s">
        <v>2352</v>
      </c>
      <c r="R1716" s="74"/>
    </row>
    <row r="1717" spans="2:18" ht="36" hidden="1" customHeight="1" x14ac:dyDescent="0.25">
      <c r="B1717" s="84">
        <v>1824</v>
      </c>
      <c r="C1717" s="83" t="s">
        <v>40</v>
      </c>
      <c r="D1717" s="82" t="s">
        <v>2886</v>
      </c>
      <c r="E1717" s="81">
        <v>43712</v>
      </c>
      <c r="F1717" s="27">
        <f t="shared" ca="1" si="26"/>
        <v>761</v>
      </c>
      <c r="G1717" s="79"/>
      <c r="H1717" s="80"/>
      <c r="I1717" s="80"/>
      <c r="J1717" s="79"/>
      <c r="K1717" s="78"/>
      <c r="L1717" s="77">
        <v>43727</v>
      </c>
      <c r="M1717" s="68"/>
      <c r="N1717" s="76" t="s">
        <v>686</v>
      </c>
      <c r="O1717" s="75" t="s">
        <v>2887</v>
      </c>
      <c r="R1717" s="74"/>
    </row>
    <row r="1718" spans="2:18" ht="36" hidden="1" customHeight="1" x14ac:dyDescent="0.25">
      <c r="B1718" s="84">
        <v>1645</v>
      </c>
      <c r="C1718" s="83" t="s">
        <v>36</v>
      </c>
      <c r="D1718" s="82" t="s">
        <v>1071</v>
      </c>
      <c r="E1718" s="81">
        <v>43713</v>
      </c>
      <c r="F1718" s="27">
        <f t="shared" ca="1" si="26"/>
        <v>760</v>
      </c>
      <c r="G1718" s="79"/>
      <c r="H1718" s="80"/>
      <c r="I1718" s="80"/>
      <c r="J1718" s="79"/>
      <c r="K1718" s="78"/>
      <c r="L1718" s="77">
        <v>43714</v>
      </c>
      <c r="M1718" s="68"/>
      <c r="N1718" s="76" t="s">
        <v>686</v>
      </c>
      <c r="O1718" s="75" t="s">
        <v>1072</v>
      </c>
      <c r="R1718" s="74"/>
    </row>
    <row r="1719" spans="2:18" ht="36" hidden="1" customHeight="1" x14ac:dyDescent="0.25">
      <c r="B1719" s="84">
        <v>1641</v>
      </c>
      <c r="C1719" s="83" t="s">
        <v>31</v>
      </c>
      <c r="D1719" s="82" t="s">
        <v>693</v>
      </c>
      <c r="E1719" s="81">
        <v>43714</v>
      </c>
      <c r="F1719" s="27">
        <f t="shared" ca="1" si="26"/>
        <v>759</v>
      </c>
      <c r="G1719" s="79"/>
      <c r="H1719" s="80"/>
      <c r="I1719" s="80"/>
      <c r="J1719" s="79"/>
      <c r="K1719" s="78"/>
      <c r="L1719" s="77">
        <v>43720</v>
      </c>
      <c r="M1719" s="68"/>
      <c r="N1719" s="76"/>
      <c r="O1719" s="75"/>
      <c r="R1719" s="74"/>
    </row>
    <row r="1720" spans="2:18" ht="36" hidden="1" customHeight="1" x14ac:dyDescent="0.25">
      <c r="B1720" s="84">
        <v>1818</v>
      </c>
      <c r="C1720" s="83" t="s">
        <v>40</v>
      </c>
      <c r="D1720" s="82" t="s">
        <v>1788</v>
      </c>
      <c r="E1720" s="81">
        <v>43714</v>
      </c>
      <c r="F1720" s="27">
        <f t="shared" ca="1" si="26"/>
        <v>759</v>
      </c>
      <c r="G1720" s="79"/>
      <c r="H1720" s="80"/>
      <c r="I1720" s="80"/>
      <c r="J1720" s="79"/>
      <c r="K1720" s="78"/>
      <c r="L1720" s="77">
        <v>43714</v>
      </c>
      <c r="M1720" s="68"/>
      <c r="N1720" s="76" t="s">
        <v>1789</v>
      </c>
      <c r="O1720" s="75"/>
      <c r="R1720" s="74"/>
    </row>
    <row r="1721" spans="2:18" ht="36" hidden="1" customHeight="1" x14ac:dyDescent="0.25">
      <c r="B1721" s="84">
        <v>1825</v>
      </c>
      <c r="C1721" s="83" t="s">
        <v>39</v>
      </c>
      <c r="D1721" s="82" t="s">
        <v>3132</v>
      </c>
      <c r="E1721" s="81">
        <v>43714</v>
      </c>
      <c r="F1721" s="27">
        <f t="shared" ca="1" si="26"/>
        <v>759</v>
      </c>
      <c r="G1721" s="79"/>
      <c r="H1721" s="80"/>
      <c r="I1721" s="80"/>
      <c r="J1721" s="79"/>
      <c r="K1721" s="78"/>
      <c r="L1721" s="77">
        <v>43714</v>
      </c>
      <c r="M1721" s="68"/>
      <c r="N1721" s="76" t="s">
        <v>1789</v>
      </c>
      <c r="O1721" s="75"/>
      <c r="R1721" s="74"/>
    </row>
    <row r="1722" spans="2:18" ht="36" hidden="1" customHeight="1" x14ac:dyDescent="0.25">
      <c r="B1722" s="84">
        <v>1643</v>
      </c>
      <c r="C1722" s="83" t="s">
        <v>887</v>
      </c>
      <c r="D1722" s="82" t="s">
        <v>921</v>
      </c>
      <c r="E1722" s="81">
        <v>43717</v>
      </c>
      <c r="F1722" s="27">
        <f t="shared" ca="1" si="26"/>
        <v>756</v>
      </c>
      <c r="G1722" s="79"/>
      <c r="H1722" s="80"/>
      <c r="I1722" s="80"/>
      <c r="J1722" s="79"/>
      <c r="K1722" s="78"/>
      <c r="L1722" s="77">
        <v>43724</v>
      </c>
      <c r="M1722" s="68"/>
      <c r="N1722" s="76" t="s">
        <v>686</v>
      </c>
      <c r="O1722" s="75" t="s">
        <v>922</v>
      </c>
      <c r="R1722" s="74"/>
    </row>
    <row r="1723" spans="2:18" ht="36" hidden="1" customHeight="1" x14ac:dyDescent="0.25">
      <c r="B1723" s="84">
        <v>1643</v>
      </c>
      <c r="C1723" s="83" t="s">
        <v>40</v>
      </c>
      <c r="D1723" s="82" t="s">
        <v>923</v>
      </c>
      <c r="E1723" s="81">
        <v>43717</v>
      </c>
      <c r="F1723" s="27">
        <f t="shared" ca="1" si="26"/>
        <v>756</v>
      </c>
      <c r="G1723" s="79"/>
      <c r="H1723" s="80"/>
      <c r="I1723" s="80"/>
      <c r="J1723" s="79"/>
      <c r="K1723" s="78"/>
      <c r="L1723" s="77">
        <v>43724</v>
      </c>
      <c r="M1723" s="68"/>
      <c r="N1723" s="76" t="s">
        <v>686</v>
      </c>
      <c r="O1723" s="75" t="s">
        <v>924</v>
      </c>
      <c r="R1723" s="74"/>
    </row>
    <row r="1724" spans="2:18" ht="36" hidden="1" customHeight="1" x14ac:dyDescent="0.25">
      <c r="B1724" s="84">
        <v>1643</v>
      </c>
      <c r="C1724" s="83" t="s">
        <v>19</v>
      </c>
      <c r="D1724" s="82" t="s">
        <v>925</v>
      </c>
      <c r="E1724" s="81">
        <v>43717</v>
      </c>
      <c r="F1724" s="27">
        <f t="shared" ca="1" si="26"/>
        <v>756</v>
      </c>
      <c r="G1724" s="79"/>
      <c r="H1724" s="80"/>
      <c r="I1724" s="80"/>
      <c r="J1724" s="79"/>
      <c r="K1724" s="78"/>
      <c r="L1724" s="77">
        <v>43724</v>
      </c>
      <c r="M1724" s="68"/>
      <c r="N1724" s="76" t="s">
        <v>686</v>
      </c>
      <c r="O1724" s="75" t="s">
        <v>52</v>
      </c>
      <c r="R1724" s="74"/>
    </row>
    <row r="1725" spans="2:18" ht="36" hidden="1" customHeight="1" x14ac:dyDescent="0.25">
      <c r="B1725" s="84">
        <v>1643</v>
      </c>
      <c r="C1725" s="83" t="s">
        <v>19</v>
      </c>
      <c r="D1725" s="82" t="s">
        <v>926</v>
      </c>
      <c r="E1725" s="81">
        <v>43717</v>
      </c>
      <c r="F1725" s="27">
        <f t="shared" ca="1" si="26"/>
        <v>756</v>
      </c>
      <c r="G1725" s="79"/>
      <c r="H1725" s="80"/>
      <c r="I1725" s="80"/>
      <c r="J1725" s="79"/>
      <c r="K1725" s="78"/>
      <c r="L1725" s="77">
        <v>43724</v>
      </c>
      <c r="M1725" s="68"/>
      <c r="N1725" s="76" t="s">
        <v>686</v>
      </c>
      <c r="O1725" s="75" t="s">
        <v>927</v>
      </c>
      <c r="R1725" s="74"/>
    </row>
    <row r="1726" spans="2:18" ht="36" hidden="1" customHeight="1" x14ac:dyDescent="0.25">
      <c r="B1726" s="84">
        <v>1647</v>
      </c>
      <c r="C1726" s="83" t="s">
        <v>31</v>
      </c>
      <c r="D1726" s="82" t="s">
        <v>1242</v>
      </c>
      <c r="E1726" s="81">
        <v>43717</v>
      </c>
      <c r="F1726" s="27">
        <f t="shared" ca="1" si="26"/>
        <v>756</v>
      </c>
      <c r="G1726" s="79"/>
      <c r="H1726" s="80"/>
      <c r="I1726" s="80"/>
      <c r="J1726" s="79"/>
      <c r="K1726" s="78"/>
      <c r="L1726" s="77">
        <v>43717</v>
      </c>
      <c r="M1726" s="68"/>
      <c r="N1726" s="76"/>
      <c r="O1726" s="75" t="s">
        <v>825</v>
      </c>
      <c r="R1726" s="74"/>
    </row>
    <row r="1727" spans="2:18" ht="36" hidden="1" customHeight="1" x14ac:dyDescent="0.25">
      <c r="B1727" s="84">
        <v>1647</v>
      </c>
      <c r="C1727" s="83" t="s">
        <v>11</v>
      </c>
      <c r="D1727" s="82" t="s">
        <v>923</v>
      </c>
      <c r="E1727" s="81">
        <v>43717</v>
      </c>
      <c r="F1727" s="27">
        <f t="shared" ca="1" si="26"/>
        <v>756</v>
      </c>
      <c r="G1727" s="79"/>
      <c r="H1727" s="80"/>
      <c r="I1727" s="80"/>
      <c r="J1727" s="79"/>
      <c r="K1727" s="78"/>
      <c r="L1727" s="77">
        <v>43724</v>
      </c>
      <c r="M1727" s="68"/>
      <c r="N1727" s="76" t="s">
        <v>185</v>
      </c>
      <c r="O1727" s="75"/>
      <c r="R1727" s="74"/>
    </row>
    <row r="1728" spans="2:18" ht="36" hidden="1" customHeight="1" x14ac:dyDescent="0.25">
      <c r="B1728" s="84">
        <v>1647</v>
      </c>
      <c r="C1728" s="83" t="s">
        <v>23</v>
      </c>
      <c r="D1728" s="82" t="s">
        <v>1243</v>
      </c>
      <c r="E1728" s="81">
        <v>43717</v>
      </c>
      <c r="F1728" s="27">
        <f t="shared" ca="1" si="26"/>
        <v>756</v>
      </c>
      <c r="G1728" s="79"/>
      <c r="H1728" s="80"/>
      <c r="I1728" s="80"/>
      <c r="J1728" s="79"/>
      <c r="K1728" s="78"/>
      <c r="L1728" s="77">
        <v>43724</v>
      </c>
      <c r="M1728" s="68"/>
      <c r="N1728" s="76" t="s">
        <v>185</v>
      </c>
      <c r="O1728" s="75"/>
      <c r="R1728" s="74"/>
    </row>
    <row r="1729" spans="2:18" ht="36" hidden="1" customHeight="1" x14ac:dyDescent="0.25">
      <c r="B1729" s="84">
        <v>1647</v>
      </c>
      <c r="C1729" s="83" t="s">
        <v>39</v>
      </c>
      <c r="D1729" s="82" t="s">
        <v>1244</v>
      </c>
      <c r="E1729" s="81">
        <v>43717</v>
      </c>
      <c r="F1729" s="27">
        <f t="shared" ca="1" si="26"/>
        <v>756</v>
      </c>
      <c r="G1729" s="79"/>
      <c r="H1729" s="80"/>
      <c r="I1729" s="80"/>
      <c r="J1729" s="79"/>
      <c r="K1729" s="78"/>
      <c r="L1729" s="77">
        <v>43724</v>
      </c>
      <c r="M1729" s="68"/>
      <c r="N1729" s="76" t="s">
        <v>185</v>
      </c>
      <c r="O1729" s="75"/>
      <c r="R1729" s="74"/>
    </row>
    <row r="1730" spans="2:18" ht="36" hidden="1" customHeight="1" x14ac:dyDescent="0.25">
      <c r="B1730" s="84">
        <v>1817</v>
      </c>
      <c r="C1730" s="83" t="s">
        <v>19</v>
      </c>
      <c r="D1730" s="82" t="s">
        <v>1619</v>
      </c>
      <c r="E1730" s="81">
        <v>43717</v>
      </c>
      <c r="F1730" s="27">
        <f t="shared" ca="1" si="26"/>
        <v>756</v>
      </c>
      <c r="G1730" s="79"/>
      <c r="H1730" s="80"/>
      <c r="I1730" s="80"/>
      <c r="J1730" s="79"/>
      <c r="K1730" s="78"/>
      <c r="L1730" s="77">
        <v>43726</v>
      </c>
      <c r="M1730" s="68"/>
      <c r="N1730" s="76" t="s">
        <v>1620</v>
      </c>
      <c r="O1730" s="75" t="s">
        <v>1621</v>
      </c>
      <c r="R1730" s="74"/>
    </row>
    <row r="1731" spans="2:18" ht="36" hidden="1" customHeight="1" x14ac:dyDescent="0.25">
      <c r="B1731" s="84">
        <v>1644</v>
      </c>
      <c r="C1731" s="83" t="s">
        <v>11</v>
      </c>
      <c r="D1731" s="82" t="s">
        <v>985</v>
      </c>
      <c r="E1731" s="81">
        <v>43718</v>
      </c>
      <c r="F1731" s="27">
        <f t="shared" ca="1" si="26"/>
        <v>755</v>
      </c>
      <c r="G1731" s="79"/>
      <c r="H1731" s="80"/>
      <c r="I1731" s="80"/>
      <c r="J1731" s="79"/>
      <c r="K1731" s="78"/>
      <c r="L1731" s="77">
        <v>43720</v>
      </c>
      <c r="M1731" s="68"/>
      <c r="N1731" s="76" t="s">
        <v>986</v>
      </c>
      <c r="O1731" s="75"/>
      <c r="R1731" s="74"/>
    </row>
    <row r="1732" spans="2:18" ht="36" hidden="1" customHeight="1" x14ac:dyDescent="0.25">
      <c r="B1732" s="84">
        <v>1646</v>
      </c>
      <c r="C1732" s="83" t="s">
        <v>11</v>
      </c>
      <c r="D1732" s="82" t="s">
        <v>1158</v>
      </c>
      <c r="E1732" s="81">
        <v>43719</v>
      </c>
      <c r="F1732" s="27">
        <f t="shared" ca="1" si="26"/>
        <v>754</v>
      </c>
      <c r="G1732" s="79"/>
      <c r="H1732" s="80"/>
      <c r="I1732" s="80"/>
      <c r="J1732" s="79"/>
      <c r="K1732" s="78"/>
      <c r="L1732" s="77">
        <v>43724</v>
      </c>
      <c r="M1732" s="68"/>
      <c r="N1732" s="76" t="s">
        <v>1159</v>
      </c>
      <c r="O1732" s="75"/>
      <c r="R1732" s="74"/>
    </row>
    <row r="1733" spans="2:18" ht="36" hidden="1" customHeight="1" x14ac:dyDescent="0.25">
      <c r="B1733" s="84">
        <v>1820</v>
      </c>
      <c r="C1733" s="83" t="s">
        <v>40</v>
      </c>
      <c r="D1733" s="82" t="s">
        <v>2184</v>
      </c>
      <c r="E1733" s="81">
        <v>43724</v>
      </c>
      <c r="F1733" s="27">
        <f t="shared" ca="1" si="26"/>
        <v>749</v>
      </c>
      <c r="G1733" s="79"/>
      <c r="H1733" s="80"/>
      <c r="I1733" s="80"/>
      <c r="J1733" s="79"/>
      <c r="K1733" s="78"/>
      <c r="L1733" s="77">
        <v>43726</v>
      </c>
      <c r="M1733" s="68"/>
      <c r="N1733" s="76" t="s">
        <v>2185</v>
      </c>
      <c r="O1733" s="75" t="s">
        <v>2153</v>
      </c>
      <c r="R1733" s="74"/>
    </row>
    <row r="1734" spans="2:18" ht="36" hidden="1" customHeight="1" x14ac:dyDescent="0.25">
      <c r="B1734" s="84">
        <v>1824</v>
      </c>
      <c r="C1734" s="83" t="s">
        <v>19</v>
      </c>
      <c r="D1734" s="82" t="s">
        <v>967</v>
      </c>
      <c r="E1734" s="81">
        <v>43724</v>
      </c>
      <c r="F1734" s="27">
        <f t="shared" ca="1" si="26"/>
        <v>749</v>
      </c>
      <c r="G1734" s="79"/>
      <c r="H1734" s="80"/>
      <c r="I1734" s="80"/>
      <c r="J1734" s="79"/>
      <c r="K1734" s="78"/>
      <c r="L1734" s="77">
        <v>43727</v>
      </c>
      <c r="M1734" s="68"/>
      <c r="N1734" s="76" t="s">
        <v>686</v>
      </c>
      <c r="O1734" s="75" t="s">
        <v>2888</v>
      </c>
      <c r="R1734" s="74"/>
    </row>
    <row r="1735" spans="2:18" ht="36" hidden="1" customHeight="1" x14ac:dyDescent="0.25">
      <c r="B1735" s="84">
        <v>1824</v>
      </c>
      <c r="C1735" s="83" t="s">
        <v>40</v>
      </c>
      <c r="D1735" s="82" t="s">
        <v>2897</v>
      </c>
      <c r="E1735" s="81">
        <v>43724</v>
      </c>
      <c r="F1735" s="27">
        <f t="shared" ca="1" si="26"/>
        <v>749</v>
      </c>
      <c r="G1735" s="79"/>
      <c r="H1735" s="80"/>
      <c r="I1735" s="80"/>
      <c r="J1735" s="79"/>
      <c r="K1735" s="78"/>
      <c r="L1735" s="77">
        <v>43801</v>
      </c>
      <c r="M1735" s="68"/>
      <c r="N1735" s="76" t="s">
        <v>2898</v>
      </c>
      <c r="O1735" s="75"/>
      <c r="R1735" s="74"/>
    </row>
    <row r="1736" spans="2:18" ht="36" hidden="1" customHeight="1" x14ac:dyDescent="0.25">
      <c r="B1736" s="84">
        <v>1825</v>
      </c>
      <c r="C1736" s="83" t="s">
        <v>12</v>
      </c>
      <c r="D1736" s="82" t="s">
        <v>3135</v>
      </c>
      <c r="E1736" s="81">
        <v>43724</v>
      </c>
      <c r="F1736" s="27">
        <f t="shared" ca="1" si="26"/>
        <v>749</v>
      </c>
      <c r="G1736" s="79"/>
      <c r="H1736" s="80"/>
      <c r="I1736" s="80"/>
      <c r="J1736" s="79"/>
      <c r="K1736" s="78"/>
      <c r="L1736" s="77">
        <v>43739</v>
      </c>
      <c r="M1736" s="68"/>
      <c r="N1736" s="76" t="s">
        <v>1074</v>
      </c>
      <c r="O1736" s="75" t="s">
        <v>3082</v>
      </c>
      <c r="R1736" s="74"/>
    </row>
    <row r="1737" spans="2:18" ht="36" hidden="1" customHeight="1" x14ac:dyDescent="0.25">
      <c r="B1737" s="84">
        <v>1828</v>
      </c>
      <c r="C1737" s="83" t="s">
        <v>19</v>
      </c>
      <c r="D1737" s="82" t="s">
        <v>967</v>
      </c>
      <c r="E1737" s="81">
        <v>43724</v>
      </c>
      <c r="F1737" s="27">
        <f t="shared" ca="1" si="26"/>
        <v>749</v>
      </c>
      <c r="G1737" s="79"/>
      <c r="H1737" s="80"/>
      <c r="I1737" s="80"/>
      <c r="J1737" s="79"/>
      <c r="K1737" s="78"/>
      <c r="L1737" s="77">
        <v>43734</v>
      </c>
      <c r="M1737" s="68"/>
      <c r="N1737" s="76" t="s">
        <v>1074</v>
      </c>
      <c r="O1737" s="75" t="s">
        <v>3650</v>
      </c>
      <c r="R1737" s="74"/>
    </row>
    <row r="1738" spans="2:18" ht="36" hidden="1" customHeight="1" x14ac:dyDescent="0.25">
      <c r="B1738" s="84">
        <v>1828</v>
      </c>
      <c r="C1738" s="83" t="s">
        <v>40</v>
      </c>
      <c r="D1738" s="82" t="s">
        <v>3645</v>
      </c>
      <c r="E1738" s="81">
        <v>43724</v>
      </c>
      <c r="F1738" s="27">
        <f t="shared" ca="1" si="26"/>
        <v>749</v>
      </c>
      <c r="G1738" s="79"/>
      <c r="H1738" s="80"/>
      <c r="I1738" s="80"/>
      <c r="J1738" s="79"/>
      <c r="K1738" s="78"/>
      <c r="L1738" s="77">
        <v>43734</v>
      </c>
      <c r="M1738" s="68"/>
      <c r="N1738" s="76" t="s">
        <v>1074</v>
      </c>
      <c r="O1738" s="75" t="s">
        <v>3651</v>
      </c>
      <c r="R1738" s="74"/>
    </row>
    <row r="1739" spans="2:18" ht="36" hidden="1" customHeight="1" x14ac:dyDescent="0.25">
      <c r="B1739" s="84">
        <v>1645</v>
      </c>
      <c r="C1739" s="83" t="s">
        <v>33</v>
      </c>
      <c r="D1739" s="82" t="s">
        <v>1073</v>
      </c>
      <c r="E1739" s="81">
        <v>43725</v>
      </c>
      <c r="F1739" s="27">
        <f t="shared" ca="1" si="26"/>
        <v>748</v>
      </c>
      <c r="G1739" s="79"/>
      <c r="H1739" s="80"/>
      <c r="I1739" s="80"/>
      <c r="J1739" s="79"/>
      <c r="K1739" s="78"/>
      <c r="L1739" s="77">
        <v>43735</v>
      </c>
      <c r="M1739" s="68"/>
      <c r="N1739" s="76" t="s">
        <v>1074</v>
      </c>
      <c r="O1739" s="75" t="s">
        <v>1075</v>
      </c>
      <c r="R1739" s="74"/>
    </row>
    <row r="1740" spans="2:18" ht="36" hidden="1" customHeight="1" x14ac:dyDescent="0.25">
      <c r="B1740" s="84">
        <v>1818</v>
      </c>
      <c r="C1740" s="83" t="s">
        <v>35</v>
      </c>
      <c r="D1740" s="82" t="s">
        <v>1792</v>
      </c>
      <c r="E1740" s="81">
        <v>43725</v>
      </c>
      <c r="F1740" s="27">
        <f t="shared" ca="1" si="26"/>
        <v>748</v>
      </c>
      <c r="G1740" s="79"/>
      <c r="H1740" s="80"/>
      <c r="I1740" s="80"/>
      <c r="J1740" s="79"/>
      <c r="K1740" s="78"/>
      <c r="L1740" s="77">
        <v>43735</v>
      </c>
      <c r="M1740" s="68"/>
      <c r="N1740" s="76" t="s">
        <v>1074</v>
      </c>
      <c r="O1740" s="75" t="s">
        <v>1793</v>
      </c>
      <c r="R1740" s="74"/>
    </row>
    <row r="1741" spans="2:18" ht="36" hidden="1" customHeight="1" x14ac:dyDescent="0.25">
      <c r="B1741" s="84">
        <v>1820</v>
      </c>
      <c r="C1741" s="83" t="s">
        <v>19</v>
      </c>
      <c r="D1741" s="82" t="s">
        <v>2186</v>
      </c>
      <c r="E1741" s="81">
        <v>43725</v>
      </c>
      <c r="F1741" s="27">
        <f t="shared" ca="1" si="26"/>
        <v>748</v>
      </c>
      <c r="G1741" s="79"/>
      <c r="H1741" s="80"/>
      <c r="I1741" s="80"/>
      <c r="J1741" s="79"/>
      <c r="K1741" s="78"/>
      <c r="L1741" s="77">
        <v>43735</v>
      </c>
      <c r="M1741" s="68"/>
      <c r="N1741" s="76" t="s">
        <v>686</v>
      </c>
      <c r="O1741" s="75" t="s">
        <v>2187</v>
      </c>
      <c r="R1741" s="74"/>
    </row>
    <row r="1742" spans="2:18" ht="36" hidden="1" customHeight="1" x14ac:dyDescent="0.25">
      <c r="B1742" s="84">
        <v>1816</v>
      </c>
      <c r="C1742" s="83" t="s">
        <v>11</v>
      </c>
      <c r="D1742" s="82" t="s">
        <v>1417</v>
      </c>
      <c r="E1742" s="81">
        <v>43726</v>
      </c>
      <c r="F1742" s="27">
        <f t="shared" ca="1" si="26"/>
        <v>747</v>
      </c>
      <c r="G1742" s="79"/>
      <c r="H1742" s="80"/>
      <c r="I1742" s="80"/>
      <c r="J1742" s="79"/>
      <c r="K1742" s="78"/>
      <c r="L1742" s="77">
        <v>43734</v>
      </c>
      <c r="M1742" s="68"/>
      <c r="N1742" s="76"/>
      <c r="O1742" s="75" t="s">
        <v>1418</v>
      </c>
      <c r="R1742" s="74"/>
    </row>
    <row r="1743" spans="2:18" ht="36" hidden="1" customHeight="1" x14ac:dyDescent="0.25">
      <c r="B1743" s="84">
        <v>1817</v>
      </c>
      <c r="C1743" s="83" t="s">
        <v>37</v>
      </c>
      <c r="D1743" s="82" t="s">
        <v>158</v>
      </c>
      <c r="E1743" s="81">
        <v>43727</v>
      </c>
      <c r="F1743" s="27">
        <f t="shared" ca="1" si="26"/>
        <v>746</v>
      </c>
      <c r="G1743" s="79"/>
      <c r="H1743" s="80"/>
      <c r="I1743" s="80"/>
      <c r="J1743" s="79"/>
      <c r="K1743" s="78"/>
      <c r="L1743" s="77">
        <v>43728</v>
      </c>
      <c r="M1743" s="68"/>
      <c r="N1743" s="76" t="s">
        <v>1623</v>
      </c>
      <c r="O1743" s="75"/>
      <c r="R1743" s="74"/>
    </row>
    <row r="1744" spans="2:18" ht="36" hidden="1" customHeight="1" x14ac:dyDescent="0.25">
      <c r="B1744" s="84">
        <v>1818</v>
      </c>
      <c r="C1744" s="83" t="s">
        <v>17</v>
      </c>
      <c r="D1744" s="82" t="s">
        <v>1794</v>
      </c>
      <c r="E1744" s="81">
        <v>43727</v>
      </c>
      <c r="F1744" s="27">
        <f t="shared" ref="F1744:F1807" ca="1" si="27">IF(E1744&lt;&gt;"",TODAY()-E1744,"")</f>
        <v>746</v>
      </c>
      <c r="G1744" s="79"/>
      <c r="H1744" s="80"/>
      <c r="I1744" s="80"/>
      <c r="J1744" s="79"/>
      <c r="K1744" s="78"/>
      <c r="L1744" s="77">
        <v>43735</v>
      </c>
      <c r="M1744" s="68"/>
      <c r="N1744" s="76" t="s">
        <v>1074</v>
      </c>
      <c r="O1744" s="75" t="s">
        <v>1795</v>
      </c>
      <c r="R1744" s="74"/>
    </row>
    <row r="1745" spans="2:18" ht="36" hidden="1" customHeight="1" x14ac:dyDescent="0.25">
      <c r="B1745" s="84">
        <v>1827</v>
      </c>
      <c r="C1745" s="83" t="s">
        <v>19</v>
      </c>
      <c r="D1745" s="82" t="s">
        <v>3430</v>
      </c>
      <c r="E1745" s="81">
        <v>43727</v>
      </c>
      <c r="F1745" s="27">
        <f t="shared" ca="1" si="27"/>
        <v>746</v>
      </c>
      <c r="G1745" s="79"/>
      <c r="H1745" s="80"/>
      <c r="I1745" s="80"/>
      <c r="J1745" s="79"/>
      <c r="K1745" s="78"/>
      <c r="L1745" s="77">
        <v>43728</v>
      </c>
      <c r="M1745" s="68"/>
      <c r="N1745" s="76" t="s">
        <v>3431</v>
      </c>
      <c r="O1745" s="75"/>
      <c r="R1745" s="74"/>
    </row>
    <row r="1746" spans="2:18" ht="36" hidden="1" customHeight="1" x14ac:dyDescent="0.25">
      <c r="B1746" s="84">
        <v>1821</v>
      </c>
      <c r="C1746" s="83" t="s">
        <v>11</v>
      </c>
      <c r="D1746" s="82" t="s">
        <v>2353</v>
      </c>
      <c r="E1746" s="81">
        <v>43731</v>
      </c>
      <c r="F1746" s="27">
        <f t="shared" ca="1" si="27"/>
        <v>742</v>
      </c>
      <c r="G1746" s="79"/>
      <c r="H1746" s="80"/>
      <c r="I1746" s="80"/>
      <c r="J1746" s="79"/>
      <c r="K1746" s="78"/>
      <c r="L1746" s="77">
        <v>43740</v>
      </c>
      <c r="M1746" s="68"/>
      <c r="N1746" s="76" t="s">
        <v>2354</v>
      </c>
      <c r="O1746" s="75"/>
      <c r="R1746" s="74"/>
    </row>
    <row r="1747" spans="2:18" ht="36" hidden="1" customHeight="1" x14ac:dyDescent="0.25">
      <c r="B1747" s="84">
        <v>1645</v>
      </c>
      <c r="C1747" s="83" t="s">
        <v>40</v>
      </c>
      <c r="D1747" s="82" t="s">
        <v>1076</v>
      </c>
      <c r="E1747" s="81">
        <v>43733</v>
      </c>
      <c r="F1747" s="27">
        <f t="shared" ca="1" si="27"/>
        <v>740</v>
      </c>
      <c r="G1747" s="79"/>
      <c r="H1747" s="80"/>
      <c r="I1747" s="80"/>
      <c r="J1747" s="79"/>
      <c r="K1747" s="78"/>
      <c r="L1747" s="77">
        <v>43735</v>
      </c>
      <c r="M1747" s="68"/>
      <c r="N1747" s="76" t="s">
        <v>1074</v>
      </c>
      <c r="O1747" s="75" t="s">
        <v>1077</v>
      </c>
      <c r="R1747" s="74"/>
    </row>
    <row r="1748" spans="2:18" ht="36" hidden="1" customHeight="1" x14ac:dyDescent="0.25">
      <c r="B1748" s="84">
        <v>1816</v>
      </c>
      <c r="C1748" s="83" t="s">
        <v>19</v>
      </c>
      <c r="D1748" s="82" t="s">
        <v>1419</v>
      </c>
      <c r="E1748" s="81">
        <v>43733</v>
      </c>
      <c r="F1748" s="27">
        <f t="shared" ca="1" si="27"/>
        <v>740</v>
      </c>
      <c r="G1748" s="79"/>
      <c r="H1748" s="80"/>
      <c r="I1748" s="80"/>
      <c r="J1748" s="79"/>
      <c r="K1748" s="78"/>
      <c r="L1748" s="77">
        <v>43734</v>
      </c>
      <c r="M1748" s="68"/>
      <c r="N1748" s="76"/>
      <c r="O1748" s="75" t="s">
        <v>1420</v>
      </c>
      <c r="R1748" s="74"/>
    </row>
    <row r="1749" spans="2:18" ht="36" hidden="1" customHeight="1" x14ac:dyDescent="0.25">
      <c r="B1749" s="84">
        <v>1817</v>
      </c>
      <c r="C1749" s="83" t="s">
        <v>20</v>
      </c>
      <c r="D1749" s="82" t="s">
        <v>1624</v>
      </c>
      <c r="E1749" s="81">
        <v>43733</v>
      </c>
      <c r="F1749" s="27">
        <f t="shared" ca="1" si="27"/>
        <v>740</v>
      </c>
      <c r="G1749" s="79"/>
      <c r="H1749" s="80"/>
      <c r="I1749" s="80"/>
      <c r="J1749" s="79"/>
      <c r="K1749" s="78"/>
      <c r="L1749" s="77">
        <v>43735</v>
      </c>
      <c r="M1749" s="68"/>
      <c r="N1749" s="76" t="s">
        <v>1625</v>
      </c>
      <c r="O1749" s="75" t="s">
        <v>1626</v>
      </c>
      <c r="R1749" s="74"/>
    </row>
    <row r="1750" spans="2:18" ht="36" hidden="1" customHeight="1" x14ac:dyDescent="0.25">
      <c r="B1750" s="84">
        <v>1820</v>
      </c>
      <c r="C1750" s="83" t="s">
        <v>18</v>
      </c>
      <c r="D1750" s="82" t="s">
        <v>2188</v>
      </c>
      <c r="E1750" s="81">
        <v>43733</v>
      </c>
      <c r="F1750" s="27">
        <f t="shared" ca="1" si="27"/>
        <v>740</v>
      </c>
      <c r="G1750" s="79"/>
      <c r="H1750" s="80"/>
      <c r="I1750" s="80"/>
      <c r="J1750" s="79"/>
      <c r="K1750" s="78"/>
      <c r="L1750" s="77">
        <v>43735</v>
      </c>
      <c r="M1750" s="68"/>
      <c r="N1750" s="76" t="s">
        <v>686</v>
      </c>
      <c r="O1750" s="75" t="s">
        <v>2189</v>
      </c>
      <c r="R1750" s="74"/>
    </row>
    <row r="1751" spans="2:18" ht="36" hidden="1" customHeight="1" x14ac:dyDescent="0.25">
      <c r="B1751" s="84">
        <v>1643</v>
      </c>
      <c r="C1751" s="83" t="s">
        <v>33</v>
      </c>
      <c r="D1751" s="82" t="s">
        <v>928</v>
      </c>
      <c r="E1751" s="81">
        <v>43734</v>
      </c>
      <c r="F1751" s="27">
        <f t="shared" ca="1" si="27"/>
        <v>739</v>
      </c>
      <c r="G1751" s="79"/>
      <c r="H1751" s="80"/>
      <c r="I1751" s="80"/>
      <c r="J1751" s="79"/>
      <c r="K1751" s="78"/>
      <c r="L1751" s="77">
        <v>43745</v>
      </c>
      <c r="M1751" s="68"/>
      <c r="N1751" s="76"/>
      <c r="O1751" s="75" t="s">
        <v>929</v>
      </c>
      <c r="R1751" s="74"/>
    </row>
    <row r="1752" spans="2:18" ht="36" hidden="1" customHeight="1" x14ac:dyDescent="0.25">
      <c r="B1752" s="84">
        <v>1825</v>
      </c>
      <c r="C1752" s="83" t="s">
        <v>11</v>
      </c>
      <c r="D1752" s="82" t="s">
        <v>3136</v>
      </c>
      <c r="E1752" s="81">
        <v>43734</v>
      </c>
      <c r="F1752" s="27">
        <f t="shared" ca="1" si="27"/>
        <v>739</v>
      </c>
      <c r="G1752" s="79"/>
      <c r="H1752" s="80"/>
      <c r="I1752" s="80"/>
      <c r="J1752" s="79"/>
      <c r="K1752" s="78"/>
      <c r="L1752" s="77">
        <v>43739</v>
      </c>
      <c r="M1752" s="68"/>
      <c r="N1752" s="76" t="s">
        <v>1074</v>
      </c>
      <c r="O1752" s="75" t="s">
        <v>3137</v>
      </c>
      <c r="R1752" s="74"/>
    </row>
    <row r="1753" spans="2:18" ht="36" hidden="1" customHeight="1" x14ac:dyDescent="0.25">
      <c r="B1753" s="84">
        <v>1821</v>
      </c>
      <c r="C1753" s="83" t="s">
        <v>11</v>
      </c>
      <c r="D1753" s="82" t="s">
        <v>2348</v>
      </c>
      <c r="E1753" s="81">
        <v>43735</v>
      </c>
      <c r="F1753" s="27">
        <f t="shared" ca="1" si="27"/>
        <v>738</v>
      </c>
      <c r="G1753" s="79"/>
      <c r="H1753" s="80"/>
      <c r="I1753" s="80"/>
      <c r="J1753" s="79"/>
      <c r="K1753" s="78"/>
      <c r="L1753" s="77">
        <v>43735</v>
      </c>
      <c r="M1753" s="68"/>
      <c r="N1753" s="76" t="s">
        <v>2349</v>
      </c>
      <c r="O1753" s="75"/>
      <c r="R1753" s="74"/>
    </row>
    <row r="1754" spans="2:18" ht="36" hidden="1" customHeight="1" x14ac:dyDescent="0.25">
      <c r="B1754" s="84">
        <v>1825</v>
      </c>
      <c r="C1754" s="83" t="s">
        <v>17</v>
      </c>
      <c r="D1754" s="82" t="s">
        <v>3138</v>
      </c>
      <c r="E1754" s="81">
        <v>43735</v>
      </c>
      <c r="F1754" s="27">
        <f t="shared" ca="1" si="27"/>
        <v>738</v>
      </c>
      <c r="G1754" s="79"/>
      <c r="H1754" s="80"/>
      <c r="I1754" s="80"/>
      <c r="J1754" s="79"/>
      <c r="K1754" s="78"/>
      <c r="L1754" s="77">
        <v>43739</v>
      </c>
      <c r="M1754" s="68"/>
      <c r="N1754" s="76" t="s">
        <v>1074</v>
      </c>
      <c r="O1754" s="75" t="s">
        <v>3139</v>
      </c>
      <c r="R1754" s="74"/>
    </row>
    <row r="1755" spans="2:18" ht="36" hidden="1" customHeight="1" x14ac:dyDescent="0.25">
      <c r="B1755" s="84">
        <v>1827</v>
      </c>
      <c r="C1755" s="83" t="s">
        <v>16</v>
      </c>
      <c r="D1755" s="82" t="s">
        <v>3432</v>
      </c>
      <c r="E1755" s="81">
        <v>43735</v>
      </c>
      <c r="F1755" s="27">
        <f t="shared" ca="1" si="27"/>
        <v>738</v>
      </c>
      <c r="G1755" s="79"/>
      <c r="H1755" s="80"/>
      <c r="I1755" s="80"/>
      <c r="J1755" s="79"/>
      <c r="K1755" s="78"/>
      <c r="L1755" s="77">
        <v>43739</v>
      </c>
      <c r="M1755" s="68"/>
      <c r="N1755" s="76" t="s">
        <v>3433</v>
      </c>
      <c r="O1755" s="75"/>
      <c r="R1755" s="74"/>
    </row>
    <row r="1756" spans="2:18" ht="36" hidden="1" customHeight="1" x14ac:dyDescent="0.25">
      <c r="B1756" s="84">
        <v>1829</v>
      </c>
      <c r="C1756" s="83" t="s">
        <v>40</v>
      </c>
      <c r="D1756" s="82" t="s">
        <v>3843</v>
      </c>
      <c r="E1756" s="81">
        <v>43735</v>
      </c>
      <c r="F1756" s="27">
        <f t="shared" ca="1" si="27"/>
        <v>738</v>
      </c>
      <c r="G1756" s="79"/>
      <c r="H1756" s="80"/>
      <c r="I1756" s="80"/>
      <c r="J1756" s="79"/>
      <c r="K1756" s="78"/>
      <c r="L1756" s="77">
        <v>43738</v>
      </c>
      <c r="M1756" s="68"/>
      <c r="N1756" s="76" t="s">
        <v>185</v>
      </c>
      <c r="O1756" s="75"/>
      <c r="R1756" s="74"/>
    </row>
    <row r="1757" spans="2:18" ht="36" hidden="1" customHeight="1" x14ac:dyDescent="0.25">
      <c r="B1757" s="84">
        <v>1643</v>
      </c>
      <c r="C1757" s="83" t="s">
        <v>35</v>
      </c>
      <c r="D1757" s="82" t="s">
        <v>930</v>
      </c>
      <c r="E1757" s="81">
        <v>43738</v>
      </c>
      <c r="F1757" s="27">
        <f t="shared" ca="1" si="27"/>
        <v>735</v>
      </c>
      <c r="G1757" s="79"/>
      <c r="H1757" s="80"/>
      <c r="I1757" s="80"/>
      <c r="J1757" s="79"/>
      <c r="K1757" s="78"/>
      <c r="L1757" s="77">
        <v>43745</v>
      </c>
      <c r="M1757" s="68"/>
      <c r="N1757" s="76"/>
      <c r="O1757" s="75" t="s">
        <v>929</v>
      </c>
      <c r="R1757" s="74"/>
    </row>
    <row r="1758" spans="2:18" ht="36" hidden="1" customHeight="1" x14ac:dyDescent="0.25">
      <c r="B1758" s="84">
        <v>1643</v>
      </c>
      <c r="C1758" s="83" t="s">
        <v>37</v>
      </c>
      <c r="D1758" s="82" t="s">
        <v>931</v>
      </c>
      <c r="E1758" s="81">
        <v>43738</v>
      </c>
      <c r="F1758" s="27">
        <f t="shared" ca="1" si="27"/>
        <v>735</v>
      </c>
      <c r="G1758" s="79"/>
      <c r="H1758" s="80"/>
      <c r="I1758" s="80"/>
      <c r="J1758" s="79"/>
      <c r="K1758" s="78"/>
      <c r="L1758" s="77">
        <v>43745</v>
      </c>
      <c r="M1758" s="68"/>
      <c r="N1758" s="76"/>
      <c r="O1758" s="75" t="s">
        <v>932</v>
      </c>
      <c r="R1758" s="74"/>
    </row>
    <row r="1759" spans="2:18" ht="36" hidden="1" customHeight="1" x14ac:dyDescent="0.25">
      <c r="B1759" s="84">
        <v>1643</v>
      </c>
      <c r="C1759" s="83" t="s">
        <v>27</v>
      </c>
      <c r="D1759" s="82" t="s">
        <v>933</v>
      </c>
      <c r="E1759" s="81">
        <v>43738</v>
      </c>
      <c r="F1759" s="27">
        <f t="shared" ca="1" si="27"/>
        <v>735</v>
      </c>
      <c r="G1759" s="79"/>
      <c r="H1759" s="80"/>
      <c r="I1759" s="80"/>
      <c r="J1759" s="79"/>
      <c r="K1759" s="78"/>
      <c r="L1759" s="77">
        <v>43745</v>
      </c>
      <c r="M1759" s="68"/>
      <c r="N1759" s="76"/>
      <c r="O1759" s="75" t="s">
        <v>934</v>
      </c>
      <c r="R1759" s="74"/>
    </row>
    <row r="1760" spans="2:18" ht="36" hidden="1" customHeight="1" x14ac:dyDescent="0.25">
      <c r="B1760" s="84">
        <v>1643</v>
      </c>
      <c r="C1760" s="83" t="s">
        <v>31</v>
      </c>
      <c r="D1760" s="82" t="s">
        <v>935</v>
      </c>
      <c r="E1760" s="81">
        <v>43738</v>
      </c>
      <c r="F1760" s="27">
        <f t="shared" ca="1" si="27"/>
        <v>735</v>
      </c>
      <c r="G1760" s="79"/>
      <c r="H1760" s="80"/>
      <c r="I1760" s="80"/>
      <c r="J1760" s="79"/>
      <c r="K1760" s="78"/>
      <c r="L1760" s="77">
        <v>43745</v>
      </c>
      <c r="M1760" s="68"/>
      <c r="N1760" s="76"/>
      <c r="O1760" s="75" t="s">
        <v>936</v>
      </c>
      <c r="R1760" s="74"/>
    </row>
    <row r="1761" spans="2:18" ht="36" hidden="1" customHeight="1" x14ac:dyDescent="0.25">
      <c r="B1761" s="84">
        <v>1818</v>
      </c>
      <c r="C1761" s="83" t="s">
        <v>37</v>
      </c>
      <c r="D1761" s="82" t="s">
        <v>1796</v>
      </c>
      <c r="E1761" s="81">
        <v>43738</v>
      </c>
      <c r="F1761" s="27">
        <f t="shared" ca="1" si="27"/>
        <v>735</v>
      </c>
      <c r="G1761" s="79"/>
      <c r="H1761" s="80"/>
      <c r="I1761" s="80"/>
      <c r="J1761" s="79"/>
      <c r="K1761" s="78"/>
      <c r="L1761" s="77">
        <v>43738</v>
      </c>
      <c r="M1761" s="68"/>
      <c r="N1761" s="76" t="s">
        <v>1797</v>
      </c>
      <c r="O1761" s="75"/>
      <c r="R1761" s="74"/>
    </row>
    <row r="1762" spans="2:18" ht="36" hidden="1" customHeight="1" x14ac:dyDescent="0.25">
      <c r="B1762" s="84">
        <v>1820</v>
      </c>
      <c r="C1762" s="83" t="s">
        <v>11</v>
      </c>
      <c r="D1762" s="82" t="s">
        <v>2190</v>
      </c>
      <c r="E1762" s="81">
        <v>43738</v>
      </c>
      <c r="F1762" s="27">
        <f t="shared" ca="1" si="27"/>
        <v>735</v>
      </c>
      <c r="G1762" s="79"/>
      <c r="H1762" s="80"/>
      <c r="I1762" s="80"/>
      <c r="J1762" s="79"/>
      <c r="K1762" s="78"/>
      <c r="L1762" s="77">
        <v>43742</v>
      </c>
      <c r="M1762" s="68"/>
      <c r="N1762" s="76" t="s">
        <v>2182</v>
      </c>
      <c r="O1762" s="75"/>
      <c r="R1762" s="74"/>
    </row>
    <row r="1763" spans="2:18" ht="36" hidden="1" customHeight="1" x14ac:dyDescent="0.25">
      <c r="B1763" s="84">
        <v>1641</v>
      </c>
      <c r="C1763" s="83" t="s">
        <v>40</v>
      </c>
      <c r="D1763" s="82" t="s">
        <v>696</v>
      </c>
      <c r="E1763" s="81">
        <v>43739</v>
      </c>
      <c r="F1763" s="27">
        <f t="shared" ca="1" si="27"/>
        <v>734</v>
      </c>
      <c r="G1763" s="79"/>
      <c r="H1763" s="80"/>
      <c r="I1763" s="80"/>
      <c r="J1763" s="79"/>
      <c r="K1763" s="78"/>
      <c r="L1763" s="77">
        <v>43746</v>
      </c>
      <c r="M1763" s="68"/>
      <c r="N1763" s="76"/>
      <c r="O1763" s="75" t="s">
        <v>697</v>
      </c>
      <c r="R1763" s="74"/>
    </row>
    <row r="1764" spans="2:18" ht="36" hidden="1" customHeight="1" x14ac:dyDescent="0.25">
      <c r="B1764" s="84">
        <v>1822</v>
      </c>
      <c r="C1764" s="83" t="s">
        <v>40</v>
      </c>
      <c r="D1764" s="82" t="s">
        <v>2475</v>
      </c>
      <c r="E1764" s="81">
        <v>43739</v>
      </c>
      <c r="F1764" s="27">
        <f t="shared" ca="1" si="27"/>
        <v>734</v>
      </c>
      <c r="G1764" s="79"/>
      <c r="H1764" s="80"/>
      <c r="I1764" s="80"/>
      <c r="J1764" s="79"/>
      <c r="K1764" s="78"/>
      <c r="L1764" s="77">
        <v>43773</v>
      </c>
      <c r="M1764" s="68"/>
      <c r="N1764" s="76"/>
      <c r="O1764" s="75"/>
      <c r="R1764" s="74"/>
    </row>
    <row r="1765" spans="2:18" ht="36" hidden="1" customHeight="1" x14ac:dyDescent="0.25">
      <c r="B1765" s="84">
        <v>1823</v>
      </c>
      <c r="C1765" s="83" t="s">
        <v>40</v>
      </c>
      <c r="D1765" s="82" t="s">
        <v>2475</v>
      </c>
      <c r="E1765" s="81">
        <v>43739</v>
      </c>
      <c r="F1765" s="27">
        <f t="shared" ca="1" si="27"/>
        <v>734</v>
      </c>
      <c r="G1765" s="79"/>
      <c r="H1765" s="80"/>
      <c r="I1765" s="80"/>
      <c r="J1765" s="79"/>
      <c r="K1765" s="78"/>
      <c r="L1765" s="77">
        <v>43755</v>
      </c>
      <c r="M1765" s="68"/>
      <c r="N1765" s="76" t="s">
        <v>2666</v>
      </c>
      <c r="O1765" s="75"/>
      <c r="R1765" s="74"/>
    </row>
    <row r="1766" spans="2:18" ht="36" hidden="1" customHeight="1" x14ac:dyDescent="0.25">
      <c r="B1766" s="84">
        <v>1827</v>
      </c>
      <c r="C1766" s="83" t="s">
        <v>40</v>
      </c>
      <c r="D1766" s="82" t="s">
        <v>2475</v>
      </c>
      <c r="E1766" s="81">
        <v>43739</v>
      </c>
      <c r="F1766" s="27">
        <f t="shared" ca="1" si="27"/>
        <v>734</v>
      </c>
      <c r="G1766" s="79"/>
      <c r="H1766" s="80"/>
      <c r="I1766" s="80"/>
      <c r="J1766" s="79"/>
      <c r="K1766" s="78"/>
      <c r="L1766" s="77">
        <v>43763</v>
      </c>
      <c r="M1766" s="68"/>
      <c r="N1766" s="76" t="s">
        <v>3434</v>
      </c>
      <c r="O1766" s="75"/>
      <c r="R1766" s="74"/>
    </row>
    <row r="1767" spans="2:18" ht="36" hidden="1" customHeight="1" x14ac:dyDescent="0.25">
      <c r="B1767" s="84">
        <v>1829</v>
      </c>
      <c r="C1767" s="83" t="s">
        <v>40</v>
      </c>
      <c r="D1767" s="82" t="s">
        <v>2475</v>
      </c>
      <c r="E1767" s="81">
        <v>43739</v>
      </c>
      <c r="F1767" s="27">
        <f t="shared" ca="1" si="27"/>
        <v>734</v>
      </c>
      <c r="G1767" s="79"/>
      <c r="H1767" s="80"/>
      <c r="I1767" s="80"/>
      <c r="J1767" s="79"/>
      <c r="K1767" s="78"/>
      <c r="L1767" s="77">
        <v>43746</v>
      </c>
      <c r="M1767" s="68"/>
      <c r="N1767" s="76" t="s">
        <v>3844</v>
      </c>
      <c r="O1767" s="75"/>
      <c r="R1767" s="74"/>
    </row>
    <row r="1768" spans="2:18" ht="36" hidden="1" customHeight="1" x14ac:dyDescent="0.25">
      <c r="B1768" s="84">
        <v>1823</v>
      </c>
      <c r="C1768" s="83" t="s">
        <v>40</v>
      </c>
      <c r="D1768" s="82" t="s">
        <v>2145</v>
      </c>
      <c r="E1768" s="81">
        <v>43740</v>
      </c>
      <c r="F1768" s="27">
        <f t="shared" ca="1" si="27"/>
        <v>733</v>
      </c>
      <c r="G1768" s="79"/>
      <c r="H1768" s="80"/>
      <c r="I1768" s="80"/>
      <c r="J1768" s="79"/>
      <c r="K1768" s="78"/>
      <c r="L1768" s="77">
        <v>43755</v>
      </c>
      <c r="M1768" s="68"/>
      <c r="N1768" s="76" t="s">
        <v>2666</v>
      </c>
      <c r="O1768" s="75" t="s">
        <v>2667</v>
      </c>
      <c r="R1768" s="74"/>
    </row>
    <row r="1769" spans="2:18" ht="36" hidden="1" customHeight="1" x14ac:dyDescent="0.25">
      <c r="B1769" s="84">
        <v>1823</v>
      </c>
      <c r="C1769" s="83" t="s">
        <v>23</v>
      </c>
      <c r="D1769" s="82" t="s">
        <v>2668</v>
      </c>
      <c r="E1769" s="81">
        <v>43740</v>
      </c>
      <c r="F1769" s="27">
        <f t="shared" ca="1" si="27"/>
        <v>733</v>
      </c>
      <c r="G1769" s="79"/>
      <c r="H1769" s="80"/>
      <c r="I1769" s="80"/>
      <c r="J1769" s="79"/>
      <c r="K1769" s="78"/>
      <c r="L1769" s="77">
        <v>43755</v>
      </c>
      <c r="M1769" s="68"/>
      <c r="N1769" s="76" t="s">
        <v>2666</v>
      </c>
      <c r="O1769" s="75" t="s">
        <v>2358</v>
      </c>
      <c r="R1769" s="74"/>
    </row>
    <row r="1770" spans="2:18" ht="36" hidden="1" customHeight="1" x14ac:dyDescent="0.25">
      <c r="B1770" s="84">
        <v>1824</v>
      </c>
      <c r="C1770" s="83" t="s">
        <v>40</v>
      </c>
      <c r="D1770" s="82" t="s">
        <v>2889</v>
      </c>
      <c r="E1770" s="81">
        <v>43740</v>
      </c>
      <c r="F1770" s="27">
        <f t="shared" ca="1" si="27"/>
        <v>733</v>
      </c>
      <c r="G1770" s="79"/>
      <c r="H1770" s="80"/>
      <c r="I1770" s="80"/>
      <c r="J1770" s="79"/>
      <c r="K1770" s="78"/>
      <c r="L1770" s="77">
        <v>43749</v>
      </c>
      <c r="M1770" s="68"/>
      <c r="N1770" s="76"/>
      <c r="O1770" s="75" t="s">
        <v>2890</v>
      </c>
      <c r="R1770" s="74"/>
    </row>
    <row r="1771" spans="2:18" ht="36" hidden="1" customHeight="1" x14ac:dyDescent="0.25">
      <c r="B1771" s="84">
        <v>1819</v>
      </c>
      <c r="C1771" s="83" t="s">
        <v>23</v>
      </c>
      <c r="D1771" s="82" t="s">
        <v>2020</v>
      </c>
      <c r="E1771" s="81">
        <v>43745</v>
      </c>
      <c r="F1771" s="27">
        <f t="shared" ca="1" si="27"/>
        <v>728</v>
      </c>
      <c r="G1771" s="79"/>
      <c r="H1771" s="80"/>
      <c r="I1771" s="80"/>
      <c r="J1771" s="79"/>
      <c r="K1771" s="78"/>
      <c r="L1771" s="77">
        <v>43747</v>
      </c>
      <c r="M1771" s="68"/>
      <c r="N1771" s="76"/>
      <c r="O1771" s="75" t="s">
        <v>55</v>
      </c>
      <c r="R1771" s="74"/>
    </row>
    <row r="1772" spans="2:18" ht="36" hidden="1" customHeight="1" x14ac:dyDescent="0.25">
      <c r="B1772" s="84">
        <v>1819</v>
      </c>
      <c r="C1772" s="83" t="s">
        <v>27</v>
      </c>
      <c r="D1772" s="82" t="s">
        <v>2021</v>
      </c>
      <c r="E1772" s="81">
        <v>43745</v>
      </c>
      <c r="F1772" s="27">
        <f t="shared" ca="1" si="27"/>
        <v>728</v>
      </c>
      <c r="G1772" s="79"/>
      <c r="H1772" s="80"/>
      <c r="I1772" s="80"/>
      <c r="J1772" s="79"/>
      <c r="K1772" s="78"/>
      <c r="L1772" s="77">
        <v>43747</v>
      </c>
      <c r="M1772" s="68"/>
      <c r="N1772" s="76"/>
      <c r="O1772" s="75" t="s">
        <v>2022</v>
      </c>
      <c r="R1772" s="74"/>
    </row>
    <row r="1773" spans="2:18" ht="36" hidden="1" customHeight="1" x14ac:dyDescent="0.25">
      <c r="B1773" s="84">
        <v>1819</v>
      </c>
      <c r="C1773" s="83" t="s">
        <v>17</v>
      </c>
      <c r="D1773" s="82" t="s">
        <v>2023</v>
      </c>
      <c r="E1773" s="81">
        <v>43745</v>
      </c>
      <c r="F1773" s="27">
        <f t="shared" ca="1" si="27"/>
        <v>728</v>
      </c>
      <c r="G1773" s="79"/>
      <c r="H1773" s="80"/>
      <c r="I1773" s="80"/>
      <c r="J1773" s="79"/>
      <c r="K1773" s="78"/>
      <c r="L1773" s="77">
        <v>43747</v>
      </c>
      <c r="M1773" s="68"/>
      <c r="N1773" s="76" t="s">
        <v>686</v>
      </c>
      <c r="O1773" s="75" t="s">
        <v>2024</v>
      </c>
      <c r="R1773" s="74"/>
    </row>
    <row r="1774" spans="2:18" ht="36" hidden="1" customHeight="1" x14ac:dyDescent="0.25">
      <c r="B1774" s="84">
        <v>1821</v>
      </c>
      <c r="C1774" s="83" t="s">
        <v>27</v>
      </c>
      <c r="D1774" s="82" t="s">
        <v>2021</v>
      </c>
      <c r="E1774" s="81">
        <v>43745</v>
      </c>
      <c r="F1774" s="27">
        <f t="shared" ca="1" si="27"/>
        <v>728</v>
      </c>
      <c r="G1774" s="79"/>
      <c r="H1774" s="80"/>
      <c r="I1774" s="80"/>
      <c r="J1774" s="79"/>
      <c r="K1774" s="78"/>
      <c r="L1774" s="77">
        <v>43748</v>
      </c>
      <c r="M1774" s="68"/>
      <c r="N1774" s="76" t="s">
        <v>2355</v>
      </c>
      <c r="O1774" s="75" t="s">
        <v>2356</v>
      </c>
      <c r="R1774" s="74"/>
    </row>
    <row r="1775" spans="2:18" ht="36" hidden="1" customHeight="1" x14ac:dyDescent="0.25">
      <c r="B1775" s="84">
        <v>1828</v>
      </c>
      <c r="C1775" s="83" t="s">
        <v>19</v>
      </c>
      <c r="D1775" s="82" t="s">
        <v>3652</v>
      </c>
      <c r="E1775" s="81">
        <v>43745</v>
      </c>
      <c r="F1775" s="27">
        <f t="shared" ca="1" si="27"/>
        <v>728</v>
      </c>
      <c r="G1775" s="79"/>
      <c r="H1775" s="80"/>
      <c r="I1775" s="80"/>
      <c r="J1775" s="79"/>
      <c r="K1775" s="78"/>
      <c r="L1775" s="77">
        <v>43746</v>
      </c>
      <c r="M1775" s="68"/>
      <c r="N1775" s="76"/>
      <c r="O1775" s="75" t="s">
        <v>3653</v>
      </c>
      <c r="R1775" s="74"/>
    </row>
    <row r="1776" spans="2:18" ht="36" hidden="1" customHeight="1" x14ac:dyDescent="0.25">
      <c r="B1776" s="84">
        <v>1643</v>
      </c>
      <c r="C1776" s="83" t="s">
        <v>37</v>
      </c>
      <c r="D1776" s="82" t="s">
        <v>59</v>
      </c>
      <c r="E1776" s="81">
        <v>43746</v>
      </c>
      <c r="F1776" s="27">
        <f t="shared" ca="1" si="27"/>
        <v>727</v>
      </c>
      <c r="G1776" s="79"/>
      <c r="H1776" s="80"/>
      <c r="I1776" s="80"/>
      <c r="J1776" s="79"/>
      <c r="K1776" s="78"/>
      <c r="L1776" s="77">
        <v>43746</v>
      </c>
      <c r="M1776" s="68"/>
      <c r="N1776" s="76" t="s">
        <v>937</v>
      </c>
      <c r="O1776" s="75"/>
      <c r="R1776" s="74"/>
    </row>
    <row r="1777" spans="2:18" ht="36" hidden="1" customHeight="1" x14ac:dyDescent="0.25">
      <c r="B1777" s="84">
        <v>1646</v>
      </c>
      <c r="C1777" s="83" t="s">
        <v>23</v>
      </c>
      <c r="D1777" s="82" t="s">
        <v>1160</v>
      </c>
      <c r="E1777" s="81">
        <v>43747</v>
      </c>
      <c r="F1777" s="27">
        <f t="shared" ca="1" si="27"/>
        <v>726</v>
      </c>
      <c r="G1777" s="79"/>
      <c r="H1777" s="80"/>
      <c r="I1777" s="80"/>
      <c r="J1777" s="79"/>
      <c r="K1777" s="78"/>
      <c r="L1777" s="77">
        <v>43749</v>
      </c>
      <c r="M1777" s="68"/>
      <c r="N1777" s="76" t="s">
        <v>688</v>
      </c>
      <c r="O1777" s="75" t="s">
        <v>1161</v>
      </c>
      <c r="R1777" s="74"/>
    </row>
    <row r="1778" spans="2:18" ht="36" hidden="1" customHeight="1" x14ac:dyDescent="0.25">
      <c r="B1778" s="84">
        <v>1818</v>
      </c>
      <c r="C1778" s="83" t="s">
        <v>15</v>
      </c>
      <c r="D1778" s="82" t="s">
        <v>1798</v>
      </c>
      <c r="E1778" s="81">
        <v>43747</v>
      </c>
      <c r="F1778" s="27">
        <f t="shared" ca="1" si="27"/>
        <v>726</v>
      </c>
      <c r="G1778" s="79"/>
      <c r="H1778" s="80"/>
      <c r="I1778" s="80"/>
      <c r="J1778" s="79"/>
      <c r="K1778" s="78"/>
      <c r="L1778" s="77">
        <v>43747</v>
      </c>
      <c r="M1778" s="68"/>
      <c r="N1778" s="76" t="s">
        <v>185</v>
      </c>
      <c r="O1778" s="75"/>
      <c r="R1778" s="74"/>
    </row>
    <row r="1779" spans="2:18" ht="36" hidden="1" customHeight="1" x14ac:dyDescent="0.25">
      <c r="B1779" s="84">
        <v>1821</v>
      </c>
      <c r="C1779" s="83" t="s">
        <v>23</v>
      </c>
      <c r="D1779" s="82" t="s">
        <v>2357</v>
      </c>
      <c r="E1779" s="81">
        <v>43747</v>
      </c>
      <c r="F1779" s="27">
        <f t="shared" ca="1" si="27"/>
        <v>726</v>
      </c>
      <c r="G1779" s="79"/>
      <c r="H1779" s="80"/>
      <c r="I1779" s="80"/>
      <c r="J1779" s="79"/>
      <c r="K1779" s="78"/>
      <c r="L1779" s="77">
        <v>43748</v>
      </c>
      <c r="M1779" s="68"/>
      <c r="N1779" s="76" t="s">
        <v>686</v>
      </c>
      <c r="O1779" s="75" t="s">
        <v>2358</v>
      </c>
      <c r="R1779" s="74"/>
    </row>
    <row r="1780" spans="2:18" ht="36" hidden="1" customHeight="1" x14ac:dyDescent="0.25">
      <c r="B1780" s="84">
        <v>1821</v>
      </c>
      <c r="C1780" s="83" t="s">
        <v>23</v>
      </c>
      <c r="D1780" s="82" t="s">
        <v>2359</v>
      </c>
      <c r="E1780" s="81">
        <v>43747</v>
      </c>
      <c r="F1780" s="27">
        <f t="shared" ca="1" si="27"/>
        <v>726</v>
      </c>
      <c r="G1780" s="79"/>
      <c r="H1780" s="80"/>
      <c r="I1780" s="80"/>
      <c r="J1780" s="79"/>
      <c r="K1780" s="78"/>
      <c r="L1780" s="77">
        <v>43748</v>
      </c>
      <c r="M1780" s="68"/>
      <c r="N1780" s="76" t="s">
        <v>686</v>
      </c>
      <c r="O1780" s="75" t="s">
        <v>55</v>
      </c>
      <c r="R1780" s="74"/>
    </row>
    <row r="1781" spans="2:18" ht="36" hidden="1" customHeight="1" x14ac:dyDescent="0.25">
      <c r="B1781" s="84">
        <v>1823</v>
      </c>
      <c r="C1781" s="83" t="s">
        <v>36</v>
      </c>
      <c r="D1781" s="82" t="s">
        <v>2669</v>
      </c>
      <c r="E1781" s="81">
        <v>43747</v>
      </c>
      <c r="F1781" s="27">
        <f t="shared" ca="1" si="27"/>
        <v>726</v>
      </c>
      <c r="G1781" s="79"/>
      <c r="H1781" s="80"/>
      <c r="I1781" s="80"/>
      <c r="J1781" s="79"/>
      <c r="K1781" s="78"/>
      <c r="L1781" s="77">
        <v>43755</v>
      </c>
      <c r="M1781" s="68"/>
      <c r="N1781" s="76" t="s">
        <v>2666</v>
      </c>
      <c r="O1781" s="75" t="s">
        <v>2670</v>
      </c>
      <c r="R1781" s="74"/>
    </row>
    <row r="1782" spans="2:18" ht="36" hidden="1" customHeight="1" x14ac:dyDescent="0.25">
      <c r="B1782" s="84">
        <v>1826</v>
      </c>
      <c r="C1782" s="83" t="s">
        <v>17</v>
      </c>
      <c r="D1782" s="82" t="s">
        <v>3258</v>
      </c>
      <c r="E1782" s="81">
        <v>43747</v>
      </c>
      <c r="F1782" s="27">
        <f t="shared" ca="1" si="27"/>
        <v>726</v>
      </c>
      <c r="G1782" s="79"/>
      <c r="H1782" s="80"/>
      <c r="I1782" s="80"/>
      <c r="J1782" s="79"/>
      <c r="K1782" s="78"/>
      <c r="L1782" s="77">
        <v>43748</v>
      </c>
      <c r="M1782" s="68"/>
      <c r="N1782" s="76" t="s">
        <v>686</v>
      </c>
      <c r="O1782" s="75" t="s">
        <v>2024</v>
      </c>
      <c r="R1782" s="74"/>
    </row>
    <row r="1783" spans="2:18" ht="36" hidden="1" customHeight="1" x14ac:dyDescent="0.25">
      <c r="B1783" s="84">
        <v>1826</v>
      </c>
      <c r="C1783" s="83" t="s">
        <v>40</v>
      </c>
      <c r="D1783" s="82" t="s">
        <v>3259</v>
      </c>
      <c r="E1783" s="81">
        <v>43747</v>
      </c>
      <c r="F1783" s="27">
        <f t="shared" ca="1" si="27"/>
        <v>726</v>
      </c>
      <c r="G1783" s="79"/>
      <c r="H1783" s="80"/>
      <c r="I1783" s="80"/>
      <c r="J1783" s="79"/>
      <c r="K1783" s="78"/>
      <c r="L1783" s="77">
        <v>43748</v>
      </c>
      <c r="M1783" s="68"/>
      <c r="N1783" s="76" t="s">
        <v>2019</v>
      </c>
      <c r="O1783" s="75"/>
      <c r="R1783" s="74"/>
    </row>
    <row r="1784" spans="2:18" ht="36" hidden="1" customHeight="1" x14ac:dyDescent="0.25">
      <c r="B1784" s="84">
        <v>1829</v>
      </c>
      <c r="C1784" s="83" t="s">
        <v>37</v>
      </c>
      <c r="D1784" s="82" t="s">
        <v>3845</v>
      </c>
      <c r="E1784" s="81">
        <v>43747</v>
      </c>
      <c r="F1784" s="27">
        <f t="shared" ca="1" si="27"/>
        <v>726</v>
      </c>
      <c r="G1784" s="79"/>
      <c r="H1784" s="80"/>
      <c r="I1784" s="80"/>
      <c r="J1784" s="79"/>
      <c r="K1784" s="78"/>
      <c r="L1784" s="77">
        <v>43753</v>
      </c>
      <c r="M1784" s="68"/>
      <c r="N1784" s="76" t="s">
        <v>3655</v>
      </c>
      <c r="O1784" s="75"/>
      <c r="R1784" s="74"/>
    </row>
    <row r="1785" spans="2:18" ht="36" hidden="1" customHeight="1" x14ac:dyDescent="0.25">
      <c r="B1785" s="84">
        <v>1645</v>
      </c>
      <c r="C1785" s="83" t="s">
        <v>40</v>
      </c>
      <c r="D1785" s="82" t="s">
        <v>1078</v>
      </c>
      <c r="E1785" s="81">
        <v>43748</v>
      </c>
      <c r="F1785" s="27">
        <f t="shared" ca="1" si="27"/>
        <v>725</v>
      </c>
      <c r="G1785" s="79"/>
      <c r="H1785" s="80"/>
      <c r="I1785" s="80"/>
      <c r="J1785" s="79"/>
      <c r="K1785" s="78"/>
      <c r="L1785" s="77">
        <v>43748</v>
      </c>
      <c r="M1785" s="68"/>
      <c r="N1785" s="76" t="s">
        <v>937</v>
      </c>
      <c r="O1785" s="75" t="s">
        <v>1079</v>
      </c>
      <c r="R1785" s="74"/>
    </row>
    <row r="1786" spans="2:18" ht="36" hidden="1" customHeight="1" x14ac:dyDescent="0.25">
      <c r="B1786" s="84">
        <v>1816</v>
      </c>
      <c r="C1786" s="83" t="s">
        <v>30</v>
      </c>
      <c r="D1786" s="82" t="s">
        <v>1421</v>
      </c>
      <c r="E1786" s="81">
        <v>43748</v>
      </c>
      <c r="F1786" s="27">
        <f t="shared" ca="1" si="27"/>
        <v>725</v>
      </c>
      <c r="G1786" s="79"/>
      <c r="H1786" s="80"/>
      <c r="I1786" s="80"/>
      <c r="J1786" s="79"/>
      <c r="K1786" s="78"/>
      <c r="L1786" s="77">
        <v>43748</v>
      </c>
      <c r="M1786" s="68"/>
      <c r="N1786" s="76" t="s">
        <v>937</v>
      </c>
      <c r="O1786" s="75" t="s">
        <v>1422</v>
      </c>
      <c r="R1786" s="74"/>
    </row>
    <row r="1787" spans="2:18" ht="36" hidden="1" customHeight="1" x14ac:dyDescent="0.25">
      <c r="B1787" s="84">
        <v>1823</v>
      </c>
      <c r="C1787" s="83" t="s">
        <v>18</v>
      </c>
      <c r="D1787" s="82" t="s">
        <v>2671</v>
      </c>
      <c r="E1787" s="81">
        <v>43748</v>
      </c>
      <c r="F1787" s="27">
        <f t="shared" ca="1" si="27"/>
        <v>725</v>
      </c>
      <c r="G1787" s="79"/>
      <c r="H1787" s="80"/>
      <c r="I1787" s="80"/>
      <c r="J1787" s="79"/>
      <c r="K1787" s="78"/>
      <c r="L1787" s="77">
        <v>43755</v>
      </c>
      <c r="M1787" s="68"/>
      <c r="N1787" s="76" t="s">
        <v>2666</v>
      </c>
      <c r="O1787" s="75" t="s">
        <v>2672</v>
      </c>
      <c r="R1787" s="74"/>
    </row>
    <row r="1788" spans="2:18" ht="36" hidden="1" customHeight="1" x14ac:dyDescent="0.25">
      <c r="B1788" s="84">
        <v>1645</v>
      </c>
      <c r="C1788" s="83" t="s">
        <v>33</v>
      </c>
      <c r="D1788" s="82" t="s">
        <v>1080</v>
      </c>
      <c r="E1788" s="81">
        <v>43753</v>
      </c>
      <c r="F1788" s="27">
        <f t="shared" ca="1" si="27"/>
        <v>720</v>
      </c>
      <c r="G1788" s="79"/>
      <c r="H1788" s="80"/>
      <c r="I1788" s="80"/>
      <c r="J1788" s="79"/>
      <c r="K1788" s="78"/>
      <c r="L1788" s="77">
        <v>43768</v>
      </c>
      <c r="M1788" s="68"/>
      <c r="N1788" s="76" t="s">
        <v>686</v>
      </c>
      <c r="O1788" s="75" t="s">
        <v>1081</v>
      </c>
      <c r="R1788" s="74"/>
    </row>
    <row r="1789" spans="2:18" ht="36" hidden="1" customHeight="1" x14ac:dyDescent="0.25">
      <c r="B1789" s="84">
        <v>1646</v>
      </c>
      <c r="C1789" s="83" t="s">
        <v>40</v>
      </c>
      <c r="D1789" s="82" t="s">
        <v>1162</v>
      </c>
      <c r="E1789" s="81">
        <v>43753</v>
      </c>
      <c r="F1789" s="27">
        <f t="shared" ca="1" si="27"/>
        <v>720</v>
      </c>
      <c r="G1789" s="79"/>
      <c r="H1789" s="80"/>
      <c r="I1789" s="80"/>
      <c r="J1789" s="79"/>
      <c r="K1789" s="78"/>
      <c r="L1789" s="77">
        <v>43759</v>
      </c>
      <c r="M1789" s="68"/>
      <c r="N1789" s="76" t="s">
        <v>185</v>
      </c>
      <c r="O1789" s="75" t="s">
        <v>1163</v>
      </c>
      <c r="R1789" s="74"/>
    </row>
    <row r="1790" spans="2:18" ht="36" hidden="1" customHeight="1" x14ac:dyDescent="0.25">
      <c r="B1790" s="84">
        <v>1825</v>
      </c>
      <c r="C1790" s="83" t="s">
        <v>20</v>
      </c>
      <c r="D1790" s="82" t="s">
        <v>3140</v>
      </c>
      <c r="E1790" s="81">
        <v>43753</v>
      </c>
      <c r="F1790" s="27">
        <f t="shared" ca="1" si="27"/>
        <v>720</v>
      </c>
      <c r="G1790" s="79"/>
      <c r="H1790" s="80"/>
      <c r="I1790" s="80"/>
      <c r="J1790" s="79"/>
      <c r="K1790" s="78"/>
      <c r="L1790" s="77">
        <v>43755</v>
      </c>
      <c r="M1790" s="68"/>
      <c r="N1790" s="76" t="s">
        <v>1625</v>
      </c>
      <c r="O1790" s="75" t="s">
        <v>716</v>
      </c>
      <c r="R1790" s="74"/>
    </row>
    <row r="1791" spans="2:18" ht="36" hidden="1" customHeight="1" x14ac:dyDescent="0.25">
      <c r="B1791" s="84">
        <v>1828</v>
      </c>
      <c r="C1791" s="83" t="s">
        <v>35</v>
      </c>
      <c r="D1791" s="82" t="s">
        <v>3654</v>
      </c>
      <c r="E1791" s="81">
        <v>43753</v>
      </c>
      <c r="F1791" s="27">
        <f t="shared" ca="1" si="27"/>
        <v>720</v>
      </c>
      <c r="G1791" s="79"/>
      <c r="H1791" s="80"/>
      <c r="I1791" s="80"/>
      <c r="J1791" s="79"/>
      <c r="K1791" s="78"/>
      <c r="L1791" s="77">
        <v>43753</v>
      </c>
      <c r="M1791" s="68"/>
      <c r="N1791" s="76" t="s">
        <v>3655</v>
      </c>
      <c r="O1791" s="75"/>
      <c r="R1791" s="74"/>
    </row>
    <row r="1792" spans="2:18" ht="36" hidden="1" customHeight="1" x14ac:dyDescent="0.25">
      <c r="B1792" s="84">
        <v>1828</v>
      </c>
      <c r="C1792" s="83" t="s">
        <v>31</v>
      </c>
      <c r="D1792" s="82" t="s">
        <v>3656</v>
      </c>
      <c r="E1792" s="81">
        <v>43754</v>
      </c>
      <c r="F1792" s="27">
        <f t="shared" ca="1" si="27"/>
        <v>719</v>
      </c>
      <c r="G1792" s="79"/>
      <c r="H1792" s="80"/>
      <c r="I1792" s="80"/>
      <c r="J1792" s="79"/>
      <c r="K1792" s="78"/>
      <c r="L1792" s="77">
        <v>43754</v>
      </c>
      <c r="M1792" s="68"/>
      <c r="N1792" s="76"/>
      <c r="O1792" s="75" t="s">
        <v>3657</v>
      </c>
      <c r="R1792" s="74"/>
    </row>
    <row r="1793" spans="2:18" ht="36" hidden="1" customHeight="1" x14ac:dyDescent="0.25">
      <c r="B1793" s="84">
        <v>1641</v>
      </c>
      <c r="C1793" s="83" t="s">
        <v>24</v>
      </c>
      <c r="D1793" s="82" t="s">
        <v>698</v>
      </c>
      <c r="E1793" s="81">
        <v>43755</v>
      </c>
      <c r="F1793" s="27">
        <f t="shared" ca="1" si="27"/>
        <v>718</v>
      </c>
      <c r="G1793" s="79"/>
      <c r="H1793" s="80"/>
      <c r="I1793" s="80"/>
      <c r="J1793" s="79"/>
      <c r="K1793" s="78"/>
      <c r="L1793" s="77">
        <v>43764</v>
      </c>
      <c r="M1793" s="68"/>
      <c r="N1793" s="76" t="s">
        <v>699</v>
      </c>
      <c r="O1793" s="75" t="s">
        <v>700</v>
      </c>
      <c r="R1793" s="74"/>
    </row>
    <row r="1794" spans="2:18" ht="36" hidden="1" customHeight="1" x14ac:dyDescent="0.25">
      <c r="B1794" s="84">
        <v>1827</v>
      </c>
      <c r="C1794" s="83" t="s">
        <v>37</v>
      </c>
      <c r="D1794" s="82" t="s">
        <v>3435</v>
      </c>
      <c r="E1794" s="81">
        <v>43755</v>
      </c>
      <c r="F1794" s="27">
        <f t="shared" ca="1" si="27"/>
        <v>718</v>
      </c>
      <c r="G1794" s="79"/>
      <c r="H1794" s="80"/>
      <c r="I1794" s="80"/>
      <c r="J1794" s="79"/>
      <c r="K1794" s="78"/>
      <c r="L1794" s="77">
        <v>43763</v>
      </c>
      <c r="M1794" s="68"/>
      <c r="N1794" s="76" t="s">
        <v>3436</v>
      </c>
      <c r="O1794" s="75" t="s">
        <v>183</v>
      </c>
      <c r="R1794" s="74"/>
    </row>
    <row r="1795" spans="2:18" ht="36" hidden="1" customHeight="1" x14ac:dyDescent="0.25">
      <c r="B1795" s="84">
        <v>1827</v>
      </c>
      <c r="C1795" s="83" t="s">
        <v>40</v>
      </c>
      <c r="D1795" s="82" t="s">
        <v>3437</v>
      </c>
      <c r="E1795" s="81">
        <v>43755</v>
      </c>
      <c r="F1795" s="27">
        <f t="shared" ca="1" si="27"/>
        <v>718</v>
      </c>
      <c r="G1795" s="79"/>
      <c r="H1795" s="80"/>
      <c r="I1795" s="80"/>
      <c r="J1795" s="79"/>
      <c r="K1795" s="78"/>
      <c r="L1795" s="77">
        <v>43763</v>
      </c>
      <c r="M1795" s="68"/>
      <c r="N1795" s="76" t="s">
        <v>3436</v>
      </c>
      <c r="O1795" s="75" t="s">
        <v>3438</v>
      </c>
      <c r="R1795" s="74"/>
    </row>
    <row r="1796" spans="2:18" ht="36" hidden="1" customHeight="1" x14ac:dyDescent="0.25">
      <c r="B1796" s="84">
        <v>1829</v>
      </c>
      <c r="C1796" s="83" t="s">
        <v>17</v>
      </c>
      <c r="D1796" s="82" t="s">
        <v>3846</v>
      </c>
      <c r="E1796" s="81">
        <v>43755</v>
      </c>
      <c r="F1796" s="27">
        <f t="shared" ca="1" si="27"/>
        <v>718</v>
      </c>
      <c r="G1796" s="79"/>
      <c r="H1796" s="80"/>
      <c r="I1796" s="80"/>
      <c r="J1796" s="79"/>
      <c r="K1796" s="78"/>
      <c r="L1796" s="77">
        <v>43767</v>
      </c>
      <c r="M1796" s="68"/>
      <c r="N1796" s="76" t="s">
        <v>3847</v>
      </c>
      <c r="O1796" s="75"/>
      <c r="R1796" s="74"/>
    </row>
    <row r="1797" spans="2:18" ht="36" hidden="1" customHeight="1" x14ac:dyDescent="0.25">
      <c r="B1797" s="84">
        <v>1820</v>
      </c>
      <c r="C1797" s="83" t="s">
        <v>17</v>
      </c>
      <c r="D1797" s="82" t="s">
        <v>1405</v>
      </c>
      <c r="E1797" s="81">
        <v>43756</v>
      </c>
      <c r="F1797" s="27">
        <f t="shared" ca="1" si="27"/>
        <v>717</v>
      </c>
      <c r="G1797" s="79"/>
      <c r="H1797" s="80"/>
      <c r="I1797" s="80"/>
      <c r="J1797" s="79"/>
      <c r="K1797" s="78"/>
      <c r="L1797" s="77">
        <v>43801</v>
      </c>
      <c r="M1797" s="68"/>
      <c r="N1797" s="76"/>
      <c r="O1797" s="75"/>
      <c r="R1797" s="74"/>
    </row>
    <row r="1798" spans="2:18" ht="36" hidden="1" customHeight="1" x14ac:dyDescent="0.25">
      <c r="B1798" s="84">
        <v>1644</v>
      </c>
      <c r="C1798" s="83" t="s">
        <v>11</v>
      </c>
      <c r="D1798" s="82" t="s">
        <v>987</v>
      </c>
      <c r="E1798" s="81">
        <v>43759</v>
      </c>
      <c r="F1798" s="27">
        <f t="shared" ca="1" si="27"/>
        <v>714</v>
      </c>
      <c r="G1798" s="79"/>
      <c r="H1798" s="80"/>
      <c r="I1798" s="80"/>
      <c r="J1798" s="79"/>
      <c r="K1798" s="78"/>
      <c r="L1798" s="77">
        <v>43759</v>
      </c>
      <c r="M1798" s="68"/>
      <c r="N1798" s="76"/>
      <c r="O1798" s="75" t="s">
        <v>988</v>
      </c>
      <c r="R1798" s="74"/>
    </row>
    <row r="1799" spans="2:18" ht="36" hidden="1" customHeight="1" x14ac:dyDescent="0.25">
      <c r="B1799" s="84">
        <v>1644</v>
      </c>
      <c r="C1799" s="83" t="s">
        <v>19</v>
      </c>
      <c r="D1799" s="82" t="s">
        <v>967</v>
      </c>
      <c r="E1799" s="81">
        <v>43759</v>
      </c>
      <c r="F1799" s="27">
        <f t="shared" ca="1" si="27"/>
        <v>714</v>
      </c>
      <c r="G1799" s="79"/>
      <c r="H1799" s="80"/>
      <c r="I1799" s="80"/>
      <c r="J1799" s="79"/>
      <c r="K1799" s="78"/>
      <c r="L1799" s="77">
        <v>43759</v>
      </c>
      <c r="M1799" s="68"/>
      <c r="N1799" s="76" t="s">
        <v>703</v>
      </c>
      <c r="O1799" s="75" t="s">
        <v>989</v>
      </c>
      <c r="R1799" s="74"/>
    </row>
    <row r="1800" spans="2:18" ht="36" hidden="1" customHeight="1" x14ac:dyDescent="0.25">
      <c r="B1800" s="84">
        <v>1823</v>
      </c>
      <c r="C1800" s="83" t="s">
        <v>37</v>
      </c>
      <c r="D1800" s="82" t="s">
        <v>2673</v>
      </c>
      <c r="E1800" s="81">
        <v>43759</v>
      </c>
      <c r="F1800" s="27">
        <f t="shared" ca="1" si="27"/>
        <v>714</v>
      </c>
      <c r="G1800" s="79"/>
      <c r="H1800" s="80"/>
      <c r="I1800" s="80"/>
      <c r="J1800" s="79"/>
      <c r="K1800" s="78"/>
      <c r="L1800" s="77">
        <v>43760</v>
      </c>
      <c r="M1800" s="68"/>
      <c r="N1800" s="76" t="s">
        <v>1797</v>
      </c>
      <c r="O1800" s="75"/>
      <c r="R1800" s="74"/>
    </row>
    <row r="1801" spans="2:18" ht="36" hidden="1" customHeight="1" x14ac:dyDescent="0.25">
      <c r="B1801" s="84">
        <v>1823</v>
      </c>
      <c r="C1801" s="83" t="s">
        <v>40</v>
      </c>
      <c r="D1801" s="82" t="s">
        <v>2674</v>
      </c>
      <c r="E1801" s="81">
        <v>43759</v>
      </c>
      <c r="F1801" s="27">
        <f t="shared" ca="1" si="27"/>
        <v>714</v>
      </c>
      <c r="G1801" s="79"/>
      <c r="H1801" s="80"/>
      <c r="I1801" s="80"/>
      <c r="J1801" s="79"/>
      <c r="K1801" s="78"/>
      <c r="L1801" s="77">
        <v>43781</v>
      </c>
      <c r="M1801" s="68"/>
      <c r="N1801" s="76" t="s">
        <v>2675</v>
      </c>
      <c r="O1801" s="75" t="s">
        <v>2676</v>
      </c>
      <c r="R1801" s="74"/>
    </row>
    <row r="1802" spans="2:18" ht="36" hidden="1" customHeight="1" x14ac:dyDescent="0.25">
      <c r="B1802" s="84">
        <v>1826</v>
      </c>
      <c r="C1802" s="83" t="s">
        <v>40</v>
      </c>
      <c r="D1802" s="82" t="s">
        <v>3260</v>
      </c>
      <c r="E1802" s="81">
        <v>43760</v>
      </c>
      <c r="F1802" s="27">
        <f t="shared" ca="1" si="27"/>
        <v>713</v>
      </c>
      <c r="G1802" s="79"/>
      <c r="H1802" s="80"/>
      <c r="I1802" s="80"/>
      <c r="J1802" s="79"/>
      <c r="K1802" s="78"/>
      <c r="L1802" s="77">
        <v>43761</v>
      </c>
      <c r="M1802" s="68"/>
      <c r="N1802" s="76" t="s">
        <v>3261</v>
      </c>
      <c r="O1802" s="75"/>
      <c r="R1802" s="74"/>
    </row>
    <row r="1803" spans="2:18" ht="36" hidden="1" customHeight="1" x14ac:dyDescent="0.25">
      <c r="B1803" s="84">
        <v>1828</v>
      </c>
      <c r="C1803" s="83" t="s">
        <v>23</v>
      </c>
      <c r="D1803" s="82" t="s">
        <v>3658</v>
      </c>
      <c r="E1803" s="81">
        <v>43760</v>
      </c>
      <c r="F1803" s="27">
        <f t="shared" ca="1" si="27"/>
        <v>713</v>
      </c>
      <c r="G1803" s="79"/>
      <c r="H1803" s="80"/>
      <c r="I1803" s="80"/>
      <c r="J1803" s="79"/>
      <c r="K1803" s="78"/>
      <c r="L1803" s="77">
        <v>43764</v>
      </c>
      <c r="M1803" s="68"/>
      <c r="N1803" s="76"/>
      <c r="O1803" s="75" t="s">
        <v>3659</v>
      </c>
      <c r="R1803" s="74"/>
    </row>
    <row r="1804" spans="2:18" ht="36" hidden="1" customHeight="1" x14ac:dyDescent="0.25">
      <c r="B1804" s="84">
        <v>1822</v>
      </c>
      <c r="C1804" s="83" t="s">
        <v>17</v>
      </c>
      <c r="D1804" s="82" t="s">
        <v>1627</v>
      </c>
      <c r="E1804" s="81">
        <v>43761</v>
      </c>
      <c r="F1804" s="27">
        <f t="shared" ca="1" si="27"/>
        <v>712</v>
      </c>
      <c r="G1804" s="79"/>
      <c r="H1804" s="80"/>
      <c r="I1804" s="80"/>
      <c r="J1804" s="79"/>
      <c r="K1804" s="78"/>
      <c r="L1804" s="77">
        <v>43773</v>
      </c>
      <c r="M1804" s="68"/>
      <c r="N1804" s="76"/>
      <c r="O1804" s="75" t="s">
        <v>2476</v>
      </c>
      <c r="R1804" s="74"/>
    </row>
    <row r="1805" spans="2:18" ht="36" hidden="1" customHeight="1" x14ac:dyDescent="0.25">
      <c r="B1805" s="84">
        <v>1825</v>
      </c>
      <c r="C1805" s="83" t="s">
        <v>12</v>
      </c>
      <c r="D1805" s="82" t="s">
        <v>3141</v>
      </c>
      <c r="E1805" s="81">
        <v>43762</v>
      </c>
      <c r="F1805" s="27">
        <f t="shared" ca="1" si="27"/>
        <v>711</v>
      </c>
      <c r="G1805" s="79"/>
      <c r="H1805" s="80"/>
      <c r="I1805" s="80"/>
      <c r="J1805" s="79"/>
      <c r="K1805" s="78"/>
      <c r="L1805" s="77">
        <v>43762</v>
      </c>
      <c r="M1805" s="68"/>
      <c r="N1805" s="76" t="s">
        <v>2182</v>
      </c>
      <c r="O1805" s="75"/>
      <c r="R1805" s="74"/>
    </row>
    <row r="1806" spans="2:18" ht="36" hidden="1" customHeight="1" x14ac:dyDescent="0.25">
      <c r="B1806" s="84">
        <v>1820</v>
      </c>
      <c r="C1806" s="83" t="s">
        <v>1082</v>
      </c>
      <c r="D1806" s="82" t="s">
        <v>1803</v>
      </c>
      <c r="E1806" s="81">
        <v>43763</v>
      </c>
      <c r="F1806" s="27">
        <f t="shared" ca="1" si="27"/>
        <v>710</v>
      </c>
      <c r="G1806" s="79"/>
      <c r="H1806" s="80"/>
      <c r="I1806" s="80"/>
      <c r="J1806" s="79"/>
      <c r="K1806" s="78"/>
      <c r="L1806" s="77">
        <v>43795</v>
      </c>
      <c r="M1806" s="68"/>
      <c r="N1806" s="76" t="s">
        <v>185</v>
      </c>
      <c r="O1806" s="75" t="s">
        <v>2191</v>
      </c>
      <c r="R1806" s="74"/>
    </row>
    <row r="1807" spans="2:18" ht="36" hidden="1" customHeight="1" x14ac:dyDescent="0.25">
      <c r="B1807" s="84">
        <v>1816</v>
      </c>
      <c r="C1807" s="83" t="s">
        <v>33</v>
      </c>
      <c r="D1807" s="82" t="s">
        <v>1423</v>
      </c>
      <c r="E1807" s="81">
        <v>43766</v>
      </c>
      <c r="F1807" s="27">
        <f t="shared" ca="1" si="27"/>
        <v>707</v>
      </c>
      <c r="G1807" s="79"/>
      <c r="H1807" s="80"/>
      <c r="I1807" s="80"/>
      <c r="J1807" s="79"/>
      <c r="K1807" s="78"/>
      <c r="L1807" s="77">
        <v>43766</v>
      </c>
      <c r="M1807" s="68"/>
      <c r="N1807" s="76" t="s">
        <v>1424</v>
      </c>
      <c r="O1807" s="75" t="s">
        <v>1425</v>
      </c>
      <c r="R1807" s="74"/>
    </row>
    <row r="1808" spans="2:18" ht="36" hidden="1" customHeight="1" x14ac:dyDescent="0.25">
      <c r="B1808" s="84">
        <v>1825</v>
      </c>
      <c r="C1808" s="83" t="s">
        <v>17</v>
      </c>
      <c r="D1808" s="82" t="s">
        <v>3144</v>
      </c>
      <c r="E1808" s="81">
        <v>43766</v>
      </c>
      <c r="F1808" s="27">
        <f t="shared" ref="F1808:F1871" ca="1" si="28">IF(E1808&lt;&gt;"",TODAY()-E1808,"")</f>
        <v>707</v>
      </c>
      <c r="G1808" s="79"/>
      <c r="H1808" s="80"/>
      <c r="I1808" s="80"/>
      <c r="J1808" s="79"/>
      <c r="K1808" s="78"/>
      <c r="L1808" s="77">
        <v>43795</v>
      </c>
      <c r="M1808" s="68"/>
      <c r="N1808" s="76" t="s">
        <v>185</v>
      </c>
      <c r="O1808" s="75" t="s">
        <v>3145</v>
      </c>
      <c r="R1808" s="74"/>
    </row>
    <row r="1809" spans="2:18" ht="36" hidden="1" customHeight="1" x14ac:dyDescent="0.25">
      <c r="B1809" s="84">
        <v>1827</v>
      </c>
      <c r="C1809" s="83" t="s">
        <v>37</v>
      </c>
      <c r="D1809" s="82" t="s">
        <v>2673</v>
      </c>
      <c r="E1809" s="81">
        <v>43766</v>
      </c>
      <c r="F1809" s="27">
        <f t="shared" ca="1" si="28"/>
        <v>707</v>
      </c>
      <c r="G1809" s="79"/>
      <c r="H1809" s="80"/>
      <c r="I1809" s="80"/>
      <c r="J1809" s="79"/>
      <c r="K1809" s="78"/>
      <c r="L1809" s="77">
        <v>43766</v>
      </c>
      <c r="M1809" s="68"/>
      <c r="N1809" s="76" t="s">
        <v>1797</v>
      </c>
      <c r="O1809" s="75"/>
      <c r="R1809" s="74"/>
    </row>
    <row r="1810" spans="2:18" ht="36" hidden="1" customHeight="1" x14ac:dyDescent="0.25">
      <c r="B1810" s="84">
        <v>1821</v>
      </c>
      <c r="C1810" s="83" t="s">
        <v>23</v>
      </c>
      <c r="D1810" s="82" t="s">
        <v>2360</v>
      </c>
      <c r="E1810" s="81">
        <v>43768</v>
      </c>
      <c r="F1810" s="27">
        <f t="shared" ca="1" si="28"/>
        <v>705</v>
      </c>
      <c r="G1810" s="79"/>
      <c r="H1810" s="80"/>
      <c r="I1810" s="80"/>
      <c r="J1810" s="79"/>
      <c r="K1810" s="78"/>
      <c r="L1810" s="77">
        <v>43778</v>
      </c>
      <c r="M1810" s="68"/>
      <c r="N1810" s="76" t="s">
        <v>2361</v>
      </c>
      <c r="O1810" s="75"/>
      <c r="R1810" s="74"/>
    </row>
    <row r="1811" spans="2:18" ht="36" hidden="1" customHeight="1" x14ac:dyDescent="0.25">
      <c r="B1811" s="84">
        <v>1646</v>
      </c>
      <c r="C1811" s="83" t="s">
        <v>17</v>
      </c>
      <c r="D1811" s="82" t="s">
        <v>1164</v>
      </c>
      <c r="E1811" s="81">
        <v>43769</v>
      </c>
      <c r="F1811" s="27">
        <f t="shared" ca="1" si="28"/>
        <v>704</v>
      </c>
      <c r="G1811" s="79"/>
      <c r="H1811" s="80"/>
      <c r="I1811" s="80"/>
      <c r="J1811" s="79"/>
      <c r="K1811" s="78"/>
      <c r="L1811" s="77">
        <v>43778</v>
      </c>
      <c r="M1811" s="68"/>
      <c r="N1811" s="76" t="s">
        <v>1165</v>
      </c>
      <c r="O1811" s="75"/>
      <c r="R1811" s="74"/>
    </row>
    <row r="1812" spans="2:18" ht="36" hidden="1" customHeight="1" x14ac:dyDescent="0.25">
      <c r="B1812" s="84">
        <v>1824</v>
      </c>
      <c r="C1812" s="83" t="s">
        <v>23</v>
      </c>
      <c r="D1812" s="82" t="s">
        <v>2891</v>
      </c>
      <c r="E1812" s="81">
        <v>43769</v>
      </c>
      <c r="F1812" s="27">
        <f t="shared" ca="1" si="28"/>
        <v>704</v>
      </c>
      <c r="G1812" s="79"/>
      <c r="H1812" s="80"/>
      <c r="I1812" s="80"/>
      <c r="J1812" s="79"/>
      <c r="K1812" s="78"/>
      <c r="L1812" s="77">
        <v>43775</v>
      </c>
      <c r="M1812" s="68"/>
      <c r="N1812" s="76" t="s">
        <v>703</v>
      </c>
      <c r="O1812" s="75" t="s">
        <v>51</v>
      </c>
      <c r="R1812" s="74"/>
    </row>
    <row r="1813" spans="2:18" ht="36" hidden="1" customHeight="1" x14ac:dyDescent="0.25">
      <c r="B1813" s="84">
        <v>1830</v>
      </c>
      <c r="C1813" s="83" t="s">
        <v>23</v>
      </c>
      <c r="D1813" s="82" t="s">
        <v>458</v>
      </c>
      <c r="E1813" s="81">
        <v>43769</v>
      </c>
      <c r="F1813" s="27">
        <f t="shared" ca="1" si="28"/>
        <v>704</v>
      </c>
      <c r="G1813" s="79"/>
      <c r="H1813" s="80"/>
      <c r="I1813" s="80"/>
      <c r="J1813" s="79"/>
      <c r="K1813" s="78"/>
      <c r="L1813" s="77">
        <v>43780</v>
      </c>
      <c r="M1813" s="68"/>
      <c r="N1813" s="76" t="s">
        <v>1165</v>
      </c>
      <c r="O1813" s="75"/>
      <c r="R1813" s="74"/>
    </row>
    <row r="1814" spans="2:18" ht="36" hidden="1" customHeight="1" x14ac:dyDescent="0.25">
      <c r="B1814" s="84">
        <v>1816</v>
      </c>
      <c r="C1814" s="83" t="s">
        <v>40</v>
      </c>
      <c r="D1814" s="82" t="s">
        <v>1430</v>
      </c>
      <c r="E1814" s="81">
        <v>43770</v>
      </c>
      <c r="F1814" s="27">
        <f t="shared" ca="1" si="28"/>
        <v>703</v>
      </c>
      <c r="G1814" s="79"/>
      <c r="H1814" s="80"/>
      <c r="I1814" s="80"/>
      <c r="J1814" s="79"/>
      <c r="K1814" s="78"/>
      <c r="L1814" s="77">
        <v>43809</v>
      </c>
      <c r="M1814" s="68"/>
      <c r="N1814" s="76" t="s">
        <v>1431</v>
      </c>
      <c r="O1814" s="75"/>
      <c r="R1814" s="74"/>
    </row>
    <row r="1815" spans="2:18" ht="36" hidden="1" customHeight="1" x14ac:dyDescent="0.25">
      <c r="B1815" s="84">
        <v>1820</v>
      </c>
      <c r="C1815" s="83" t="s">
        <v>40</v>
      </c>
      <c r="D1815" s="82" t="s">
        <v>1430</v>
      </c>
      <c r="E1815" s="81">
        <v>43770</v>
      </c>
      <c r="F1815" s="27">
        <f t="shared" ca="1" si="28"/>
        <v>703</v>
      </c>
      <c r="G1815" s="79"/>
      <c r="H1815" s="80"/>
      <c r="I1815" s="80"/>
      <c r="J1815" s="79"/>
      <c r="K1815" s="78"/>
      <c r="L1815" s="77">
        <v>43801</v>
      </c>
      <c r="M1815" s="68"/>
      <c r="N1815" s="76"/>
      <c r="O1815" s="75"/>
      <c r="R1815" s="74"/>
    </row>
    <row r="1816" spans="2:18" ht="36" hidden="1" customHeight="1" x14ac:dyDescent="0.25">
      <c r="B1816" s="84">
        <v>1821</v>
      </c>
      <c r="C1816" s="83" t="s">
        <v>19</v>
      </c>
      <c r="D1816" s="82" t="s">
        <v>2362</v>
      </c>
      <c r="E1816" s="81">
        <v>43770</v>
      </c>
      <c r="F1816" s="27">
        <f t="shared" ca="1" si="28"/>
        <v>703</v>
      </c>
      <c r="G1816" s="79"/>
      <c r="H1816" s="80"/>
      <c r="I1816" s="80"/>
      <c r="J1816" s="79"/>
      <c r="K1816" s="78"/>
      <c r="L1816" s="77">
        <v>43778</v>
      </c>
      <c r="M1816" s="68"/>
      <c r="N1816" s="76" t="s">
        <v>2361</v>
      </c>
      <c r="O1816" s="75"/>
      <c r="R1816" s="74"/>
    </row>
    <row r="1817" spans="2:18" ht="36" hidden="1" customHeight="1" x14ac:dyDescent="0.25">
      <c r="B1817" s="84">
        <v>1821</v>
      </c>
      <c r="C1817" s="83" t="s">
        <v>21</v>
      </c>
      <c r="D1817" s="82" t="s">
        <v>2363</v>
      </c>
      <c r="E1817" s="81">
        <v>43770</v>
      </c>
      <c r="F1817" s="27">
        <f t="shared" ca="1" si="28"/>
        <v>703</v>
      </c>
      <c r="G1817" s="79"/>
      <c r="H1817" s="80"/>
      <c r="I1817" s="80"/>
      <c r="J1817" s="79"/>
      <c r="K1817" s="78"/>
      <c r="L1817" s="77">
        <v>43778</v>
      </c>
      <c r="M1817" s="68"/>
      <c r="N1817" s="76" t="s">
        <v>2361</v>
      </c>
      <c r="O1817" s="75"/>
      <c r="R1817" s="74"/>
    </row>
    <row r="1818" spans="2:18" ht="36" hidden="1" customHeight="1" x14ac:dyDescent="0.25">
      <c r="B1818" s="84">
        <v>1824</v>
      </c>
      <c r="C1818" s="83" t="s">
        <v>40</v>
      </c>
      <c r="D1818" s="82" t="s">
        <v>1430</v>
      </c>
      <c r="E1818" s="81">
        <v>43770</v>
      </c>
      <c r="F1818" s="27">
        <f t="shared" ca="1" si="28"/>
        <v>703</v>
      </c>
      <c r="G1818" s="79"/>
      <c r="H1818" s="80"/>
      <c r="I1818" s="80"/>
      <c r="J1818" s="79"/>
      <c r="K1818" s="78"/>
      <c r="L1818" s="77">
        <v>43801</v>
      </c>
      <c r="M1818" s="68"/>
      <c r="N1818" s="76" t="s">
        <v>2898</v>
      </c>
      <c r="O1818" s="75"/>
      <c r="R1818" s="74"/>
    </row>
    <row r="1819" spans="2:18" ht="36" hidden="1" customHeight="1" x14ac:dyDescent="0.25">
      <c r="B1819" s="84">
        <v>1826</v>
      </c>
      <c r="C1819" s="83" t="s">
        <v>40</v>
      </c>
      <c r="D1819" s="82" t="s">
        <v>1430</v>
      </c>
      <c r="E1819" s="81">
        <v>43770</v>
      </c>
      <c r="F1819" s="27">
        <f t="shared" ca="1" si="28"/>
        <v>703</v>
      </c>
      <c r="G1819" s="79"/>
      <c r="H1819" s="80"/>
      <c r="I1819" s="80"/>
      <c r="J1819" s="79"/>
      <c r="K1819" s="78"/>
      <c r="L1819" s="77">
        <v>43795</v>
      </c>
      <c r="M1819" s="68"/>
      <c r="N1819" s="76" t="s">
        <v>2019</v>
      </c>
      <c r="O1819" s="75"/>
      <c r="R1819" s="74"/>
    </row>
    <row r="1820" spans="2:18" ht="36" hidden="1" customHeight="1" x14ac:dyDescent="0.25">
      <c r="B1820" s="84">
        <v>1830</v>
      </c>
      <c r="C1820" s="83" t="s">
        <v>40</v>
      </c>
      <c r="D1820" s="82" t="s">
        <v>1430</v>
      </c>
      <c r="E1820" s="81">
        <v>43770</v>
      </c>
      <c r="F1820" s="27">
        <f t="shared" ca="1" si="28"/>
        <v>703</v>
      </c>
      <c r="G1820" s="79"/>
      <c r="H1820" s="80"/>
      <c r="I1820" s="80"/>
      <c r="J1820" s="79"/>
      <c r="K1820" s="78"/>
      <c r="L1820" s="77">
        <v>43789</v>
      </c>
      <c r="M1820" s="68"/>
      <c r="N1820" s="76" t="s">
        <v>1074</v>
      </c>
      <c r="O1820" s="75" t="s">
        <v>4015</v>
      </c>
      <c r="R1820" s="74"/>
    </row>
    <row r="1821" spans="2:18" ht="36" hidden="1" customHeight="1" x14ac:dyDescent="0.25">
      <c r="B1821" s="84">
        <v>1816</v>
      </c>
      <c r="C1821" s="83" t="s">
        <v>17</v>
      </c>
      <c r="D1821" s="82" t="s">
        <v>1432</v>
      </c>
      <c r="E1821" s="81">
        <v>43771</v>
      </c>
      <c r="F1821" s="27">
        <f t="shared" ca="1" si="28"/>
        <v>702</v>
      </c>
      <c r="G1821" s="79"/>
      <c r="H1821" s="80"/>
      <c r="I1821" s="80"/>
      <c r="J1821" s="79"/>
      <c r="K1821" s="78"/>
      <c r="L1821" s="77">
        <v>43809</v>
      </c>
      <c r="M1821" s="68"/>
      <c r="N1821" s="76" t="s">
        <v>1431</v>
      </c>
      <c r="O1821" s="75"/>
      <c r="R1821" s="74"/>
    </row>
    <row r="1822" spans="2:18" ht="36" hidden="1" customHeight="1" x14ac:dyDescent="0.25">
      <c r="B1822" s="84">
        <v>1816</v>
      </c>
      <c r="C1822" s="83" t="s">
        <v>17</v>
      </c>
      <c r="D1822" s="82" t="s">
        <v>1433</v>
      </c>
      <c r="E1822" s="81">
        <v>43771</v>
      </c>
      <c r="F1822" s="27">
        <f t="shared" ca="1" si="28"/>
        <v>702</v>
      </c>
      <c r="G1822" s="79"/>
      <c r="H1822" s="80"/>
      <c r="I1822" s="80"/>
      <c r="J1822" s="79"/>
      <c r="K1822" s="78"/>
      <c r="L1822" s="77">
        <v>43809</v>
      </c>
      <c r="M1822" s="68"/>
      <c r="N1822" s="76" t="s">
        <v>1431</v>
      </c>
      <c r="O1822" s="75" t="s">
        <v>1434</v>
      </c>
      <c r="R1822" s="74"/>
    </row>
    <row r="1823" spans="2:18" ht="36" hidden="1" customHeight="1" x14ac:dyDescent="0.25">
      <c r="B1823" s="84">
        <v>1817</v>
      </c>
      <c r="C1823" s="83" t="s">
        <v>17</v>
      </c>
      <c r="D1823" s="82" t="s">
        <v>1627</v>
      </c>
      <c r="E1823" s="81">
        <v>43771</v>
      </c>
      <c r="F1823" s="27">
        <f t="shared" ca="1" si="28"/>
        <v>702</v>
      </c>
      <c r="G1823" s="79"/>
      <c r="H1823" s="80"/>
      <c r="I1823" s="80"/>
      <c r="J1823" s="79"/>
      <c r="K1823" s="78"/>
      <c r="L1823" s="77">
        <v>43812</v>
      </c>
      <c r="M1823" s="68"/>
      <c r="N1823" s="76" t="s">
        <v>185</v>
      </c>
      <c r="O1823" s="75" t="s">
        <v>1628</v>
      </c>
      <c r="R1823" s="74"/>
    </row>
    <row r="1824" spans="2:18" ht="36" hidden="1" customHeight="1" x14ac:dyDescent="0.25">
      <c r="B1824" s="84">
        <v>1818</v>
      </c>
      <c r="C1824" s="83" t="s">
        <v>17</v>
      </c>
      <c r="D1824" s="82" t="s">
        <v>1433</v>
      </c>
      <c r="E1824" s="81">
        <v>43771</v>
      </c>
      <c r="F1824" s="27">
        <f t="shared" ca="1" si="28"/>
        <v>702</v>
      </c>
      <c r="G1824" s="79"/>
      <c r="H1824" s="80"/>
      <c r="I1824" s="80"/>
      <c r="J1824" s="79"/>
      <c r="K1824" s="78"/>
      <c r="L1824" s="77">
        <v>43791</v>
      </c>
      <c r="M1824" s="68"/>
      <c r="N1824" s="76"/>
      <c r="O1824" s="75" t="s">
        <v>1799</v>
      </c>
      <c r="R1824" s="74"/>
    </row>
    <row r="1825" spans="2:18" ht="36" hidden="1" customHeight="1" x14ac:dyDescent="0.25">
      <c r="B1825" s="84">
        <v>1818</v>
      </c>
      <c r="C1825" s="83" t="s">
        <v>17</v>
      </c>
      <c r="D1825" s="82" t="s">
        <v>1627</v>
      </c>
      <c r="E1825" s="81">
        <v>43771</v>
      </c>
      <c r="F1825" s="27">
        <f t="shared" ca="1" si="28"/>
        <v>702</v>
      </c>
      <c r="G1825" s="79"/>
      <c r="H1825" s="80"/>
      <c r="I1825" s="80"/>
      <c r="J1825" s="79"/>
      <c r="K1825" s="78"/>
      <c r="L1825" s="77">
        <v>43819</v>
      </c>
      <c r="M1825" s="68"/>
      <c r="N1825" s="76" t="s">
        <v>686</v>
      </c>
      <c r="O1825" s="75" t="s">
        <v>1805</v>
      </c>
      <c r="R1825" s="74"/>
    </row>
    <row r="1826" spans="2:18" ht="36" hidden="1" customHeight="1" x14ac:dyDescent="0.25">
      <c r="B1826" s="84">
        <v>1819</v>
      </c>
      <c r="C1826" s="83" t="s">
        <v>17</v>
      </c>
      <c r="D1826" s="82" t="s">
        <v>1432</v>
      </c>
      <c r="E1826" s="81">
        <v>43771</v>
      </c>
      <c r="F1826" s="27">
        <f t="shared" ca="1" si="28"/>
        <v>702</v>
      </c>
      <c r="G1826" s="79"/>
      <c r="H1826" s="80"/>
      <c r="I1826" s="80"/>
      <c r="J1826" s="79"/>
      <c r="K1826" s="78"/>
      <c r="L1826" s="77">
        <v>43816</v>
      </c>
      <c r="M1826" s="68"/>
      <c r="N1826" s="76" t="s">
        <v>185</v>
      </c>
      <c r="O1826" s="75" t="s">
        <v>2027</v>
      </c>
      <c r="R1826" s="74"/>
    </row>
    <row r="1827" spans="2:18" ht="36" hidden="1" customHeight="1" x14ac:dyDescent="0.25">
      <c r="B1827" s="84">
        <v>1816</v>
      </c>
      <c r="C1827" s="83" t="s">
        <v>15</v>
      </c>
      <c r="D1827" s="82" t="s">
        <v>1426</v>
      </c>
      <c r="E1827" s="81">
        <v>43775</v>
      </c>
      <c r="F1827" s="27">
        <f t="shared" ca="1" si="28"/>
        <v>698</v>
      </c>
      <c r="G1827" s="79"/>
      <c r="H1827" s="80"/>
      <c r="I1827" s="80"/>
      <c r="J1827" s="79"/>
      <c r="K1827" s="78"/>
      <c r="L1827" s="77">
        <v>43791</v>
      </c>
      <c r="M1827" s="68"/>
      <c r="N1827" s="76" t="s">
        <v>185</v>
      </c>
      <c r="O1827" s="75"/>
      <c r="R1827" s="74"/>
    </row>
    <row r="1828" spans="2:18" ht="36" hidden="1" customHeight="1" x14ac:dyDescent="0.25">
      <c r="B1828" s="84">
        <v>1827</v>
      </c>
      <c r="C1828" s="83" t="s">
        <v>23</v>
      </c>
      <c r="D1828" s="82" t="s">
        <v>3439</v>
      </c>
      <c r="E1828" s="81">
        <v>43775</v>
      </c>
      <c r="F1828" s="27">
        <f t="shared" ca="1" si="28"/>
        <v>698</v>
      </c>
      <c r="G1828" s="79"/>
      <c r="H1828" s="80"/>
      <c r="I1828" s="80"/>
      <c r="J1828" s="79"/>
      <c r="K1828" s="78"/>
      <c r="L1828" s="77">
        <v>43795</v>
      </c>
      <c r="M1828" s="68"/>
      <c r="N1828" s="76" t="s">
        <v>185</v>
      </c>
      <c r="O1828" s="75" t="s">
        <v>3440</v>
      </c>
      <c r="R1828" s="74"/>
    </row>
    <row r="1829" spans="2:18" ht="36" hidden="1" customHeight="1" x14ac:dyDescent="0.25">
      <c r="B1829" s="84">
        <v>1830</v>
      </c>
      <c r="C1829" s="83" t="s">
        <v>23</v>
      </c>
      <c r="D1829" s="82" t="s">
        <v>346</v>
      </c>
      <c r="E1829" s="81">
        <v>43775</v>
      </c>
      <c r="F1829" s="27">
        <f t="shared" ca="1" si="28"/>
        <v>698</v>
      </c>
      <c r="G1829" s="79"/>
      <c r="H1829" s="80"/>
      <c r="I1829" s="80"/>
      <c r="J1829" s="79"/>
      <c r="K1829" s="78"/>
      <c r="L1829" s="77">
        <v>43780</v>
      </c>
      <c r="M1829" s="68"/>
      <c r="N1829" s="76" t="s">
        <v>1165</v>
      </c>
      <c r="O1829" s="75"/>
      <c r="R1829" s="74"/>
    </row>
    <row r="1830" spans="2:18" ht="36" hidden="1" customHeight="1" x14ac:dyDescent="0.25">
      <c r="B1830" s="84">
        <v>1830</v>
      </c>
      <c r="C1830" s="83" t="s">
        <v>23</v>
      </c>
      <c r="D1830" s="82" t="s">
        <v>3568</v>
      </c>
      <c r="E1830" s="81">
        <v>43775</v>
      </c>
      <c r="F1830" s="27">
        <f t="shared" ca="1" si="28"/>
        <v>698</v>
      </c>
      <c r="G1830" s="79"/>
      <c r="H1830" s="80"/>
      <c r="I1830" s="80"/>
      <c r="J1830" s="79"/>
      <c r="K1830" s="78"/>
      <c r="L1830" s="77">
        <v>43780</v>
      </c>
      <c r="M1830" s="68"/>
      <c r="N1830" s="76" t="s">
        <v>1165</v>
      </c>
      <c r="O1830" s="75"/>
      <c r="R1830" s="74"/>
    </row>
    <row r="1831" spans="2:18" ht="36" hidden="1" customHeight="1" x14ac:dyDescent="0.25">
      <c r="B1831" s="84">
        <v>1830</v>
      </c>
      <c r="C1831" s="83" t="s">
        <v>20</v>
      </c>
      <c r="D1831" s="82" t="s">
        <v>4014</v>
      </c>
      <c r="E1831" s="81">
        <v>43776</v>
      </c>
      <c r="F1831" s="27">
        <f t="shared" ca="1" si="28"/>
        <v>697</v>
      </c>
      <c r="G1831" s="79"/>
      <c r="H1831" s="80"/>
      <c r="I1831" s="80"/>
      <c r="J1831" s="79"/>
      <c r="K1831" s="78"/>
      <c r="L1831" s="77">
        <v>43780</v>
      </c>
      <c r="M1831" s="68"/>
      <c r="N1831" s="76" t="s">
        <v>1165</v>
      </c>
      <c r="O1831" s="75"/>
      <c r="R1831" s="74"/>
    </row>
    <row r="1832" spans="2:18" ht="36" hidden="1" customHeight="1" x14ac:dyDescent="0.25">
      <c r="B1832" s="84">
        <v>1829</v>
      </c>
      <c r="C1832" s="83" t="s">
        <v>40</v>
      </c>
      <c r="D1832" s="82" t="s">
        <v>3848</v>
      </c>
      <c r="E1832" s="81">
        <v>43777</v>
      </c>
      <c r="F1832" s="27">
        <f t="shared" ca="1" si="28"/>
        <v>696</v>
      </c>
      <c r="G1832" s="79"/>
      <c r="H1832" s="80"/>
      <c r="I1832" s="80"/>
      <c r="J1832" s="79"/>
      <c r="K1832" s="78"/>
      <c r="L1832" s="77">
        <v>43787</v>
      </c>
      <c r="M1832" s="68"/>
      <c r="N1832" s="76" t="s">
        <v>3849</v>
      </c>
      <c r="O1832" s="75" t="s">
        <v>3174</v>
      </c>
      <c r="R1832" s="74"/>
    </row>
    <row r="1833" spans="2:18" ht="36" hidden="1" customHeight="1" x14ac:dyDescent="0.25">
      <c r="B1833" s="84">
        <v>1641</v>
      </c>
      <c r="C1833" s="83" t="s">
        <v>40</v>
      </c>
      <c r="D1833" s="82" t="s">
        <v>713</v>
      </c>
      <c r="E1833" s="81">
        <v>43853</v>
      </c>
      <c r="F1833" s="27">
        <f t="shared" ca="1" si="28"/>
        <v>620</v>
      </c>
      <c r="G1833" s="79"/>
      <c r="H1833" s="80"/>
      <c r="I1833" s="80"/>
      <c r="J1833" s="79"/>
      <c r="K1833" s="78"/>
      <c r="L1833" s="77">
        <v>43879</v>
      </c>
      <c r="M1833" s="68"/>
      <c r="N1833" s="76" t="s">
        <v>686</v>
      </c>
      <c r="O1833" s="75" t="s">
        <v>714</v>
      </c>
      <c r="R1833" s="74"/>
    </row>
    <row r="1834" spans="2:18" ht="36" hidden="1" customHeight="1" x14ac:dyDescent="0.25">
      <c r="B1834" s="84">
        <v>1816</v>
      </c>
      <c r="C1834" s="83" t="s">
        <v>22</v>
      </c>
      <c r="D1834" s="82" t="s">
        <v>1427</v>
      </c>
      <c r="E1834" s="81">
        <v>43781</v>
      </c>
      <c r="F1834" s="27">
        <f t="shared" ca="1" si="28"/>
        <v>692</v>
      </c>
      <c r="G1834" s="79"/>
      <c r="H1834" s="80"/>
      <c r="I1834" s="80"/>
      <c r="J1834" s="79"/>
      <c r="K1834" s="78"/>
      <c r="L1834" s="77">
        <v>43791</v>
      </c>
      <c r="M1834" s="68"/>
      <c r="N1834" s="76" t="s">
        <v>185</v>
      </c>
      <c r="O1834" s="75"/>
      <c r="R1834" s="74"/>
    </row>
    <row r="1835" spans="2:18" ht="36" hidden="1" customHeight="1" x14ac:dyDescent="0.25">
      <c r="B1835" s="84">
        <v>1818</v>
      </c>
      <c r="C1835" s="83" t="s">
        <v>40</v>
      </c>
      <c r="D1835" s="82" t="s">
        <v>1803</v>
      </c>
      <c r="E1835" s="81">
        <v>43781</v>
      </c>
      <c r="F1835" s="27">
        <f t="shared" ca="1" si="28"/>
        <v>692</v>
      </c>
      <c r="G1835" s="79"/>
      <c r="H1835" s="80"/>
      <c r="I1835" s="80"/>
      <c r="J1835" s="79"/>
      <c r="K1835" s="78"/>
      <c r="L1835" s="77">
        <v>43819</v>
      </c>
      <c r="M1835" s="68"/>
      <c r="N1835" s="76" t="s">
        <v>686</v>
      </c>
      <c r="O1835" s="75" t="s">
        <v>1804</v>
      </c>
      <c r="R1835" s="74"/>
    </row>
    <row r="1836" spans="2:18" ht="36" hidden="1" customHeight="1" x14ac:dyDescent="0.25">
      <c r="B1836" s="84">
        <v>1824</v>
      </c>
      <c r="C1836" s="83" t="s">
        <v>16</v>
      </c>
      <c r="D1836" s="82" t="s">
        <v>2892</v>
      </c>
      <c r="E1836" s="81">
        <v>43781</v>
      </c>
      <c r="F1836" s="27">
        <f t="shared" ca="1" si="28"/>
        <v>692</v>
      </c>
      <c r="G1836" s="79"/>
      <c r="H1836" s="80"/>
      <c r="I1836" s="80"/>
      <c r="J1836" s="79"/>
      <c r="K1836" s="78"/>
      <c r="L1836" s="77">
        <v>43788</v>
      </c>
      <c r="M1836" s="68"/>
      <c r="N1836" s="76" t="s">
        <v>2893</v>
      </c>
      <c r="O1836" s="75" t="s">
        <v>2894</v>
      </c>
      <c r="R1836" s="74"/>
    </row>
    <row r="1837" spans="2:18" ht="36" hidden="1" customHeight="1" x14ac:dyDescent="0.25">
      <c r="B1837" s="84">
        <v>1824</v>
      </c>
      <c r="C1837" s="83" t="s">
        <v>35</v>
      </c>
      <c r="D1837" s="82" t="s">
        <v>2899</v>
      </c>
      <c r="E1837" s="81">
        <v>43781</v>
      </c>
      <c r="F1837" s="27">
        <f t="shared" ca="1" si="28"/>
        <v>692</v>
      </c>
      <c r="G1837" s="79"/>
      <c r="H1837" s="80"/>
      <c r="I1837" s="80"/>
      <c r="J1837" s="79"/>
      <c r="K1837" s="78"/>
      <c r="L1837" s="77">
        <v>43801</v>
      </c>
      <c r="M1837" s="68"/>
      <c r="N1837" s="76" t="s">
        <v>2898</v>
      </c>
      <c r="O1837" s="75"/>
      <c r="R1837" s="74"/>
    </row>
    <row r="1838" spans="2:18" ht="36" hidden="1" customHeight="1" x14ac:dyDescent="0.25">
      <c r="B1838" s="84">
        <v>1825</v>
      </c>
      <c r="C1838" s="83" t="s">
        <v>23</v>
      </c>
      <c r="D1838" s="82" t="s">
        <v>3142</v>
      </c>
      <c r="E1838" s="81">
        <v>43781</v>
      </c>
      <c r="F1838" s="27">
        <f t="shared" ca="1" si="28"/>
        <v>692</v>
      </c>
      <c r="G1838" s="79"/>
      <c r="H1838" s="80"/>
      <c r="I1838" s="80"/>
      <c r="J1838" s="79"/>
      <c r="K1838" s="78"/>
      <c r="L1838" s="77">
        <v>43784</v>
      </c>
      <c r="M1838" s="68"/>
      <c r="N1838" s="76" t="s">
        <v>3143</v>
      </c>
      <c r="O1838" s="75" t="s">
        <v>1179</v>
      </c>
      <c r="R1838" s="74"/>
    </row>
    <row r="1839" spans="2:18" ht="36" hidden="1" customHeight="1" x14ac:dyDescent="0.25">
      <c r="B1839" s="84">
        <v>1825</v>
      </c>
      <c r="C1839" s="83" t="s">
        <v>40</v>
      </c>
      <c r="D1839" s="82" t="s">
        <v>3150</v>
      </c>
      <c r="E1839" s="81">
        <v>43781</v>
      </c>
      <c r="F1839" s="27">
        <f t="shared" ca="1" si="28"/>
        <v>692</v>
      </c>
      <c r="G1839" s="79"/>
      <c r="H1839" s="80"/>
      <c r="I1839" s="80"/>
      <c r="J1839" s="79"/>
      <c r="K1839" s="78"/>
      <c r="L1839" s="77">
        <v>43812</v>
      </c>
      <c r="M1839" s="68"/>
      <c r="N1839" s="76" t="s">
        <v>686</v>
      </c>
      <c r="O1839" s="75" t="s">
        <v>3151</v>
      </c>
      <c r="R1839" s="74"/>
    </row>
    <row r="1840" spans="2:18" ht="36" hidden="1" customHeight="1" x14ac:dyDescent="0.25">
      <c r="B1840" s="84">
        <v>1827</v>
      </c>
      <c r="C1840" s="83" t="s">
        <v>16</v>
      </c>
      <c r="D1840" s="82" t="s">
        <v>2892</v>
      </c>
      <c r="E1840" s="81">
        <v>43781</v>
      </c>
      <c r="F1840" s="27">
        <f t="shared" ca="1" si="28"/>
        <v>692</v>
      </c>
      <c r="G1840" s="79"/>
      <c r="H1840" s="80"/>
      <c r="I1840" s="80"/>
      <c r="J1840" s="79"/>
      <c r="K1840" s="78"/>
      <c r="L1840" s="77">
        <v>43795</v>
      </c>
      <c r="M1840" s="68"/>
      <c r="N1840" s="76" t="s">
        <v>185</v>
      </c>
      <c r="O1840" s="75" t="s">
        <v>3441</v>
      </c>
      <c r="R1840" s="74"/>
    </row>
    <row r="1841" spans="2:18" ht="36" hidden="1" customHeight="1" x14ac:dyDescent="0.25">
      <c r="B1841" s="84">
        <v>1829</v>
      </c>
      <c r="C1841" s="83" t="s">
        <v>39</v>
      </c>
      <c r="D1841" s="82" t="s">
        <v>3850</v>
      </c>
      <c r="E1841" s="81">
        <v>43781</v>
      </c>
      <c r="F1841" s="27">
        <f t="shared" ca="1" si="28"/>
        <v>692</v>
      </c>
      <c r="G1841" s="79"/>
      <c r="H1841" s="80"/>
      <c r="I1841" s="80"/>
      <c r="J1841" s="79"/>
      <c r="K1841" s="78"/>
      <c r="L1841" s="77">
        <v>43787</v>
      </c>
      <c r="M1841" s="68"/>
      <c r="N1841" s="76" t="s">
        <v>3849</v>
      </c>
      <c r="O1841" s="75" t="s">
        <v>1854</v>
      </c>
      <c r="R1841" s="74"/>
    </row>
    <row r="1842" spans="2:18" ht="36" hidden="1" customHeight="1" x14ac:dyDescent="0.25">
      <c r="B1842" s="84">
        <v>1829</v>
      </c>
      <c r="C1842" s="83" t="s">
        <v>23</v>
      </c>
      <c r="D1842" s="82" t="s">
        <v>2626</v>
      </c>
      <c r="E1842" s="81">
        <v>43781</v>
      </c>
      <c r="F1842" s="27">
        <f t="shared" ca="1" si="28"/>
        <v>692</v>
      </c>
      <c r="G1842" s="79"/>
      <c r="H1842" s="80"/>
      <c r="I1842" s="80"/>
      <c r="J1842" s="79"/>
      <c r="K1842" s="78"/>
      <c r="L1842" s="77">
        <v>43787</v>
      </c>
      <c r="M1842" s="68"/>
      <c r="N1842" s="76" t="s">
        <v>3849</v>
      </c>
      <c r="O1842" s="75" t="s">
        <v>3851</v>
      </c>
      <c r="R1842" s="74"/>
    </row>
    <row r="1843" spans="2:18" ht="36" hidden="1" customHeight="1" x14ac:dyDescent="0.25">
      <c r="B1843" s="84">
        <v>1641</v>
      </c>
      <c r="C1843" s="83" t="s">
        <v>37</v>
      </c>
      <c r="D1843" s="82" t="s">
        <v>709</v>
      </c>
      <c r="E1843" s="81">
        <v>43864</v>
      </c>
      <c r="F1843" s="27">
        <f t="shared" ca="1" si="28"/>
        <v>609</v>
      </c>
      <c r="G1843" s="79"/>
      <c r="H1843" s="80"/>
      <c r="I1843" s="80"/>
      <c r="J1843" s="79"/>
      <c r="K1843" s="78"/>
      <c r="L1843" s="77">
        <v>43866</v>
      </c>
      <c r="M1843" s="68"/>
      <c r="N1843" s="76" t="s">
        <v>710</v>
      </c>
      <c r="O1843" s="75"/>
      <c r="R1843" s="74"/>
    </row>
    <row r="1844" spans="2:18" ht="36" hidden="1" customHeight="1" x14ac:dyDescent="0.25">
      <c r="B1844" s="84">
        <v>1647</v>
      </c>
      <c r="C1844" s="83" t="s">
        <v>62</v>
      </c>
      <c r="D1844" s="82" t="s">
        <v>1245</v>
      </c>
      <c r="E1844" s="81">
        <v>43782</v>
      </c>
      <c r="F1844" s="27">
        <f t="shared" ca="1" si="28"/>
        <v>691</v>
      </c>
      <c r="G1844" s="79"/>
      <c r="H1844" s="80"/>
      <c r="I1844" s="80"/>
      <c r="J1844" s="79"/>
      <c r="K1844" s="78"/>
      <c r="L1844" s="77">
        <v>43788</v>
      </c>
      <c r="M1844" s="68"/>
      <c r="N1844" s="76" t="s">
        <v>703</v>
      </c>
      <c r="O1844" s="75" t="s">
        <v>1246</v>
      </c>
      <c r="R1844" s="74"/>
    </row>
    <row r="1845" spans="2:18" ht="36" hidden="1" customHeight="1" x14ac:dyDescent="0.25">
      <c r="B1845" s="84">
        <v>1646</v>
      </c>
      <c r="C1845" s="83" t="s">
        <v>60</v>
      </c>
      <c r="D1845" s="82" t="s">
        <v>1166</v>
      </c>
      <c r="E1845" s="81">
        <v>43783</v>
      </c>
      <c r="F1845" s="27">
        <f t="shared" ca="1" si="28"/>
        <v>690</v>
      </c>
      <c r="G1845" s="79"/>
      <c r="H1845" s="80"/>
      <c r="I1845" s="80"/>
      <c r="J1845" s="79"/>
      <c r="K1845" s="78"/>
      <c r="L1845" s="77">
        <v>43794</v>
      </c>
      <c r="M1845" s="68"/>
      <c r="N1845" s="76" t="s">
        <v>1167</v>
      </c>
      <c r="O1845" s="75" t="s">
        <v>1168</v>
      </c>
      <c r="R1845" s="74"/>
    </row>
    <row r="1846" spans="2:18" ht="36" hidden="1" customHeight="1" x14ac:dyDescent="0.25">
      <c r="B1846" s="84">
        <v>1645</v>
      </c>
      <c r="C1846" s="83" t="s">
        <v>1082</v>
      </c>
      <c r="D1846" s="82" t="s">
        <v>1083</v>
      </c>
      <c r="E1846" s="81">
        <v>43784</v>
      </c>
      <c r="F1846" s="27">
        <f t="shared" ca="1" si="28"/>
        <v>689</v>
      </c>
      <c r="G1846" s="79"/>
      <c r="H1846" s="80"/>
      <c r="I1846" s="80"/>
      <c r="J1846" s="79"/>
      <c r="K1846" s="78"/>
      <c r="L1846" s="77">
        <v>43788</v>
      </c>
      <c r="M1846" s="68"/>
      <c r="N1846" s="76" t="s">
        <v>703</v>
      </c>
      <c r="O1846" s="75"/>
      <c r="R1846" s="74"/>
    </row>
    <row r="1847" spans="2:18" ht="36" hidden="1" customHeight="1" x14ac:dyDescent="0.25">
      <c r="B1847" s="84">
        <v>1641</v>
      </c>
      <c r="C1847" s="83" t="s">
        <v>36</v>
      </c>
      <c r="D1847" s="82" t="s">
        <v>701</v>
      </c>
      <c r="E1847" s="81">
        <v>43787</v>
      </c>
      <c r="F1847" s="27">
        <f t="shared" ca="1" si="28"/>
        <v>686</v>
      </c>
      <c r="G1847" s="79"/>
      <c r="H1847" s="80"/>
      <c r="I1847" s="80"/>
      <c r="J1847" s="79"/>
      <c r="K1847" s="78"/>
      <c r="L1847" s="77">
        <v>43801</v>
      </c>
      <c r="M1847" s="68"/>
      <c r="N1847" s="76"/>
      <c r="O1847" s="75"/>
      <c r="R1847" s="74"/>
    </row>
    <row r="1848" spans="2:18" ht="36" hidden="1" customHeight="1" x14ac:dyDescent="0.25">
      <c r="B1848" s="84">
        <v>1824</v>
      </c>
      <c r="C1848" s="83" t="s">
        <v>39</v>
      </c>
      <c r="D1848" s="82" t="s">
        <v>2895</v>
      </c>
      <c r="E1848" s="81">
        <v>43787</v>
      </c>
      <c r="F1848" s="27">
        <f t="shared" ca="1" si="28"/>
        <v>686</v>
      </c>
      <c r="G1848" s="79"/>
      <c r="H1848" s="80"/>
      <c r="I1848" s="80"/>
      <c r="J1848" s="79"/>
      <c r="K1848" s="78"/>
      <c r="L1848" s="77">
        <v>43788</v>
      </c>
      <c r="M1848" s="68"/>
      <c r="N1848" s="76" t="s">
        <v>2893</v>
      </c>
      <c r="O1848" s="75" t="s">
        <v>2896</v>
      </c>
      <c r="R1848" s="74"/>
    </row>
    <row r="1849" spans="2:18" ht="36" hidden="1" customHeight="1" x14ac:dyDescent="0.25">
      <c r="B1849" s="84">
        <v>1825</v>
      </c>
      <c r="C1849" s="83" t="s">
        <v>23</v>
      </c>
      <c r="D1849" s="82" t="s">
        <v>3146</v>
      </c>
      <c r="E1849" s="81">
        <v>43787</v>
      </c>
      <c r="F1849" s="27">
        <f t="shared" ca="1" si="28"/>
        <v>686</v>
      </c>
      <c r="G1849" s="79"/>
      <c r="H1849" s="80"/>
      <c r="I1849" s="80"/>
      <c r="J1849" s="79"/>
      <c r="K1849" s="78"/>
      <c r="L1849" s="77">
        <v>43795</v>
      </c>
      <c r="M1849" s="68"/>
      <c r="N1849" s="76" t="s">
        <v>185</v>
      </c>
      <c r="O1849" s="75" t="s">
        <v>3147</v>
      </c>
      <c r="R1849" s="74"/>
    </row>
    <row r="1850" spans="2:18" ht="36" hidden="1" customHeight="1" x14ac:dyDescent="0.25">
      <c r="B1850" s="84">
        <v>1641</v>
      </c>
      <c r="C1850" s="83" t="s">
        <v>17</v>
      </c>
      <c r="D1850" s="82" t="s">
        <v>711</v>
      </c>
      <c r="E1850" s="81">
        <v>43864</v>
      </c>
      <c r="F1850" s="27">
        <f t="shared" ca="1" si="28"/>
        <v>609</v>
      </c>
      <c r="G1850" s="79"/>
      <c r="H1850" s="80"/>
      <c r="I1850" s="80"/>
      <c r="J1850" s="79"/>
      <c r="K1850" s="78"/>
      <c r="L1850" s="77">
        <v>43871</v>
      </c>
      <c r="M1850" s="68"/>
      <c r="N1850" s="76" t="s">
        <v>185</v>
      </c>
      <c r="O1850" s="75" t="s">
        <v>712</v>
      </c>
      <c r="R1850" s="74"/>
    </row>
    <row r="1851" spans="2:18" ht="36" hidden="1" customHeight="1" x14ac:dyDescent="0.25">
      <c r="B1851" s="84">
        <v>1825</v>
      </c>
      <c r="C1851" s="83" t="s">
        <v>17</v>
      </c>
      <c r="D1851" s="82" t="s">
        <v>3148</v>
      </c>
      <c r="E1851" s="81">
        <v>43788</v>
      </c>
      <c r="F1851" s="27">
        <f t="shared" ca="1" si="28"/>
        <v>685</v>
      </c>
      <c r="G1851" s="79"/>
      <c r="H1851" s="80"/>
      <c r="I1851" s="80"/>
      <c r="J1851" s="79"/>
      <c r="K1851" s="78"/>
      <c r="L1851" s="77">
        <v>43795</v>
      </c>
      <c r="M1851" s="68"/>
      <c r="N1851" s="76" t="s">
        <v>185</v>
      </c>
      <c r="O1851" s="75" t="s">
        <v>3145</v>
      </c>
      <c r="R1851" s="74"/>
    </row>
    <row r="1852" spans="2:18" ht="36" hidden="1" customHeight="1" x14ac:dyDescent="0.25">
      <c r="B1852" s="84">
        <v>1828</v>
      </c>
      <c r="C1852" s="83" t="s">
        <v>23</v>
      </c>
      <c r="D1852" s="82" t="s">
        <v>3663</v>
      </c>
      <c r="E1852" s="81">
        <v>43788</v>
      </c>
      <c r="F1852" s="27">
        <f t="shared" ca="1" si="28"/>
        <v>685</v>
      </c>
      <c r="G1852" s="79"/>
      <c r="H1852" s="80"/>
      <c r="I1852" s="80"/>
      <c r="J1852" s="79"/>
      <c r="K1852" s="78"/>
      <c r="L1852" s="77">
        <v>43794</v>
      </c>
      <c r="M1852" s="68"/>
      <c r="N1852" s="76" t="s">
        <v>185</v>
      </c>
      <c r="O1852" s="75" t="s">
        <v>57</v>
      </c>
      <c r="R1852" s="74"/>
    </row>
    <row r="1853" spans="2:18" ht="36" hidden="1" customHeight="1" x14ac:dyDescent="0.25">
      <c r="B1853" s="84">
        <v>1828</v>
      </c>
      <c r="C1853" s="83" t="s">
        <v>62</v>
      </c>
      <c r="D1853" s="82" t="s">
        <v>3660</v>
      </c>
      <c r="E1853" s="81">
        <v>43789</v>
      </c>
      <c r="F1853" s="27">
        <f t="shared" ca="1" si="28"/>
        <v>684</v>
      </c>
      <c r="G1853" s="79"/>
      <c r="H1853" s="80"/>
      <c r="I1853" s="80"/>
      <c r="J1853" s="79"/>
      <c r="K1853" s="78"/>
      <c r="L1853" s="77">
        <v>43789</v>
      </c>
      <c r="M1853" s="68"/>
      <c r="N1853" s="76" t="s">
        <v>3661</v>
      </c>
      <c r="O1853" s="75" t="s">
        <v>3662</v>
      </c>
      <c r="R1853" s="74"/>
    </row>
    <row r="1854" spans="2:18" ht="36" hidden="1" customHeight="1" x14ac:dyDescent="0.25">
      <c r="B1854" s="84">
        <v>1820</v>
      </c>
      <c r="C1854" s="83" t="s">
        <v>23</v>
      </c>
      <c r="D1854" s="82" t="s">
        <v>1160</v>
      </c>
      <c r="E1854" s="81">
        <v>43790</v>
      </c>
      <c r="F1854" s="27">
        <f t="shared" ca="1" si="28"/>
        <v>683</v>
      </c>
      <c r="G1854" s="79"/>
      <c r="H1854" s="80"/>
      <c r="I1854" s="80"/>
      <c r="J1854" s="79"/>
      <c r="K1854" s="78"/>
      <c r="L1854" s="77">
        <v>43794</v>
      </c>
      <c r="M1854" s="68"/>
      <c r="N1854" s="76" t="s">
        <v>185</v>
      </c>
      <c r="O1854" s="75" t="s">
        <v>57</v>
      </c>
      <c r="R1854" s="74"/>
    </row>
    <row r="1855" spans="2:18" ht="36" hidden="1" customHeight="1" x14ac:dyDescent="0.25">
      <c r="B1855" s="84">
        <v>1820</v>
      </c>
      <c r="C1855" s="83" t="s">
        <v>19</v>
      </c>
      <c r="D1855" s="82" t="s">
        <v>1339</v>
      </c>
      <c r="E1855" s="81">
        <v>43790</v>
      </c>
      <c r="F1855" s="27">
        <f t="shared" ca="1" si="28"/>
        <v>683</v>
      </c>
      <c r="G1855" s="79"/>
      <c r="H1855" s="80"/>
      <c r="I1855" s="80"/>
      <c r="J1855" s="79"/>
      <c r="K1855" s="78"/>
      <c r="L1855" s="77">
        <v>43795</v>
      </c>
      <c r="M1855" s="68"/>
      <c r="N1855" s="76" t="s">
        <v>185</v>
      </c>
      <c r="O1855" s="75" t="s">
        <v>2192</v>
      </c>
      <c r="R1855" s="74"/>
    </row>
    <row r="1856" spans="2:18" ht="36" hidden="1" customHeight="1" x14ac:dyDescent="0.25">
      <c r="B1856" s="84">
        <v>1828</v>
      </c>
      <c r="C1856" s="83" t="s">
        <v>62</v>
      </c>
      <c r="D1856" s="82" t="s">
        <v>3664</v>
      </c>
      <c r="E1856" s="81">
        <v>43791</v>
      </c>
      <c r="F1856" s="27">
        <f t="shared" ca="1" si="28"/>
        <v>682</v>
      </c>
      <c r="G1856" s="79"/>
      <c r="H1856" s="80"/>
      <c r="I1856" s="80"/>
      <c r="J1856" s="79"/>
      <c r="K1856" s="78"/>
      <c r="L1856" s="77">
        <v>43794</v>
      </c>
      <c r="M1856" s="68"/>
      <c r="N1856" s="76" t="s">
        <v>185</v>
      </c>
      <c r="O1856" s="75" t="s">
        <v>3665</v>
      </c>
      <c r="R1856" s="74"/>
    </row>
    <row r="1857" spans="2:18" ht="36" hidden="1" customHeight="1" x14ac:dyDescent="0.25">
      <c r="B1857" s="84">
        <v>1641</v>
      </c>
      <c r="C1857" s="83" t="s">
        <v>20</v>
      </c>
      <c r="D1857" s="82" t="s">
        <v>715</v>
      </c>
      <c r="E1857" s="81">
        <v>43864</v>
      </c>
      <c r="F1857" s="27">
        <f t="shared" ca="1" si="28"/>
        <v>609</v>
      </c>
      <c r="G1857" s="79"/>
      <c r="H1857" s="80"/>
      <c r="I1857" s="80"/>
      <c r="J1857" s="79"/>
      <c r="K1857" s="78"/>
      <c r="L1857" s="77">
        <v>43879</v>
      </c>
      <c r="M1857" s="68"/>
      <c r="N1857" s="76" t="s">
        <v>686</v>
      </c>
      <c r="O1857" s="75" t="s">
        <v>716</v>
      </c>
      <c r="R1857" s="74"/>
    </row>
    <row r="1858" spans="2:18" ht="36" hidden="1" customHeight="1" x14ac:dyDescent="0.25">
      <c r="B1858" s="84">
        <v>1822</v>
      </c>
      <c r="C1858" s="83" t="s">
        <v>40</v>
      </c>
      <c r="D1858" s="82" t="s">
        <v>2477</v>
      </c>
      <c r="E1858" s="81">
        <v>43794</v>
      </c>
      <c r="F1858" s="27">
        <f t="shared" ca="1" si="28"/>
        <v>679</v>
      </c>
      <c r="G1858" s="79"/>
      <c r="H1858" s="80"/>
      <c r="I1858" s="80"/>
      <c r="J1858" s="79"/>
      <c r="K1858" s="78"/>
      <c r="L1858" s="77">
        <v>43794</v>
      </c>
      <c r="M1858" s="68"/>
      <c r="N1858" s="76" t="s">
        <v>185</v>
      </c>
      <c r="O1858" s="75" t="s">
        <v>2478</v>
      </c>
      <c r="R1858" s="74"/>
    </row>
    <row r="1859" spans="2:18" ht="36" hidden="1" customHeight="1" x14ac:dyDescent="0.25">
      <c r="B1859" s="84">
        <v>1642</v>
      </c>
      <c r="C1859" s="83" t="s">
        <v>40</v>
      </c>
      <c r="D1859" s="82" t="s">
        <v>707</v>
      </c>
      <c r="E1859" s="81">
        <v>43840</v>
      </c>
      <c r="F1859" s="27">
        <f t="shared" ca="1" si="28"/>
        <v>633</v>
      </c>
      <c r="G1859" s="79"/>
      <c r="H1859" s="80"/>
      <c r="I1859" s="80"/>
      <c r="J1859" s="79"/>
      <c r="K1859" s="78"/>
      <c r="L1859" s="77">
        <v>43871</v>
      </c>
      <c r="M1859" s="68"/>
      <c r="N1859" s="76" t="s">
        <v>831</v>
      </c>
      <c r="O1859" s="75"/>
      <c r="R1859" s="74"/>
    </row>
    <row r="1860" spans="2:18" ht="36" hidden="1" customHeight="1" x14ac:dyDescent="0.25">
      <c r="B1860" s="84">
        <v>1646</v>
      </c>
      <c r="C1860" s="83" t="s">
        <v>39</v>
      </c>
      <c r="D1860" s="82" t="s">
        <v>1169</v>
      </c>
      <c r="E1860" s="81">
        <v>43795</v>
      </c>
      <c r="F1860" s="27">
        <f t="shared" ca="1" si="28"/>
        <v>678</v>
      </c>
      <c r="G1860" s="79"/>
      <c r="H1860" s="80"/>
      <c r="I1860" s="80"/>
      <c r="J1860" s="79"/>
      <c r="K1860" s="78"/>
      <c r="L1860" s="77">
        <v>43808</v>
      </c>
      <c r="M1860" s="68"/>
      <c r="N1860" s="76" t="s">
        <v>1170</v>
      </c>
      <c r="O1860" s="75" t="s">
        <v>706</v>
      </c>
      <c r="R1860" s="74"/>
    </row>
    <row r="1861" spans="2:18" ht="36" hidden="1" customHeight="1" x14ac:dyDescent="0.25">
      <c r="B1861" s="84">
        <v>1816</v>
      </c>
      <c r="C1861" s="83" t="s">
        <v>23</v>
      </c>
      <c r="D1861" s="82" t="s">
        <v>1428</v>
      </c>
      <c r="E1861" s="81">
        <v>43795</v>
      </c>
      <c r="F1861" s="27">
        <f t="shared" ca="1" si="28"/>
        <v>678</v>
      </c>
      <c r="G1861" s="79"/>
      <c r="H1861" s="80"/>
      <c r="I1861" s="80"/>
      <c r="J1861" s="79"/>
      <c r="K1861" s="78"/>
      <c r="L1861" s="77">
        <v>43795</v>
      </c>
      <c r="M1861" s="68"/>
      <c r="N1861" s="76" t="s">
        <v>185</v>
      </c>
      <c r="O1861" s="75" t="s">
        <v>1429</v>
      </c>
      <c r="R1861" s="74"/>
    </row>
    <row r="1862" spans="2:18" ht="36" hidden="1" customHeight="1" x14ac:dyDescent="0.25">
      <c r="B1862" s="84">
        <v>1824</v>
      </c>
      <c r="C1862" s="83" t="s">
        <v>16</v>
      </c>
      <c r="D1862" s="82" t="s">
        <v>2900</v>
      </c>
      <c r="E1862" s="81">
        <v>43795</v>
      </c>
      <c r="F1862" s="27">
        <f t="shared" ca="1" si="28"/>
        <v>678</v>
      </c>
      <c r="G1862" s="79"/>
      <c r="H1862" s="80"/>
      <c r="I1862" s="80"/>
      <c r="J1862" s="79"/>
      <c r="K1862" s="78"/>
      <c r="L1862" s="77">
        <v>43801</v>
      </c>
      <c r="M1862" s="68"/>
      <c r="N1862" s="76" t="s">
        <v>2898</v>
      </c>
      <c r="O1862" s="75"/>
      <c r="R1862" s="74"/>
    </row>
    <row r="1863" spans="2:18" ht="36" hidden="1" customHeight="1" x14ac:dyDescent="0.25">
      <c r="B1863" s="84">
        <v>1641</v>
      </c>
      <c r="C1863" s="83" t="s">
        <v>11</v>
      </c>
      <c r="D1863" s="82" t="s">
        <v>702</v>
      </c>
      <c r="E1863" s="81">
        <v>43798</v>
      </c>
      <c r="F1863" s="27">
        <f t="shared" ca="1" si="28"/>
        <v>675</v>
      </c>
      <c r="G1863" s="79"/>
      <c r="H1863" s="80"/>
      <c r="I1863" s="80"/>
      <c r="J1863" s="79"/>
      <c r="K1863" s="78"/>
      <c r="L1863" s="77">
        <v>43808</v>
      </c>
      <c r="M1863" s="68"/>
      <c r="N1863" s="76" t="s">
        <v>703</v>
      </c>
      <c r="O1863" s="75" t="s">
        <v>704</v>
      </c>
      <c r="R1863" s="74"/>
    </row>
    <row r="1864" spans="2:18" ht="36" hidden="1" customHeight="1" x14ac:dyDescent="0.25">
      <c r="B1864" s="84">
        <v>1816</v>
      </c>
      <c r="C1864" s="83" t="s">
        <v>11</v>
      </c>
      <c r="D1864" s="82" t="s">
        <v>1381</v>
      </c>
      <c r="E1864" s="81">
        <v>43798</v>
      </c>
      <c r="F1864" s="27">
        <f t="shared" ca="1" si="28"/>
        <v>675</v>
      </c>
      <c r="G1864" s="79"/>
      <c r="H1864" s="80"/>
      <c r="I1864" s="80"/>
      <c r="J1864" s="79"/>
      <c r="K1864" s="78"/>
      <c r="L1864" s="77">
        <v>43471</v>
      </c>
      <c r="M1864" s="68"/>
      <c r="N1864" s="76" t="s">
        <v>185</v>
      </c>
      <c r="O1864" s="75" t="s">
        <v>1382</v>
      </c>
      <c r="R1864" s="74"/>
    </row>
    <row r="1865" spans="2:18" ht="36" hidden="1" customHeight="1" x14ac:dyDescent="0.25">
      <c r="B1865" s="84">
        <v>1816</v>
      </c>
      <c r="C1865" s="83" t="s">
        <v>19</v>
      </c>
      <c r="D1865" s="82" t="s">
        <v>1435</v>
      </c>
      <c r="E1865" s="81">
        <v>43798</v>
      </c>
      <c r="F1865" s="27">
        <f t="shared" ca="1" si="28"/>
        <v>675</v>
      </c>
      <c r="G1865" s="79"/>
      <c r="H1865" s="80"/>
      <c r="I1865" s="80"/>
      <c r="J1865" s="79"/>
      <c r="K1865" s="78"/>
      <c r="L1865" s="77">
        <v>43809</v>
      </c>
      <c r="M1865" s="68"/>
      <c r="N1865" s="76" t="s">
        <v>1431</v>
      </c>
      <c r="O1865" s="75"/>
      <c r="R1865" s="74"/>
    </row>
    <row r="1866" spans="2:18" ht="36" hidden="1" customHeight="1" x14ac:dyDescent="0.25">
      <c r="B1866" s="84">
        <v>1816</v>
      </c>
      <c r="C1866" s="83" t="s">
        <v>40</v>
      </c>
      <c r="D1866" s="82" t="s">
        <v>1436</v>
      </c>
      <c r="E1866" s="81">
        <v>43798</v>
      </c>
      <c r="F1866" s="27">
        <f t="shared" ca="1" si="28"/>
        <v>675</v>
      </c>
      <c r="G1866" s="79"/>
      <c r="H1866" s="80"/>
      <c r="I1866" s="80"/>
      <c r="J1866" s="79"/>
      <c r="K1866" s="78"/>
      <c r="L1866" s="77">
        <v>43809</v>
      </c>
      <c r="M1866" s="68"/>
      <c r="N1866" s="76" t="s">
        <v>1431</v>
      </c>
      <c r="O1866" s="75" t="s">
        <v>1437</v>
      </c>
      <c r="R1866" s="74"/>
    </row>
    <row r="1867" spans="2:18" ht="36" hidden="1" customHeight="1" x14ac:dyDescent="0.25">
      <c r="B1867" s="84">
        <v>1821</v>
      </c>
      <c r="C1867" s="83" t="s">
        <v>40</v>
      </c>
      <c r="D1867" s="82" t="s">
        <v>2366</v>
      </c>
      <c r="E1867" s="81">
        <v>43800</v>
      </c>
      <c r="F1867" s="27">
        <f t="shared" ca="1" si="28"/>
        <v>673</v>
      </c>
      <c r="G1867" s="79"/>
      <c r="H1867" s="80"/>
      <c r="I1867" s="80"/>
      <c r="J1867" s="79"/>
      <c r="K1867" s="78"/>
      <c r="L1867" s="77">
        <v>43822</v>
      </c>
      <c r="M1867" s="68"/>
      <c r="N1867" s="76" t="s">
        <v>686</v>
      </c>
      <c r="O1867" s="75"/>
      <c r="R1867" s="74"/>
    </row>
    <row r="1868" spans="2:18" ht="36" hidden="1" customHeight="1" x14ac:dyDescent="0.25">
      <c r="B1868" s="84">
        <v>1825</v>
      </c>
      <c r="C1868" s="83" t="s">
        <v>40</v>
      </c>
      <c r="D1868" s="82" t="s">
        <v>2366</v>
      </c>
      <c r="E1868" s="81">
        <v>43800</v>
      </c>
      <c r="F1868" s="27">
        <f t="shared" ca="1" si="28"/>
        <v>673</v>
      </c>
      <c r="G1868" s="79"/>
      <c r="H1868" s="80"/>
      <c r="I1868" s="80"/>
      <c r="J1868" s="79"/>
      <c r="K1868" s="78"/>
      <c r="L1868" s="77">
        <v>43812</v>
      </c>
      <c r="M1868" s="68"/>
      <c r="N1868" s="76" t="s">
        <v>686</v>
      </c>
      <c r="O1868" s="75"/>
      <c r="R1868" s="74"/>
    </row>
    <row r="1869" spans="2:18" ht="36" hidden="1" customHeight="1" x14ac:dyDescent="0.25">
      <c r="B1869" s="84">
        <v>1647</v>
      </c>
      <c r="C1869" s="83" t="s">
        <v>11</v>
      </c>
      <c r="D1869" s="82" t="s">
        <v>1247</v>
      </c>
      <c r="E1869" s="81">
        <v>43801</v>
      </c>
      <c r="F1869" s="27">
        <f t="shared" ca="1" si="28"/>
        <v>672</v>
      </c>
      <c r="G1869" s="79"/>
      <c r="H1869" s="80"/>
      <c r="I1869" s="80"/>
      <c r="J1869" s="79"/>
      <c r="K1869" s="78"/>
      <c r="L1869" s="77">
        <v>43805</v>
      </c>
      <c r="M1869" s="68"/>
      <c r="N1869" s="76"/>
      <c r="O1869" s="75"/>
      <c r="R1869" s="74"/>
    </row>
    <row r="1870" spans="2:18" ht="36" hidden="1" customHeight="1" x14ac:dyDescent="0.25">
      <c r="B1870" s="84">
        <v>1643</v>
      </c>
      <c r="C1870" s="83" t="s">
        <v>12</v>
      </c>
      <c r="D1870" s="82" t="s">
        <v>54</v>
      </c>
      <c r="E1870" s="81">
        <v>43802</v>
      </c>
      <c r="F1870" s="27">
        <f t="shared" ca="1" si="28"/>
        <v>671</v>
      </c>
      <c r="G1870" s="79"/>
      <c r="H1870" s="80"/>
      <c r="I1870" s="80"/>
      <c r="J1870" s="79"/>
      <c r="K1870" s="78"/>
      <c r="L1870" s="77">
        <v>43819</v>
      </c>
      <c r="M1870" s="68"/>
      <c r="N1870" s="76" t="s">
        <v>686</v>
      </c>
      <c r="O1870" s="75" t="s">
        <v>939</v>
      </c>
      <c r="R1870" s="74"/>
    </row>
    <row r="1871" spans="2:18" ht="36" hidden="1" customHeight="1" x14ac:dyDescent="0.25">
      <c r="B1871" s="84">
        <v>1819</v>
      </c>
      <c r="C1871" s="83" t="s">
        <v>11</v>
      </c>
      <c r="D1871" s="82" t="s">
        <v>2028</v>
      </c>
      <c r="E1871" s="81">
        <v>43802</v>
      </c>
      <c r="F1871" s="27">
        <f t="shared" ca="1" si="28"/>
        <v>671</v>
      </c>
      <c r="G1871" s="79"/>
      <c r="H1871" s="80"/>
      <c r="I1871" s="80"/>
      <c r="J1871" s="79"/>
      <c r="K1871" s="78"/>
      <c r="L1871" s="77">
        <v>43816</v>
      </c>
      <c r="M1871" s="68"/>
      <c r="N1871" s="76"/>
      <c r="O1871" s="75" t="s">
        <v>2029</v>
      </c>
      <c r="R1871" s="74"/>
    </row>
    <row r="1872" spans="2:18" ht="36" hidden="1" customHeight="1" x14ac:dyDescent="0.25">
      <c r="B1872" s="84">
        <v>1825</v>
      </c>
      <c r="C1872" s="83" t="s">
        <v>11</v>
      </c>
      <c r="D1872" s="82" t="s">
        <v>3149</v>
      </c>
      <c r="E1872" s="81">
        <v>43802</v>
      </c>
      <c r="F1872" s="27">
        <f t="shared" ref="F1872:F1935" ca="1" si="29">IF(E1872&lt;&gt;"",TODAY()-E1872,"")</f>
        <v>671</v>
      </c>
      <c r="G1872" s="79"/>
      <c r="H1872" s="80"/>
      <c r="I1872" s="80"/>
      <c r="J1872" s="79"/>
      <c r="K1872" s="78"/>
      <c r="L1872" s="77">
        <v>43808</v>
      </c>
      <c r="M1872" s="68"/>
      <c r="N1872" s="76" t="s">
        <v>703</v>
      </c>
      <c r="O1872" s="75" t="s">
        <v>2480</v>
      </c>
      <c r="R1872" s="74"/>
    </row>
    <row r="1873" spans="2:18" ht="36" hidden="1" customHeight="1" x14ac:dyDescent="0.25">
      <c r="B1873" s="84">
        <v>1642</v>
      </c>
      <c r="C1873" s="83" t="s">
        <v>24</v>
      </c>
      <c r="D1873" s="82" t="s">
        <v>828</v>
      </c>
      <c r="E1873" s="81">
        <v>43803</v>
      </c>
      <c r="F1873" s="27">
        <f t="shared" ca="1" si="29"/>
        <v>670</v>
      </c>
      <c r="G1873" s="79"/>
      <c r="H1873" s="80"/>
      <c r="I1873" s="80"/>
      <c r="J1873" s="79"/>
      <c r="K1873" s="78"/>
      <c r="L1873" s="77">
        <v>43818</v>
      </c>
      <c r="M1873" s="68"/>
      <c r="N1873" s="76" t="s">
        <v>829</v>
      </c>
      <c r="O1873" s="75" t="s">
        <v>830</v>
      </c>
      <c r="R1873" s="74"/>
    </row>
    <row r="1874" spans="2:18" ht="36" hidden="1" customHeight="1" x14ac:dyDescent="0.25">
      <c r="B1874" s="84">
        <v>1643</v>
      </c>
      <c r="C1874" s="83" t="s">
        <v>39</v>
      </c>
      <c r="D1874" s="82" t="s">
        <v>938</v>
      </c>
      <c r="E1874" s="81">
        <v>43803</v>
      </c>
      <c r="F1874" s="27">
        <f t="shared" ca="1" si="29"/>
        <v>670</v>
      </c>
      <c r="G1874" s="79"/>
      <c r="H1874" s="80"/>
      <c r="I1874" s="80"/>
      <c r="J1874" s="79"/>
      <c r="K1874" s="78"/>
      <c r="L1874" s="77">
        <v>43805</v>
      </c>
      <c r="M1874" s="68"/>
      <c r="N1874" s="76" t="s">
        <v>703</v>
      </c>
      <c r="O1874" s="75" t="s">
        <v>706</v>
      </c>
      <c r="R1874" s="74"/>
    </row>
    <row r="1875" spans="2:18" ht="36" hidden="1" customHeight="1" x14ac:dyDescent="0.25">
      <c r="B1875" s="84">
        <v>1646</v>
      </c>
      <c r="C1875" s="83" t="s">
        <v>23</v>
      </c>
      <c r="D1875" s="82" t="s">
        <v>1171</v>
      </c>
      <c r="E1875" s="81">
        <v>43805</v>
      </c>
      <c r="F1875" s="27">
        <f t="shared" ca="1" si="29"/>
        <v>668</v>
      </c>
      <c r="G1875" s="79"/>
      <c r="H1875" s="80"/>
      <c r="I1875" s="80"/>
      <c r="J1875" s="79"/>
      <c r="K1875" s="78"/>
      <c r="L1875" s="77">
        <v>43818</v>
      </c>
      <c r="M1875" s="68"/>
      <c r="N1875" s="76" t="s">
        <v>1172</v>
      </c>
      <c r="O1875" s="75" t="s">
        <v>1173</v>
      </c>
      <c r="R1875" s="74"/>
    </row>
    <row r="1876" spans="2:18" ht="36" hidden="1" customHeight="1" x14ac:dyDescent="0.25">
      <c r="B1876" s="84">
        <v>1647</v>
      </c>
      <c r="C1876" s="83" t="s">
        <v>11</v>
      </c>
      <c r="D1876" s="82" t="s">
        <v>987</v>
      </c>
      <c r="E1876" s="81">
        <v>43805</v>
      </c>
      <c r="F1876" s="27">
        <f t="shared" ca="1" si="29"/>
        <v>668</v>
      </c>
      <c r="G1876" s="79"/>
      <c r="H1876" s="80"/>
      <c r="I1876" s="80"/>
      <c r="J1876" s="79"/>
      <c r="K1876" s="78"/>
      <c r="L1876" s="77">
        <v>43805</v>
      </c>
      <c r="M1876" s="68"/>
      <c r="N1876" s="76" t="s">
        <v>703</v>
      </c>
      <c r="O1876" s="75" t="s">
        <v>1248</v>
      </c>
      <c r="R1876" s="74"/>
    </row>
    <row r="1877" spans="2:18" ht="36" hidden="1" customHeight="1" x14ac:dyDescent="0.25">
      <c r="B1877" s="84">
        <v>1821</v>
      </c>
      <c r="C1877" s="83" t="s">
        <v>23</v>
      </c>
      <c r="D1877" s="82" t="s">
        <v>2364</v>
      </c>
      <c r="E1877" s="81">
        <v>43805</v>
      </c>
      <c r="F1877" s="27">
        <f t="shared" ca="1" si="29"/>
        <v>668</v>
      </c>
      <c r="G1877" s="79"/>
      <c r="H1877" s="80"/>
      <c r="I1877" s="80"/>
      <c r="J1877" s="79"/>
      <c r="K1877" s="78"/>
      <c r="L1877" s="77">
        <v>43822</v>
      </c>
      <c r="M1877" s="68"/>
      <c r="N1877" s="76" t="s">
        <v>686</v>
      </c>
      <c r="O1877" s="75"/>
      <c r="R1877" s="74"/>
    </row>
    <row r="1878" spans="2:18" ht="36" hidden="1" customHeight="1" x14ac:dyDescent="0.25">
      <c r="B1878" s="84">
        <v>1641</v>
      </c>
      <c r="C1878" s="83" t="s">
        <v>39</v>
      </c>
      <c r="D1878" s="82" t="s">
        <v>705</v>
      </c>
      <c r="E1878" s="81">
        <v>43808</v>
      </c>
      <c r="F1878" s="27">
        <f t="shared" ca="1" si="29"/>
        <v>665</v>
      </c>
      <c r="G1878" s="79"/>
      <c r="H1878" s="80"/>
      <c r="I1878" s="80"/>
      <c r="J1878" s="79"/>
      <c r="K1878" s="78"/>
      <c r="L1878" s="77">
        <v>43808</v>
      </c>
      <c r="M1878" s="68"/>
      <c r="N1878" s="76" t="s">
        <v>703</v>
      </c>
      <c r="O1878" s="75" t="s">
        <v>706</v>
      </c>
      <c r="R1878" s="74"/>
    </row>
    <row r="1879" spans="2:18" ht="36" hidden="1" customHeight="1" x14ac:dyDescent="0.25">
      <c r="B1879" s="84">
        <v>1824</v>
      </c>
      <c r="C1879" s="83" t="s">
        <v>40</v>
      </c>
      <c r="D1879" s="82" t="s">
        <v>2180</v>
      </c>
      <c r="E1879" s="81">
        <v>43809</v>
      </c>
      <c r="F1879" s="27">
        <f t="shared" ca="1" si="29"/>
        <v>664</v>
      </c>
      <c r="G1879" s="79"/>
      <c r="H1879" s="80"/>
      <c r="I1879" s="80"/>
      <c r="J1879" s="79"/>
      <c r="K1879" s="78"/>
      <c r="L1879" s="77">
        <v>43818</v>
      </c>
      <c r="M1879" s="68"/>
      <c r="N1879" s="76" t="s">
        <v>185</v>
      </c>
      <c r="O1879" s="75" t="s">
        <v>2901</v>
      </c>
      <c r="R1879" s="74"/>
    </row>
    <row r="1880" spans="2:18" ht="36" hidden="1" customHeight="1" x14ac:dyDescent="0.25">
      <c r="B1880" s="84">
        <v>1647</v>
      </c>
      <c r="C1880" s="83" t="s">
        <v>23</v>
      </c>
      <c r="D1880" s="82" t="s">
        <v>1249</v>
      </c>
      <c r="E1880" s="81">
        <v>43810</v>
      </c>
      <c r="F1880" s="27">
        <f t="shared" ca="1" si="29"/>
        <v>663</v>
      </c>
      <c r="G1880" s="79"/>
      <c r="H1880" s="80"/>
      <c r="I1880" s="80"/>
      <c r="J1880" s="79"/>
      <c r="K1880" s="78"/>
      <c r="L1880" s="77">
        <v>43816</v>
      </c>
      <c r="M1880" s="68"/>
      <c r="N1880" s="76" t="s">
        <v>703</v>
      </c>
      <c r="O1880" s="75" t="s">
        <v>1250</v>
      </c>
      <c r="R1880" s="74"/>
    </row>
    <row r="1881" spans="2:18" ht="36" hidden="1" customHeight="1" x14ac:dyDescent="0.25">
      <c r="B1881" s="84">
        <v>1819</v>
      </c>
      <c r="C1881" s="83" t="s">
        <v>23</v>
      </c>
      <c r="D1881" s="82" t="s">
        <v>483</v>
      </c>
      <c r="E1881" s="81">
        <v>43810</v>
      </c>
      <c r="F1881" s="27">
        <f t="shared" ca="1" si="29"/>
        <v>663</v>
      </c>
      <c r="G1881" s="79"/>
      <c r="H1881" s="80"/>
      <c r="I1881" s="80"/>
      <c r="J1881" s="79"/>
      <c r="K1881" s="78"/>
      <c r="L1881" s="77">
        <v>43812</v>
      </c>
      <c r="M1881" s="68"/>
      <c r="N1881" s="76" t="s">
        <v>185</v>
      </c>
      <c r="O1881" s="75" t="s">
        <v>1270</v>
      </c>
      <c r="R1881" s="74"/>
    </row>
    <row r="1882" spans="2:18" ht="36" hidden="1" customHeight="1" x14ac:dyDescent="0.25">
      <c r="B1882" s="84">
        <v>1642</v>
      </c>
      <c r="C1882" s="83" t="s">
        <v>40</v>
      </c>
      <c r="D1882" s="82" t="s">
        <v>832</v>
      </c>
      <c r="E1882" s="81">
        <v>43840</v>
      </c>
      <c r="F1882" s="27">
        <f t="shared" ca="1" si="29"/>
        <v>633</v>
      </c>
      <c r="G1882" s="79"/>
      <c r="H1882" s="80"/>
      <c r="I1882" s="80"/>
      <c r="J1882" s="79"/>
      <c r="K1882" s="78"/>
      <c r="L1882" s="77">
        <v>43871</v>
      </c>
      <c r="M1882" s="68"/>
      <c r="N1882" s="76" t="s">
        <v>831</v>
      </c>
      <c r="O1882" s="75"/>
      <c r="R1882" s="74"/>
    </row>
    <row r="1883" spans="2:18" ht="36" hidden="1" customHeight="1" x14ac:dyDescent="0.25">
      <c r="B1883" s="84">
        <v>1645</v>
      </c>
      <c r="C1883" s="83" t="s">
        <v>40</v>
      </c>
      <c r="D1883" s="82" t="s">
        <v>1084</v>
      </c>
      <c r="E1883" s="81">
        <v>43811</v>
      </c>
      <c r="F1883" s="27">
        <f t="shared" ca="1" si="29"/>
        <v>662</v>
      </c>
      <c r="G1883" s="79"/>
      <c r="H1883" s="80"/>
      <c r="I1883" s="80"/>
      <c r="J1883" s="79"/>
      <c r="K1883" s="78"/>
      <c r="L1883" s="77">
        <v>43822</v>
      </c>
      <c r="M1883" s="68"/>
      <c r="N1883" s="76" t="s">
        <v>686</v>
      </c>
      <c r="O1883" s="75" t="s">
        <v>1085</v>
      </c>
      <c r="R1883" s="74"/>
    </row>
    <row r="1884" spans="2:18" ht="36" hidden="1" customHeight="1" x14ac:dyDescent="0.25">
      <c r="B1884" s="84">
        <v>1818</v>
      </c>
      <c r="C1884" s="83" t="s">
        <v>39</v>
      </c>
      <c r="D1884" s="82" t="s">
        <v>1800</v>
      </c>
      <c r="E1884" s="81">
        <v>43811</v>
      </c>
      <c r="F1884" s="27">
        <f t="shared" ca="1" si="29"/>
        <v>662</v>
      </c>
      <c r="G1884" s="79"/>
      <c r="H1884" s="80"/>
      <c r="I1884" s="80"/>
      <c r="J1884" s="79"/>
      <c r="K1884" s="78"/>
      <c r="L1884" s="77">
        <v>43812</v>
      </c>
      <c r="M1884" s="68"/>
      <c r="N1884" s="76" t="s">
        <v>185</v>
      </c>
      <c r="O1884" s="75" t="s">
        <v>705</v>
      </c>
      <c r="R1884" s="74"/>
    </row>
    <row r="1885" spans="2:18" ht="36" hidden="1" customHeight="1" x14ac:dyDescent="0.25">
      <c r="B1885" s="84">
        <v>1818</v>
      </c>
      <c r="C1885" s="83" t="s">
        <v>16</v>
      </c>
      <c r="D1885" s="82" t="s">
        <v>1801</v>
      </c>
      <c r="E1885" s="81">
        <v>43811</v>
      </c>
      <c r="F1885" s="27">
        <f t="shared" ca="1" si="29"/>
        <v>662</v>
      </c>
      <c r="G1885" s="79"/>
      <c r="H1885" s="80"/>
      <c r="I1885" s="80"/>
      <c r="J1885" s="79"/>
      <c r="K1885" s="78"/>
      <c r="L1885" s="77">
        <v>43812</v>
      </c>
      <c r="M1885" s="68"/>
      <c r="N1885" s="76" t="s">
        <v>185</v>
      </c>
      <c r="O1885" s="75" t="s">
        <v>1802</v>
      </c>
      <c r="R1885" s="74"/>
    </row>
    <row r="1886" spans="2:18" ht="36" hidden="1" customHeight="1" x14ac:dyDescent="0.25">
      <c r="B1886" s="84">
        <v>1819</v>
      </c>
      <c r="C1886" s="83" t="s">
        <v>21</v>
      </c>
      <c r="D1886" s="82" t="s">
        <v>2025</v>
      </c>
      <c r="E1886" s="81">
        <v>43811</v>
      </c>
      <c r="F1886" s="27">
        <f t="shared" ca="1" si="29"/>
        <v>662</v>
      </c>
      <c r="G1886" s="79"/>
      <c r="H1886" s="80"/>
      <c r="I1886" s="80"/>
      <c r="J1886" s="79"/>
      <c r="K1886" s="78"/>
      <c r="L1886" s="77">
        <v>43812</v>
      </c>
      <c r="M1886" s="68"/>
      <c r="N1886" s="76" t="s">
        <v>185</v>
      </c>
      <c r="O1886" s="75" t="s">
        <v>2026</v>
      </c>
      <c r="R1886" s="74"/>
    </row>
    <row r="1887" spans="2:18" ht="36" hidden="1" customHeight="1" x14ac:dyDescent="0.25">
      <c r="B1887" s="84">
        <v>1821</v>
      </c>
      <c r="C1887" s="83" t="s">
        <v>20</v>
      </c>
      <c r="D1887" s="82" t="s">
        <v>2365</v>
      </c>
      <c r="E1887" s="81">
        <v>43811</v>
      </c>
      <c r="F1887" s="27">
        <f t="shared" ca="1" si="29"/>
        <v>662</v>
      </c>
      <c r="G1887" s="79"/>
      <c r="H1887" s="80"/>
      <c r="I1887" s="80"/>
      <c r="J1887" s="79"/>
      <c r="K1887" s="78"/>
      <c r="L1887" s="77">
        <v>43822</v>
      </c>
      <c r="M1887" s="68"/>
      <c r="N1887" s="76" t="s">
        <v>686</v>
      </c>
      <c r="O1887" s="75"/>
      <c r="R1887" s="74"/>
    </row>
    <row r="1888" spans="2:18" ht="36" hidden="1" customHeight="1" x14ac:dyDescent="0.25">
      <c r="B1888" s="84">
        <v>1643</v>
      </c>
      <c r="C1888" s="83" t="s">
        <v>40</v>
      </c>
      <c r="D1888" s="82" t="s">
        <v>940</v>
      </c>
      <c r="E1888" s="81">
        <v>43840</v>
      </c>
      <c r="F1888" s="27">
        <f t="shared" ca="1" si="29"/>
        <v>633</v>
      </c>
      <c r="G1888" s="79"/>
      <c r="H1888" s="80"/>
      <c r="I1888" s="80"/>
      <c r="J1888" s="79"/>
      <c r="K1888" s="78"/>
      <c r="L1888" s="77">
        <v>43852</v>
      </c>
      <c r="M1888" s="68"/>
      <c r="N1888" s="76" t="s">
        <v>686</v>
      </c>
      <c r="O1888" s="75"/>
      <c r="R1888" s="74"/>
    </row>
    <row r="1889" spans="2:18" ht="36" hidden="1" customHeight="1" x14ac:dyDescent="0.25">
      <c r="B1889" s="84">
        <v>1821</v>
      </c>
      <c r="C1889" s="83" t="s">
        <v>16</v>
      </c>
      <c r="D1889" s="82" t="s">
        <v>2367</v>
      </c>
      <c r="E1889" s="81">
        <v>43812</v>
      </c>
      <c r="F1889" s="27">
        <f t="shared" ca="1" si="29"/>
        <v>661</v>
      </c>
      <c r="G1889" s="79"/>
      <c r="H1889" s="80"/>
      <c r="I1889" s="80"/>
      <c r="J1889" s="79"/>
      <c r="K1889" s="78"/>
      <c r="L1889" s="77">
        <v>43822</v>
      </c>
      <c r="M1889" s="68"/>
      <c r="N1889" s="76" t="s">
        <v>686</v>
      </c>
      <c r="O1889" s="75"/>
      <c r="R1889" s="74"/>
    </row>
    <row r="1890" spans="2:18" ht="36" hidden="1" customHeight="1" x14ac:dyDescent="0.25">
      <c r="B1890" s="84">
        <v>1822</v>
      </c>
      <c r="C1890" s="83" t="s">
        <v>11</v>
      </c>
      <c r="D1890" s="82" t="s">
        <v>2479</v>
      </c>
      <c r="E1890" s="81">
        <v>43812</v>
      </c>
      <c r="F1890" s="27">
        <f t="shared" ca="1" si="29"/>
        <v>661</v>
      </c>
      <c r="G1890" s="79"/>
      <c r="H1890" s="80"/>
      <c r="I1890" s="80"/>
      <c r="J1890" s="79"/>
      <c r="K1890" s="78"/>
      <c r="L1890" s="77">
        <v>43812</v>
      </c>
      <c r="M1890" s="68"/>
      <c r="N1890" s="76" t="s">
        <v>185</v>
      </c>
      <c r="O1890" s="75" t="s">
        <v>2480</v>
      </c>
      <c r="R1890" s="74"/>
    </row>
    <row r="1891" spans="2:18" ht="36" hidden="1" customHeight="1" x14ac:dyDescent="0.25">
      <c r="B1891" s="84">
        <v>1822</v>
      </c>
      <c r="C1891" s="83" t="s">
        <v>23</v>
      </c>
      <c r="D1891" s="82" t="s">
        <v>2481</v>
      </c>
      <c r="E1891" s="81">
        <v>43812</v>
      </c>
      <c r="F1891" s="27">
        <f t="shared" ca="1" si="29"/>
        <v>661</v>
      </c>
      <c r="G1891" s="79"/>
      <c r="H1891" s="80"/>
      <c r="I1891" s="80"/>
      <c r="J1891" s="79"/>
      <c r="K1891" s="78"/>
      <c r="L1891" s="77">
        <v>43812</v>
      </c>
      <c r="M1891" s="68"/>
      <c r="N1891" s="76" t="s">
        <v>185</v>
      </c>
      <c r="O1891" s="75" t="s">
        <v>2482</v>
      </c>
      <c r="R1891" s="74"/>
    </row>
    <row r="1892" spans="2:18" ht="36" hidden="1" customHeight="1" x14ac:dyDescent="0.25">
      <c r="B1892" s="84">
        <v>1827</v>
      </c>
      <c r="C1892" s="83" t="s">
        <v>62</v>
      </c>
      <c r="D1892" s="82" t="s">
        <v>3442</v>
      </c>
      <c r="E1892" s="81">
        <v>43812</v>
      </c>
      <c r="F1892" s="27">
        <f t="shared" ca="1" si="29"/>
        <v>661</v>
      </c>
      <c r="G1892" s="79"/>
      <c r="H1892" s="80"/>
      <c r="I1892" s="80"/>
      <c r="J1892" s="79"/>
      <c r="K1892" s="78"/>
      <c r="L1892" s="77">
        <v>43830</v>
      </c>
      <c r="M1892" s="68"/>
      <c r="N1892" s="76" t="s">
        <v>185</v>
      </c>
      <c r="O1892" s="75" t="s">
        <v>63</v>
      </c>
      <c r="R1892" s="74"/>
    </row>
    <row r="1893" spans="2:18" ht="36" hidden="1" customHeight="1" x14ac:dyDescent="0.25">
      <c r="B1893" s="84">
        <v>1646</v>
      </c>
      <c r="C1893" s="83" t="s">
        <v>24</v>
      </c>
      <c r="D1893" s="82" t="s">
        <v>1174</v>
      </c>
      <c r="E1893" s="81">
        <v>43816</v>
      </c>
      <c r="F1893" s="27">
        <f t="shared" ca="1" si="29"/>
        <v>657</v>
      </c>
      <c r="G1893" s="79"/>
      <c r="H1893" s="80"/>
      <c r="I1893" s="80"/>
      <c r="J1893" s="79"/>
      <c r="K1893" s="78"/>
      <c r="L1893" s="77">
        <v>43818</v>
      </c>
      <c r="M1893" s="68"/>
      <c r="N1893" s="76" t="s">
        <v>1175</v>
      </c>
      <c r="O1893" s="75"/>
      <c r="R1893" s="74"/>
    </row>
    <row r="1894" spans="2:18" ht="36" hidden="1" customHeight="1" x14ac:dyDescent="0.25">
      <c r="B1894" s="84">
        <v>1818</v>
      </c>
      <c r="C1894" s="83" t="s">
        <v>40</v>
      </c>
      <c r="D1894" s="82" t="s">
        <v>1413</v>
      </c>
      <c r="E1894" s="81">
        <v>43816</v>
      </c>
      <c r="F1894" s="27">
        <f t="shared" ca="1" si="29"/>
        <v>657</v>
      </c>
      <c r="G1894" s="79"/>
      <c r="H1894" s="80"/>
      <c r="I1894" s="80"/>
      <c r="J1894" s="79"/>
      <c r="K1894" s="78"/>
      <c r="L1894" s="77">
        <v>43819</v>
      </c>
      <c r="M1894" s="68"/>
      <c r="N1894" s="76" t="s">
        <v>686</v>
      </c>
      <c r="O1894" s="75" t="s">
        <v>1806</v>
      </c>
      <c r="R1894" s="74"/>
    </row>
    <row r="1895" spans="2:18" ht="36" hidden="1" customHeight="1" x14ac:dyDescent="0.25">
      <c r="B1895" s="84">
        <v>1819</v>
      </c>
      <c r="C1895" s="83" t="s">
        <v>23</v>
      </c>
      <c r="D1895" s="82" t="s">
        <v>1160</v>
      </c>
      <c r="E1895" s="81">
        <v>43816</v>
      </c>
      <c r="F1895" s="27">
        <f t="shared" ca="1" si="29"/>
        <v>657</v>
      </c>
      <c r="G1895" s="79"/>
      <c r="H1895" s="80"/>
      <c r="I1895" s="80"/>
      <c r="J1895" s="79"/>
      <c r="K1895" s="78"/>
      <c r="L1895" s="77">
        <v>43816</v>
      </c>
      <c r="M1895" s="68"/>
      <c r="N1895" s="76" t="s">
        <v>185</v>
      </c>
      <c r="O1895" s="75" t="s">
        <v>51</v>
      </c>
      <c r="R1895" s="74"/>
    </row>
    <row r="1896" spans="2:18" ht="36" hidden="1" customHeight="1" x14ac:dyDescent="0.25">
      <c r="B1896" s="84">
        <v>1825</v>
      </c>
      <c r="C1896" s="83" t="s">
        <v>40</v>
      </c>
      <c r="D1896" s="82" t="s">
        <v>3152</v>
      </c>
      <c r="E1896" s="81">
        <v>43816</v>
      </c>
      <c r="F1896" s="27">
        <f t="shared" ca="1" si="29"/>
        <v>657</v>
      </c>
      <c r="G1896" s="79"/>
      <c r="H1896" s="80"/>
      <c r="I1896" s="80"/>
      <c r="J1896" s="79"/>
      <c r="K1896" s="78"/>
      <c r="L1896" s="77">
        <v>43829</v>
      </c>
      <c r="M1896" s="68"/>
      <c r="N1896" s="76" t="s">
        <v>3153</v>
      </c>
      <c r="O1896" s="75" t="s">
        <v>3154</v>
      </c>
      <c r="R1896" s="74"/>
    </row>
    <row r="1897" spans="2:18" ht="36" hidden="1" customHeight="1" x14ac:dyDescent="0.25">
      <c r="B1897" s="84">
        <v>1829</v>
      </c>
      <c r="C1897" s="83" t="s">
        <v>23</v>
      </c>
      <c r="D1897" s="82" t="s">
        <v>3852</v>
      </c>
      <c r="E1897" s="81">
        <v>43816</v>
      </c>
      <c r="F1897" s="27">
        <f t="shared" ca="1" si="29"/>
        <v>657</v>
      </c>
      <c r="G1897" s="79"/>
      <c r="H1897" s="80"/>
      <c r="I1897" s="80"/>
      <c r="J1897" s="79"/>
      <c r="K1897" s="78"/>
      <c r="L1897" s="77">
        <v>43830</v>
      </c>
      <c r="M1897" s="68"/>
      <c r="N1897" s="76" t="s">
        <v>703</v>
      </c>
      <c r="O1897" s="75" t="s">
        <v>168</v>
      </c>
      <c r="R1897" s="74"/>
    </row>
    <row r="1898" spans="2:18" ht="36" hidden="1" customHeight="1" x14ac:dyDescent="0.25">
      <c r="B1898" s="84">
        <v>1818</v>
      </c>
      <c r="C1898" s="83" t="s">
        <v>16</v>
      </c>
      <c r="D1898" s="82" t="s">
        <v>1761</v>
      </c>
      <c r="E1898" s="81">
        <v>43817</v>
      </c>
      <c r="F1898" s="27">
        <f t="shared" ca="1" si="29"/>
        <v>656</v>
      </c>
      <c r="G1898" s="79"/>
      <c r="H1898" s="80"/>
      <c r="I1898" s="80"/>
      <c r="J1898" s="79"/>
      <c r="K1898" s="78"/>
      <c r="L1898" s="77">
        <v>43467</v>
      </c>
      <c r="M1898" s="68"/>
      <c r="N1898" s="76" t="s">
        <v>686</v>
      </c>
      <c r="O1898" s="75" t="s">
        <v>1762</v>
      </c>
      <c r="R1898" s="74"/>
    </row>
    <row r="1899" spans="2:18" ht="36" hidden="1" customHeight="1" x14ac:dyDescent="0.25">
      <c r="B1899" s="84">
        <v>1824</v>
      </c>
      <c r="C1899" s="83" t="s">
        <v>18</v>
      </c>
      <c r="D1899" s="82" t="s">
        <v>2902</v>
      </c>
      <c r="E1899" s="81">
        <v>43817</v>
      </c>
      <c r="F1899" s="27">
        <f t="shared" ca="1" si="29"/>
        <v>656</v>
      </c>
      <c r="G1899" s="79"/>
      <c r="H1899" s="80"/>
      <c r="I1899" s="80"/>
      <c r="J1899" s="79"/>
      <c r="K1899" s="78"/>
      <c r="L1899" s="77">
        <v>43818</v>
      </c>
      <c r="M1899" s="68"/>
      <c r="N1899" s="76" t="s">
        <v>185</v>
      </c>
      <c r="O1899" s="75" t="s">
        <v>2903</v>
      </c>
      <c r="R1899" s="74"/>
    </row>
    <row r="1900" spans="2:18" ht="36" hidden="1" customHeight="1" x14ac:dyDescent="0.25">
      <c r="B1900" s="84">
        <v>1647</v>
      </c>
      <c r="C1900" s="83" t="s">
        <v>23</v>
      </c>
      <c r="D1900" s="82" t="s">
        <v>1251</v>
      </c>
      <c r="E1900" s="81">
        <v>43818</v>
      </c>
      <c r="F1900" s="27">
        <f t="shared" ca="1" si="29"/>
        <v>655</v>
      </c>
      <c r="G1900" s="79"/>
      <c r="H1900" s="80"/>
      <c r="I1900" s="80"/>
      <c r="J1900" s="79"/>
      <c r="K1900" s="78"/>
      <c r="L1900" s="77">
        <v>43823</v>
      </c>
      <c r="M1900" s="68"/>
      <c r="N1900" s="76" t="s">
        <v>686</v>
      </c>
      <c r="O1900" s="75" t="s">
        <v>1252</v>
      </c>
      <c r="R1900" s="74"/>
    </row>
    <row r="1901" spans="2:18" ht="36" hidden="1" customHeight="1" x14ac:dyDescent="0.25">
      <c r="B1901" s="84">
        <v>1819</v>
      </c>
      <c r="C1901" s="83" t="s">
        <v>16</v>
      </c>
      <c r="D1901" s="82" t="s">
        <v>2030</v>
      </c>
      <c r="E1901" s="81">
        <v>43818</v>
      </c>
      <c r="F1901" s="27">
        <f t="shared" ca="1" si="29"/>
        <v>655</v>
      </c>
      <c r="G1901" s="79"/>
      <c r="H1901" s="80"/>
      <c r="I1901" s="80"/>
      <c r="J1901" s="79"/>
      <c r="K1901" s="78"/>
      <c r="L1901" s="77">
        <v>43818</v>
      </c>
      <c r="M1901" s="68"/>
      <c r="N1901" s="76" t="s">
        <v>2031</v>
      </c>
      <c r="O1901" s="75" t="s">
        <v>2032</v>
      </c>
      <c r="R1901" s="74"/>
    </row>
    <row r="1902" spans="2:18" ht="36" hidden="1" customHeight="1" x14ac:dyDescent="0.25">
      <c r="B1902" s="84">
        <v>1647</v>
      </c>
      <c r="C1902" s="83" t="s">
        <v>39</v>
      </c>
      <c r="D1902" s="82" t="s">
        <v>1253</v>
      </c>
      <c r="E1902" s="81">
        <v>43819</v>
      </c>
      <c r="F1902" s="27">
        <f t="shared" ca="1" si="29"/>
        <v>654</v>
      </c>
      <c r="G1902" s="79"/>
      <c r="H1902" s="80"/>
      <c r="I1902" s="80"/>
      <c r="J1902" s="79"/>
      <c r="K1902" s="78"/>
      <c r="L1902" s="77">
        <v>43823</v>
      </c>
      <c r="M1902" s="68"/>
      <c r="N1902" s="76" t="s">
        <v>686</v>
      </c>
      <c r="O1902" s="75" t="s">
        <v>1254</v>
      </c>
      <c r="R1902" s="74"/>
    </row>
    <row r="1903" spans="2:18" ht="36" hidden="1" customHeight="1" x14ac:dyDescent="0.25">
      <c r="B1903" s="84">
        <v>1829</v>
      </c>
      <c r="C1903" s="83" t="s">
        <v>15</v>
      </c>
      <c r="D1903" s="82" t="s">
        <v>3853</v>
      </c>
      <c r="E1903" s="81">
        <v>43819</v>
      </c>
      <c r="F1903" s="27">
        <f t="shared" ca="1" si="29"/>
        <v>654</v>
      </c>
      <c r="G1903" s="79"/>
      <c r="H1903" s="80"/>
      <c r="I1903" s="80"/>
      <c r="J1903" s="79"/>
      <c r="K1903" s="78"/>
      <c r="L1903" s="77">
        <v>43830</v>
      </c>
      <c r="M1903" s="68"/>
      <c r="N1903" s="76" t="s">
        <v>703</v>
      </c>
      <c r="O1903" s="75" t="s">
        <v>1281</v>
      </c>
      <c r="R1903" s="74"/>
    </row>
    <row r="1904" spans="2:18" ht="36" hidden="1" customHeight="1" x14ac:dyDescent="0.25">
      <c r="B1904" s="84">
        <v>1643</v>
      </c>
      <c r="C1904" s="83" t="s">
        <v>40</v>
      </c>
      <c r="D1904" s="82" t="s">
        <v>941</v>
      </c>
      <c r="E1904" s="81">
        <v>43840</v>
      </c>
      <c r="F1904" s="27">
        <f t="shared" ca="1" si="29"/>
        <v>633</v>
      </c>
      <c r="G1904" s="79"/>
      <c r="H1904" s="80"/>
      <c r="I1904" s="80"/>
      <c r="J1904" s="79"/>
      <c r="K1904" s="78"/>
      <c r="L1904" s="77">
        <v>43852</v>
      </c>
      <c r="M1904" s="68"/>
      <c r="N1904" s="76" t="s">
        <v>686</v>
      </c>
      <c r="O1904" s="75"/>
      <c r="R1904" s="74"/>
    </row>
    <row r="1905" spans="2:18" ht="36" hidden="1" customHeight="1" x14ac:dyDescent="0.25">
      <c r="B1905" s="84">
        <v>1643</v>
      </c>
      <c r="C1905" s="83" t="s">
        <v>37</v>
      </c>
      <c r="D1905" s="82" t="s">
        <v>942</v>
      </c>
      <c r="E1905" s="81">
        <v>43852</v>
      </c>
      <c r="F1905" s="27">
        <f t="shared" ca="1" si="29"/>
        <v>621</v>
      </c>
      <c r="G1905" s="79"/>
      <c r="H1905" s="80"/>
      <c r="I1905" s="80"/>
      <c r="J1905" s="79"/>
      <c r="K1905" s="78"/>
      <c r="L1905" s="77">
        <v>43857</v>
      </c>
      <c r="M1905" s="68"/>
      <c r="N1905" s="76" t="s">
        <v>943</v>
      </c>
      <c r="O1905" s="75"/>
      <c r="R1905" s="74"/>
    </row>
    <row r="1906" spans="2:18" ht="36" hidden="1" customHeight="1" x14ac:dyDescent="0.25">
      <c r="B1906" s="84">
        <v>1643</v>
      </c>
      <c r="C1906" s="83" t="s">
        <v>40</v>
      </c>
      <c r="D1906" s="82" t="s">
        <v>944</v>
      </c>
      <c r="E1906" s="81">
        <v>43864</v>
      </c>
      <c r="F1906" s="27">
        <f t="shared" ca="1" si="29"/>
        <v>609</v>
      </c>
      <c r="G1906" s="79"/>
      <c r="H1906" s="80"/>
      <c r="I1906" s="80"/>
      <c r="J1906" s="79"/>
      <c r="K1906" s="78"/>
      <c r="L1906" s="77">
        <v>43871</v>
      </c>
      <c r="M1906" s="68"/>
      <c r="N1906" s="76" t="s">
        <v>831</v>
      </c>
      <c r="O1906" s="75" t="s">
        <v>945</v>
      </c>
      <c r="R1906" s="74"/>
    </row>
    <row r="1907" spans="2:18" ht="36" hidden="1" customHeight="1" x14ac:dyDescent="0.25">
      <c r="B1907" s="84">
        <v>1647</v>
      </c>
      <c r="C1907" s="83" t="s">
        <v>19</v>
      </c>
      <c r="D1907" s="82" t="s">
        <v>967</v>
      </c>
      <c r="E1907" s="81">
        <v>43827</v>
      </c>
      <c r="F1907" s="27">
        <f t="shared" ca="1" si="29"/>
        <v>646</v>
      </c>
      <c r="G1907" s="79"/>
      <c r="H1907" s="80"/>
      <c r="I1907" s="80"/>
      <c r="J1907" s="79"/>
      <c r="K1907" s="78"/>
      <c r="L1907" s="77">
        <v>43829</v>
      </c>
      <c r="M1907" s="68"/>
      <c r="N1907" s="76" t="s">
        <v>185</v>
      </c>
      <c r="O1907" s="75" t="s">
        <v>1255</v>
      </c>
      <c r="R1907" s="74"/>
    </row>
    <row r="1908" spans="2:18" ht="36" hidden="1" customHeight="1" x14ac:dyDescent="0.25">
      <c r="B1908" s="84">
        <v>1817</v>
      </c>
      <c r="C1908" s="83" t="s">
        <v>40</v>
      </c>
      <c r="D1908" s="82" t="s">
        <v>1629</v>
      </c>
      <c r="E1908" s="81">
        <v>43829</v>
      </c>
      <c r="F1908" s="27">
        <f t="shared" ca="1" si="29"/>
        <v>644</v>
      </c>
      <c r="G1908" s="79"/>
      <c r="H1908" s="80"/>
      <c r="I1908" s="80"/>
      <c r="J1908" s="79"/>
      <c r="K1908" s="78"/>
      <c r="L1908" s="77">
        <v>43830</v>
      </c>
      <c r="M1908" s="68"/>
      <c r="N1908" s="76" t="s">
        <v>703</v>
      </c>
      <c r="O1908" s="75" t="s">
        <v>1630</v>
      </c>
      <c r="R1908" s="74"/>
    </row>
    <row r="1909" spans="2:18" ht="36" hidden="1" customHeight="1" x14ac:dyDescent="0.25">
      <c r="B1909" s="84">
        <v>1818</v>
      </c>
      <c r="C1909" s="83" t="s">
        <v>17</v>
      </c>
      <c r="D1909" s="82" t="s">
        <v>1763</v>
      </c>
      <c r="E1909" s="81">
        <v>43829</v>
      </c>
      <c r="F1909" s="27">
        <f t="shared" ca="1" si="29"/>
        <v>644</v>
      </c>
      <c r="G1909" s="79"/>
      <c r="H1909" s="80"/>
      <c r="I1909" s="80"/>
      <c r="J1909" s="79"/>
      <c r="K1909" s="78"/>
      <c r="L1909" s="77">
        <v>43467</v>
      </c>
      <c r="M1909" s="68"/>
      <c r="N1909" s="76" t="s">
        <v>686</v>
      </c>
      <c r="O1909" s="75" t="s">
        <v>1764</v>
      </c>
      <c r="R1909" s="74"/>
    </row>
    <row r="1910" spans="2:18" ht="36" hidden="1" customHeight="1" x14ac:dyDescent="0.25">
      <c r="B1910" s="84">
        <v>1822</v>
      </c>
      <c r="C1910" s="83" t="s">
        <v>15</v>
      </c>
      <c r="D1910" s="82" t="s">
        <v>2483</v>
      </c>
      <c r="E1910" s="81">
        <v>43829</v>
      </c>
      <c r="F1910" s="27">
        <f t="shared" ca="1" si="29"/>
        <v>644</v>
      </c>
      <c r="G1910" s="79"/>
      <c r="H1910" s="80"/>
      <c r="I1910" s="80"/>
      <c r="J1910" s="79"/>
      <c r="K1910" s="78"/>
      <c r="L1910" s="77">
        <v>43829</v>
      </c>
      <c r="M1910" s="68"/>
      <c r="N1910" s="76" t="s">
        <v>185</v>
      </c>
      <c r="O1910" s="75"/>
      <c r="R1910" s="74"/>
    </row>
    <row r="1911" spans="2:18" ht="36" hidden="1" customHeight="1" x14ac:dyDescent="0.25">
      <c r="B1911" s="84">
        <v>1823</v>
      </c>
      <c r="C1911" s="83" t="s">
        <v>23</v>
      </c>
      <c r="D1911" s="82" t="s">
        <v>346</v>
      </c>
      <c r="E1911" s="81">
        <v>43829</v>
      </c>
      <c r="F1911" s="27">
        <f t="shared" ca="1" si="29"/>
        <v>644</v>
      </c>
      <c r="G1911" s="79"/>
      <c r="H1911" s="80"/>
      <c r="I1911" s="80"/>
      <c r="J1911" s="79"/>
      <c r="K1911" s="78"/>
      <c r="L1911" s="77">
        <v>43829</v>
      </c>
      <c r="M1911" s="68"/>
      <c r="N1911" s="76" t="s">
        <v>990</v>
      </c>
      <c r="O1911" s="75"/>
      <c r="R1911" s="74"/>
    </row>
    <row r="1912" spans="2:18" ht="36" hidden="1" customHeight="1" x14ac:dyDescent="0.25">
      <c r="B1912" s="84">
        <v>1825</v>
      </c>
      <c r="C1912" s="83" t="s">
        <v>12</v>
      </c>
      <c r="D1912" s="82" t="s">
        <v>3155</v>
      </c>
      <c r="E1912" s="81">
        <v>43829</v>
      </c>
      <c r="F1912" s="27">
        <f t="shared" ca="1" si="29"/>
        <v>644</v>
      </c>
      <c r="G1912" s="79"/>
      <c r="H1912" s="80"/>
      <c r="I1912" s="80"/>
      <c r="J1912" s="79"/>
      <c r="K1912" s="78"/>
      <c r="L1912" s="77">
        <v>43830</v>
      </c>
      <c r="M1912" s="68"/>
      <c r="N1912" s="76" t="s">
        <v>185</v>
      </c>
      <c r="O1912" s="75" t="s">
        <v>3156</v>
      </c>
      <c r="R1912" s="74"/>
    </row>
    <row r="1913" spans="2:18" ht="36" hidden="1" customHeight="1" x14ac:dyDescent="0.25">
      <c r="B1913" s="84">
        <v>1829</v>
      </c>
      <c r="C1913" s="83" t="s">
        <v>23</v>
      </c>
      <c r="D1913" s="82" t="s">
        <v>1815</v>
      </c>
      <c r="E1913" s="81">
        <v>43829</v>
      </c>
      <c r="F1913" s="27">
        <f t="shared" ca="1" si="29"/>
        <v>644</v>
      </c>
      <c r="G1913" s="79"/>
      <c r="H1913" s="80"/>
      <c r="I1913" s="80"/>
      <c r="J1913" s="79"/>
      <c r="K1913" s="78"/>
      <c r="L1913" s="77">
        <v>43830</v>
      </c>
      <c r="M1913" s="68"/>
      <c r="N1913" s="76" t="s">
        <v>703</v>
      </c>
      <c r="O1913" s="75" t="s">
        <v>168</v>
      </c>
      <c r="R1913" s="74"/>
    </row>
    <row r="1914" spans="2:18" ht="36" hidden="1" customHeight="1" x14ac:dyDescent="0.25">
      <c r="B1914" s="84">
        <v>1829</v>
      </c>
      <c r="C1914" s="83" t="s">
        <v>19</v>
      </c>
      <c r="D1914" s="82" t="s">
        <v>1339</v>
      </c>
      <c r="E1914" s="81">
        <v>43829</v>
      </c>
      <c r="F1914" s="27">
        <f t="shared" ca="1" si="29"/>
        <v>644</v>
      </c>
      <c r="G1914" s="79"/>
      <c r="H1914" s="80"/>
      <c r="I1914" s="80"/>
      <c r="J1914" s="79"/>
      <c r="K1914" s="78"/>
      <c r="L1914" s="77">
        <v>43830</v>
      </c>
      <c r="M1914" s="68"/>
      <c r="N1914" s="76" t="s">
        <v>185</v>
      </c>
      <c r="O1914" s="75" t="s">
        <v>3854</v>
      </c>
      <c r="R1914" s="74"/>
    </row>
    <row r="1915" spans="2:18" ht="36" hidden="1" customHeight="1" x14ac:dyDescent="0.25">
      <c r="B1915" s="84">
        <v>1643</v>
      </c>
      <c r="C1915" s="83" t="s">
        <v>60</v>
      </c>
      <c r="D1915" s="82" t="s">
        <v>946</v>
      </c>
      <c r="E1915" s="81">
        <v>43864</v>
      </c>
      <c r="F1915" s="27">
        <f t="shared" ca="1" si="29"/>
        <v>609</v>
      </c>
      <c r="G1915" s="79"/>
      <c r="H1915" s="80"/>
      <c r="I1915" s="80"/>
      <c r="J1915" s="79"/>
      <c r="K1915" s="78"/>
      <c r="L1915" s="77">
        <v>43871</v>
      </c>
      <c r="M1915" s="68"/>
      <c r="N1915" s="76" t="s">
        <v>831</v>
      </c>
      <c r="O1915" s="75"/>
      <c r="R1915" s="74"/>
    </row>
    <row r="1916" spans="2:18" ht="36" hidden="1" customHeight="1" x14ac:dyDescent="0.25">
      <c r="B1916" s="84">
        <v>1644</v>
      </c>
      <c r="C1916" s="83" t="s">
        <v>40</v>
      </c>
      <c r="D1916" s="82" t="s">
        <v>940</v>
      </c>
      <c r="E1916" s="81">
        <v>43840</v>
      </c>
      <c r="F1916" s="27">
        <f t="shared" ca="1" si="29"/>
        <v>633</v>
      </c>
      <c r="G1916" s="79"/>
      <c r="H1916" s="80"/>
      <c r="I1916" s="80"/>
      <c r="J1916" s="79"/>
      <c r="K1916" s="78"/>
      <c r="L1916" s="77">
        <v>43857</v>
      </c>
      <c r="M1916" s="68"/>
      <c r="N1916" s="76" t="s">
        <v>990</v>
      </c>
      <c r="O1916" s="75"/>
      <c r="R1916" s="74"/>
    </row>
    <row r="1917" spans="2:18" ht="36" hidden="1" customHeight="1" x14ac:dyDescent="0.25">
      <c r="B1917" s="84">
        <v>1644</v>
      </c>
      <c r="C1917" s="83" t="s">
        <v>40</v>
      </c>
      <c r="D1917" s="82" t="s">
        <v>991</v>
      </c>
      <c r="E1917" s="81">
        <v>43840</v>
      </c>
      <c r="F1917" s="27">
        <f t="shared" ca="1" si="29"/>
        <v>633</v>
      </c>
      <c r="G1917" s="79"/>
      <c r="H1917" s="80"/>
      <c r="I1917" s="80"/>
      <c r="J1917" s="79"/>
      <c r="K1917" s="78"/>
      <c r="L1917" s="77">
        <v>43857</v>
      </c>
      <c r="M1917" s="68"/>
      <c r="N1917" s="76" t="s">
        <v>990</v>
      </c>
      <c r="O1917" s="75"/>
      <c r="R1917" s="74"/>
    </row>
    <row r="1918" spans="2:18" ht="36" hidden="1" customHeight="1" x14ac:dyDescent="0.25">
      <c r="B1918" s="84">
        <v>1644</v>
      </c>
      <c r="C1918" s="83" t="s">
        <v>31</v>
      </c>
      <c r="D1918" s="82" t="s">
        <v>992</v>
      </c>
      <c r="E1918" s="81">
        <v>43854</v>
      </c>
      <c r="F1918" s="27">
        <f t="shared" ca="1" si="29"/>
        <v>619</v>
      </c>
      <c r="G1918" s="79"/>
      <c r="H1918" s="80"/>
      <c r="I1918" s="80"/>
      <c r="J1918" s="79"/>
      <c r="K1918" s="78"/>
      <c r="L1918" s="77">
        <v>43857</v>
      </c>
      <c r="M1918" s="68"/>
      <c r="N1918" s="76" t="s">
        <v>990</v>
      </c>
      <c r="O1918" s="75" t="s">
        <v>993</v>
      </c>
      <c r="R1918" s="74"/>
    </row>
    <row r="1919" spans="2:18" ht="36" hidden="1" customHeight="1" x14ac:dyDescent="0.25">
      <c r="B1919" s="84">
        <v>1644</v>
      </c>
      <c r="C1919" s="83" t="s">
        <v>11</v>
      </c>
      <c r="D1919" s="82" t="s">
        <v>994</v>
      </c>
      <c r="E1919" s="81">
        <v>43854</v>
      </c>
      <c r="F1919" s="27">
        <f t="shared" ca="1" si="29"/>
        <v>619</v>
      </c>
      <c r="G1919" s="79"/>
      <c r="H1919" s="80"/>
      <c r="I1919" s="80"/>
      <c r="J1919" s="79"/>
      <c r="K1919" s="78"/>
      <c r="L1919" s="77">
        <v>43857</v>
      </c>
      <c r="M1919" s="68"/>
      <c r="N1919" s="76" t="s">
        <v>990</v>
      </c>
      <c r="O1919" s="75" t="s">
        <v>993</v>
      </c>
      <c r="R1919" s="74"/>
    </row>
    <row r="1920" spans="2:18" ht="36" hidden="1" customHeight="1" x14ac:dyDescent="0.25">
      <c r="B1920" s="84">
        <v>1644</v>
      </c>
      <c r="C1920" s="83" t="s">
        <v>37</v>
      </c>
      <c r="D1920" s="82" t="s">
        <v>995</v>
      </c>
      <c r="E1920" s="81">
        <v>43854</v>
      </c>
      <c r="F1920" s="27">
        <f t="shared" ca="1" si="29"/>
        <v>619</v>
      </c>
      <c r="G1920" s="79"/>
      <c r="H1920" s="80"/>
      <c r="I1920" s="80"/>
      <c r="J1920" s="79"/>
      <c r="K1920" s="78"/>
      <c r="L1920" s="77">
        <v>43858</v>
      </c>
      <c r="M1920" s="68"/>
      <c r="N1920" s="76" t="s">
        <v>996</v>
      </c>
      <c r="O1920" s="75"/>
      <c r="R1920" s="74"/>
    </row>
    <row r="1921" spans="2:18" ht="36" hidden="1" customHeight="1" x14ac:dyDescent="0.25">
      <c r="B1921" s="84">
        <v>1644</v>
      </c>
      <c r="C1921" s="83" t="s">
        <v>12</v>
      </c>
      <c r="D1921" s="82" t="s">
        <v>997</v>
      </c>
      <c r="E1921" s="81">
        <v>43854</v>
      </c>
      <c r="F1921" s="27">
        <f t="shared" ca="1" si="29"/>
        <v>619</v>
      </c>
      <c r="G1921" s="79"/>
      <c r="H1921" s="80"/>
      <c r="I1921" s="80"/>
      <c r="J1921" s="79"/>
      <c r="K1921" s="78"/>
      <c r="L1921" s="77">
        <v>43875</v>
      </c>
      <c r="M1921" s="68"/>
      <c r="N1921" s="76" t="s">
        <v>998</v>
      </c>
      <c r="O1921" s="75" t="s">
        <v>999</v>
      </c>
      <c r="R1921" s="74"/>
    </row>
    <row r="1922" spans="2:18" ht="36" hidden="1" customHeight="1" x14ac:dyDescent="0.25">
      <c r="B1922" s="84">
        <v>1644</v>
      </c>
      <c r="C1922" s="83" t="s">
        <v>11</v>
      </c>
      <c r="D1922" s="82" t="s">
        <v>1000</v>
      </c>
      <c r="E1922" s="81">
        <v>43854</v>
      </c>
      <c r="F1922" s="27">
        <f t="shared" ca="1" si="29"/>
        <v>619</v>
      </c>
      <c r="G1922" s="79"/>
      <c r="H1922" s="80"/>
      <c r="I1922" s="80"/>
      <c r="J1922" s="79"/>
      <c r="K1922" s="78"/>
      <c r="L1922" s="77">
        <v>43875</v>
      </c>
      <c r="M1922" s="68"/>
      <c r="N1922" s="76" t="s">
        <v>998</v>
      </c>
      <c r="O1922" s="75" t="s">
        <v>1001</v>
      </c>
      <c r="R1922" s="74"/>
    </row>
    <row r="1923" spans="2:18" ht="36" hidden="1" customHeight="1" x14ac:dyDescent="0.25">
      <c r="B1923" s="84">
        <v>1644</v>
      </c>
      <c r="C1923" s="83" t="s">
        <v>38</v>
      </c>
      <c r="D1923" s="82" t="s">
        <v>1002</v>
      </c>
      <c r="E1923" s="81">
        <v>43854</v>
      </c>
      <c r="F1923" s="27">
        <f t="shared" ca="1" si="29"/>
        <v>619</v>
      </c>
      <c r="G1923" s="79"/>
      <c r="H1923" s="80"/>
      <c r="I1923" s="80"/>
      <c r="J1923" s="79"/>
      <c r="K1923" s="78"/>
      <c r="L1923" s="77">
        <v>43875</v>
      </c>
      <c r="M1923" s="68"/>
      <c r="N1923" s="76" t="s">
        <v>998</v>
      </c>
      <c r="O1923" s="75" t="s">
        <v>1003</v>
      </c>
      <c r="R1923" s="74"/>
    </row>
    <row r="1924" spans="2:18" ht="36" hidden="1" customHeight="1" x14ac:dyDescent="0.25">
      <c r="B1924" s="84">
        <v>1645</v>
      </c>
      <c r="C1924" s="83" t="s">
        <v>10</v>
      </c>
      <c r="D1924" s="82" t="s">
        <v>1086</v>
      </c>
      <c r="E1924" s="81">
        <v>43837</v>
      </c>
      <c r="F1924" s="27">
        <f t="shared" ca="1" si="29"/>
        <v>636</v>
      </c>
      <c r="G1924" s="79"/>
      <c r="H1924" s="80"/>
      <c r="I1924" s="80"/>
      <c r="J1924" s="79"/>
      <c r="K1924" s="78"/>
      <c r="L1924" s="77">
        <v>43837</v>
      </c>
      <c r="M1924" s="68"/>
      <c r="N1924" s="76" t="s">
        <v>185</v>
      </c>
      <c r="O1924" s="75" t="s">
        <v>1087</v>
      </c>
      <c r="R1924" s="74"/>
    </row>
    <row r="1925" spans="2:18" ht="36" hidden="1" customHeight="1" x14ac:dyDescent="0.25">
      <c r="B1925" s="84">
        <v>1645</v>
      </c>
      <c r="C1925" s="83" t="s">
        <v>40</v>
      </c>
      <c r="D1925" s="82" t="s">
        <v>1088</v>
      </c>
      <c r="E1925" s="81">
        <v>43840</v>
      </c>
      <c r="F1925" s="27">
        <f t="shared" ca="1" si="29"/>
        <v>633</v>
      </c>
      <c r="G1925" s="79"/>
      <c r="H1925" s="80"/>
      <c r="I1925" s="80"/>
      <c r="J1925" s="79"/>
      <c r="K1925" s="78"/>
      <c r="L1925" s="77">
        <v>43857</v>
      </c>
      <c r="M1925" s="68"/>
      <c r="N1925" s="76" t="s">
        <v>990</v>
      </c>
      <c r="O1925" s="75"/>
      <c r="R1925" s="74"/>
    </row>
    <row r="1926" spans="2:18" ht="36" hidden="1" customHeight="1" x14ac:dyDescent="0.25">
      <c r="B1926" s="84">
        <v>1645</v>
      </c>
      <c r="C1926" s="83" t="s">
        <v>40</v>
      </c>
      <c r="D1926" s="82" t="s">
        <v>1089</v>
      </c>
      <c r="E1926" s="81">
        <v>43840</v>
      </c>
      <c r="F1926" s="27">
        <f t="shared" ca="1" si="29"/>
        <v>633</v>
      </c>
      <c r="G1926" s="79"/>
      <c r="H1926" s="80"/>
      <c r="I1926" s="80"/>
      <c r="J1926" s="79"/>
      <c r="K1926" s="78"/>
      <c r="L1926" s="77">
        <v>43857</v>
      </c>
      <c r="M1926" s="68"/>
      <c r="N1926" s="76" t="s">
        <v>990</v>
      </c>
      <c r="O1926" s="75"/>
      <c r="R1926" s="74"/>
    </row>
    <row r="1927" spans="2:18" ht="36" hidden="1" customHeight="1" x14ac:dyDescent="0.25">
      <c r="B1927" s="84">
        <v>1645</v>
      </c>
      <c r="C1927" s="83" t="s">
        <v>38</v>
      </c>
      <c r="D1927" s="82" t="s">
        <v>1090</v>
      </c>
      <c r="E1927" s="81">
        <v>43854</v>
      </c>
      <c r="F1927" s="27">
        <f t="shared" ca="1" si="29"/>
        <v>619</v>
      </c>
      <c r="G1927" s="79"/>
      <c r="H1927" s="80"/>
      <c r="I1927" s="80"/>
      <c r="J1927" s="79"/>
      <c r="K1927" s="78"/>
      <c r="L1927" s="77">
        <v>43860</v>
      </c>
      <c r="M1927" s="68"/>
      <c r="N1927" s="76" t="s">
        <v>686</v>
      </c>
      <c r="O1927" s="75" t="s">
        <v>993</v>
      </c>
      <c r="R1927" s="74"/>
    </row>
    <row r="1928" spans="2:18" ht="36" hidden="1" customHeight="1" x14ac:dyDescent="0.25">
      <c r="B1928" s="84">
        <v>1645</v>
      </c>
      <c r="C1928" s="83" t="s">
        <v>31</v>
      </c>
      <c r="D1928" s="82" t="s">
        <v>1091</v>
      </c>
      <c r="E1928" s="81">
        <v>43854</v>
      </c>
      <c r="F1928" s="27">
        <f t="shared" ca="1" si="29"/>
        <v>619</v>
      </c>
      <c r="G1928" s="79"/>
      <c r="H1928" s="80"/>
      <c r="I1928" s="80"/>
      <c r="J1928" s="79"/>
      <c r="K1928" s="78"/>
      <c r="L1928" s="77">
        <v>43860</v>
      </c>
      <c r="M1928" s="68"/>
      <c r="N1928" s="76" t="s">
        <v>686</v>
      </c>
      <c r="O1928" s="75" t="s">
        <v>1092</v>
      </c>
      <c r="R1928" s="74"/>
    </row>
    <row r="1929" spans="2:18" ht="36" hidden="1" customHeight="1" x14ac:dyDescent="0.25">
      <c r="B1929" s="84">
        <v>1645</v>
      </c>
      <c r="C1929" s="83" t="s">
        <v>31</v>
      </c>
      <c r="D1929" s="82" t="s">
        <v>1093</v>
      </c>
      <c r="E1929" s="81">
        <v>43854</v>
      </c>
      <c r="F1929" s="27">
        <f t="shared" ca="1" si="29"/>
        <v>619</v>
      </c>
      <c r="G1929" s="79"/>
      <c r="H1929" s="80"/>
      <c r="I1929" s="80"/>
      <c r="J1929" s="79"/>
      <c r="K1929" s="78"/>
      <c r="L1929" s="77">
        <v>43860</v>
      </c>
      <c r="M1929" s="68"/>
      <c r="N1929" s="76" t="s">
        <v>686</v>
      </c>
      <c r="O1929" s="75" t="s">
        <v>1092</v>
      </c>
      <c r="R1929" s="74"/>
    </row>
    <row r="1930" spans="2:18" ht="36" hidden="1" customHeight="1" x14ac:dyDescent="0.25">
      <c r="B1930" s="84">
        <v>1645</v>
      </c>
      <c r="C1930" s="83" t="s">
        <v>12</v>
      </c>
      <c r="D1930" s="82" t="s">
        <v>1094</v>
      </c>
      <c r="E1930" s="81">
        <v>43854</v>
      </c>
      <c r="F1930" s="27">
        <f t="shared" ca="1" si="29"/>
        <v>619</v>
      </c>
      <c r="G1930" s="79"/>
      <c r="H1930" s="80"/>
      <c r="I1930" s="80"/>
      <c r="J1930" s="79"/>
      <c r="K1930" s="78"/>
      <c r="L1930" s="77">
        <v>43860</v>
      </c>
      <c r="M1930" s="68"/>
      <c r="N1930" s="76" t="s">
        <v>686</v>
      </c>
      <c r="O1930" s="75" t="s">
        <v>1095</v>
      </c>
      <c r="R1930" s="74"/>
    </row>
    <row r="1931" spans="2:18" ht="36" hidden="1" customHeight="1" x14ac:dyDescent="0.25">
      <c r="B1931" s="84">
        <v>1645</v>
      </c>
      <c r="C1931" s="83" t="s">
        <v>31</v>
      </c>
      <c r="D1931" s="82" t="s">
        <v>1096</v>
      </c>
      <c r="E1931" s="81">
        <v>43854</v>
      </c>
      <c r="F1931" s="27">
        <f t="shared" ca="1" si="29"/>
        <v>619</v>
      </c>
      <c r="G1931" s="79"/>
      <c r="H1931" s="80"/>
      <c r="I1931" s="80"/>
      <c r="J1931" s="79"/>
      <c r="K1931" s="78"/>
      <c r="L1931" s="77">
        <v>43860</v>
      </c>
      <c r="M1931" s="68"/>
      <c r="N1931" s="76" t="s">
        <v>686</v>
      </c>
      <c r="O1931" s="75" t="s">
        <v>1097</v>
      </c>
      <c r="R1931" s="74"/>
    </row>
    <row r="1932" spans="2:18" ht="36" hidden="1" customHeight="1" x14ac:dyDescent="0.25">
      <c r="B1932" s="84">
        <v>1645</v>
      </c>
      <c r="C1932" s="83" t="s">
        <v>11</v>
      </c>
      <c r="D1932" s="82" t="s">
        <v>1098</v>
      </c>
      <c r="E1932" s="81">
        <v>43854</v>
      </c>
      <c r="F1932" s="27">
        <f t="shared" ca="1" si="29"/>
        <v>619</v>
      </c>
      <c r="G1932" s="79"/>
      <c r="H1932" s="80"/>
      <c r="I1932" s="80"/>
      <c r="J1932" s="79"/>
      <c r="K1932" s="78"/>
      <c r="L1932" s="77">
        <v>43860</v>
      </c>
      <c r="M1932" s="68"/>
      <c r="N1932" s="76" t="s">
        <v>686</v>
      </c>
      <c r="O1932" s="75" t="s">
        <v>1099</v>
      </c>
      <c r="R1932" s="74"/>
    </row>
    <row r="1933" spans="2:18" ht="36" hidden="1" customHeight="1" x14ac:dyDescent="0.25">
      <c r="B1933" s="84">
        <v>1645</v>
      </c>
      <c r="C1933" s="83" t="s">
        <v>11</v>
      </c>
      <c r="D1933" s="82" t="s">
        <v>1100</v>
      </c>
      <c r="E1933" s="81">
        <v>43854</v>
      </c>
      <c r="F1933" s="27">
        <f t="shared" ca="1" si="29"/>
        <v>619</v>
      </c>
      <c r="G1933" s="79"/>
      <c r="H1933" s="80"/>
      <c r="I1933" s="80"/>
      <c r="J1933" s="79"/>
      <c r="K1933" s="78"/>
      <c r="L1933" s="77">
        <v>43860</v>
      </c>
      <c r="M1933" s="68"/>
      <c r="N1933" s="76" t="s">
        <v>686</v>
      </c>
      <c r="O1933" s="75" t="s">
        <v>1101</v>
      </c>
      <c r="R1933" s="74"/>
    </row>
    <row r="1934" spans="2:18" ht="36" hidden="1" customHeight="1" x14ac:dyDescent="0.25">
      <c r="B1934" s="84">
        <v>1645</v>
      </c>
      <c r="C1934" s="83" t="s">
        <v>11</v>
      </c>
      <c r="D1934" s="82" t="s">
        <v>1000</v>
      </c>
      <c r="E1934" s="81">
        <v>43854</v>
      </c>
      <c r="F1934" s="27">
        <f t="shared" ca="1" si="29"/>
        <v>619</v>
      </c>
      <c r="G1934" s="79"/>
      <c r="H1934" s="80"/>
      <c r="I1934" s="80"/>
      <c r="J1934" s="79"/>
      <c r="K1934" s="78"/>
      <c r="L1934" s="77">
        <v>43860</v>
      </c>
      <c r="M1934" s="68"/>
      <c r="N1934" s="76" t="s">
        <v>686</v>
      </c>
      <c r="O1934" s="75" t="s">
        <v>1102</v>
      </c>
      <c r="R1934" s="74"/>
    </row>
    <row r="1935" spans="2:18" ht="36" hidden="1" customHeight="1" x14ac:dyDescent="0.25">
      <c r="B1935" s="84">
        <v>1646</v>
      </c>
      <c r="C1935" s="83" t="s">
        <v>40</v>
      </c>
      <c r="D1935" s="82" t="s">
        <v>991</v>
      </c>
      <c r="E1935" s="81">
        <v>43840</v>
      </c>
      <c r="F1935" s="27">
        <f t="shared" ca="1" si="29"/>
        <v>633</v>
      </c>
      <c r="G1935" s="79"/>
      <c r="H1935" s="80"/>
      <c r="I1935" s="80"/>
      <c r="J1935" s="79"/>
      <c r="K1935" s="78"/>
      <c r="L1935" s="77">
        <v>43857</v>
      </c>
      <c r="M1935" s="68"/>
      <c r="N1935" s="76" t="s">
        <v>1176</v>
      </c>
      <c r="O1935" s="75"/>
      <c r="R1935" s="74"/>
    </row>
    <row r="1936" spans="2:18" ht="36" hidden="1" customHeight="1" x14ac:dyDescent="0.25">
      <c r="B1936" s="84">
        <v>1646</v>
      </c>
      <c r="C1936" s="83" t="s">
        <v>40</v>
      </c>
      <c r="D1936" s="82" t="s">
        <v>1177</v>
      </c>
      <c r="E1936" s="81">
        <v>43840</v>
      </c>
      <c r="F1936" s="27">
        <f t="shared" ref="F1936:F1996" ca="1" si="30">IF(E1936&lt;&gt;"",TODAY()-E1936,"")</f>
        <v>633</v>
      </c>
      <c r="G1936" s="79"/>
      <c r="H1936" s="80"/>
      <c r="I1936" s="80"/>
      <c r="J1936" s="79"/>
      <c r="K1936" s="78"/>
      <c r="L1936" s="77">
        <v>43857</v>
      </c>
      <c r="M1936" s="68"/>
      <c r="N1936" s="76" t="s">
        <v>1176</v>
      </c>
      <c r="O1936" s="75"/>
      <c r="R1936" s="74"/>
    </row>
    <row r="1937" spans="2:18" ht="36" hidden="1" customHeight="1" x14ac:dyDescent="0.25">
      <c r="B1937" s="84">
        <v>1646</v>
      </c>
      <c r="C1937" s="83" t="s">
        <v>23</v>
      </c>
      <c r="D1937" s="82" t="s">
        <v>1178</v>
      </c>
      <c r="E1937" s="81">
        <v>43851</v>
      </c>
      <c r="F1937" s="27">
        <f t="shared" ca="1" si="30"/>
        <v>622</v>
      </c>
      <c r="G1937" s="79"/>
      <c r="H1937" s="80"/>
      <c r="I1937" s="80"/>
      <c r="J1937" s="79"/>
      <c r="K1937" s="78"/>
      <c r="L1937" s="77">
        <v>43857</v>
      </c>
      <c r="M1937" s="68"/>
      <c r="N1937" s="76" t="s">
        <v>1176</v>
      </c>
      <c r="O1937" s="75" t="s">
        <v>1179</v>
      </c>
      <c r="R1937" s="74"/>
    </row>
    <row r="1938" spans="2:18" ht="36" hidden="1" customHeight="1" x14ac:dyDescent="0.25">
      <c r="B1938" s="84">
        <v>1646</v>
      </c>
      <c r="C1938" s="83" t="s">
        <v>37</v>
      </c>
      <c r="D1938" s="82" t="s">
        <v>1180</v>
      </c>
      <c r="E1938" s="81">
        <v>43858</v>
      </c>
      <c r="F1938" s="27">
        <f t="shared" ca="1" si="30"/>
        <v>615</v>
      </c>
      <c r="G1938" s="79"/>
      <c r="H1938" s="80"/>
      <c r="I1938" s="80"/>
      <c r="J1938" s="79"/>
      <c r="K1938" s="78"/>
      <c r="L1938" s="77">
        <v>43858</v>
      </c>
      <c r="M1938" s="68"/>
      <c r="N1938" s="76" t="s">
        <v>996</v>
      </c>
      <c r="O1938" s="75"/>
      <c r="R1938" s="74"/>
    </row>
    <row r="1939" spans="2:18" ht="36" hidden="1" customHeight="1" x14ac:dyDescent="0.25">
      <c r="B1939" s="84">
        <v>1646</v>
      </c>
      <c r="C1939" s="83" t="s">
        <v>19</v>
      </c>
      <c r="D1939" s="82" t="s">
        <v>1181</v>
      </c>
      <c r="E1939" s="81">
        <v>43879</v>
      </c>
      <c r="F1939" s="27">
        <f t="shared" ca="1" si="30"/>
        <v>594</v>
      </c>
      <c r="G1939" s="79"/>
      <c r="H1939" s="80"/>
      <c r="I1939" s="80"/>
      <c r="J1939" s="79"/>
      <c r="K1939" s="78"/>
      <c r="L1939" s="77">
        <v>43880</v>
      </c>
      <c r="M1939" s="68"/>
      <c r="N1939" s="76" t="s">
        <v>1182</v>
      </c>
      <c r="O1939" s="75" t="s">
        <v>1183</v>
      </c>
      <c r="R1939" s="74"/>
    </row>
    <row r="1940" spans="2:18" ht="36" hidden="1" customHeight="1" x14ac:dyDescent="0.25">
      <c r="B1940" s="84">
        <v>1647</v>
      </c>
      <c r="C1940" s="83" t="s">
        <v>37</v>
      </c>
      <c r="D1940" s="82" t="s">
        <v>1256</v>
      </c>
      <c r="E1940" s="81">
        <v>43493</v>
      </c>
      <c r="F1940" s="27">
        <f t="shared" ca="1" si="30"/>
        <v>980</v>
      </c>
      <c r="G1940" s="79"/>
      <c r="H1940" s="80"/>
      <c r="I1940" s="80"/>
      <c r="J1940" s="79"/>
      <c r="K1940" s="78"/>
      <c r="L1940" s="77">
        <v>43862</v>
      </c>
      <c r="M1940" s="68"/>
      <c r="N1940" s="76" t="s">
        <v>937</v>
      </c>
      <c r="O1940" s="75"/>
      <c r="R1940" s="74"/>
    </row>
    <row r="1941" spans="2:18" ht="36" hidden="1" customHeight="1" x14ac:dyDescent="0.25">
      <c r="B1941" s="84">
        <v>1647</v>
      </c>
      <c r="C1941" s="83" t="s">
        <v>40</v>
      </c>
      <c r="D1941" s="82" t="s">
        <v>1177</v>
      </c>
      <c r="E1941" s="81">
        <v>43840</v>
      </c>
      <c r="F1941" s="27">
        <f t="shared" ca="1" si="30"/>
        <v>633</v>
      </c>
      <c r="G1941" s="79"/>
      <c r="H1941" s="80"/>
      <c r="I1941" s="80"/>
      <c r="J1941" s="79"/>
      <c r="K1941" s="78"/>
      <c r="L1941" s="77">
        <v>43858</v>
      </c>
      <c r="M1941" s="68"/>
      <c r="N1941" s="76" t="s">
        <v>185</v>
      </c>
      <c r="O1941" s="75"/>
      <c r="R1941" s="74"/>
    </row>
    <row r="1942" spans="2:18" ht="36" hidden="1" customHeight="1" x14ac:dyDescent="0.25">
      <c r="B1942" s="84">
        <v>1647</v>
      </c>
      <c r="C1942" s="83" t="s">
        <v>17</v>
      </c>
      <c r="D1942" s="82" t="s">
        <v>711</v>
      </c>
      <c r="E1942" s="81">
        <v>43868</v>
      </c>
      <c r="F1942" s="27">
        <f t="shared" ca="1" si="30"/>
        <v>605</v>
      </c>
      <c r="G1942" s="79"/>
      <c r="H1942" s="80"/>
      <c r="I1942" s="80"/>
      <c r="J1942" s="79"/>
      <c r="K1942" s="78"/>
      <c r="L1942" s="77">
        <v>43886</v>
      </c>
      <c r="M1942" s="68"/>
      <c r="N1942" s="76" t="s">
        <v>686</v>
      </c>
      <c r="O1942" s="75" t="s">
        <v>1257</v>
      </c>
      <c r="R1942" s="74"/>
    </row>
    <row r="1943" spans="2:18" ht="36" hidden="1" customHeight="1" x14ac:dyDescent="0.25">
      <c r="B1943" s="84">
        <v>1647</v>
      </c>
      <c r="C1943" s="83" t="s">
        <v>12</v>
      </c>
      <c r="D1943" s="82" t="s">
        <v>1258</v>
      </c>
      <c r="E1943" s="81">
        <v>43868</v>
      </c>
      <c r="F1943" s="27">
        <f t="shared" ca="1" si="30"/>
        <v>605</v>
      </c>
      <c r="G1943" s="79"/>
      <c r="H1943" s="80"/>
      <c r="I1943" s="80"/>
      <c r="J1943" s="79"/>
      <c r="K1943" s="78"/>
      <c r="L1943" s="77">
        <v>43886</v>
      </c>
      <c r="M1943" s="68"/>
      <c r="N1943" s="76" t="s">
        <v>686</v>
      </c>
      <c r="O1943" s="75" t="s">
        <v>1259</v>
      </c>
      <c r="R1943" s="74"/>
    </row>
    <row r="1944" spans="2:18" ht="36" hidden="1" customHeight="1" x14ac:dyDescent="0.25">
      <c r="B1944" s="84">
        <v>1816</v>
      </c>
      <c r="C1944" s="83" t="s">
        <v>16</v>
      </c>
      <c r="D1944" s="82" t="s">
        <v>1438</v>
      </c>
      <c r="E1944" s="81">
        <v>43833</v>
      </c>
      <c r="F1944" s="27">
        <f t="shared" ca="1" si="30"/>
        <v>640</v>
      </c>
      <c r="G1944" s="79"/>
      <c r="H1944" s="80"/>
      <c r="I1944" s="80"/>
      <c r="J1944" s="79"/>
      <c r="K1944" s="78"/>
      <c r="L1944" s="77">
        <v>43836</v>
      </c>
      <c r="M1944" s="68"/>
      <c r="N1944" s="76" t="s">
        <v>185</v>
      </c>
      <c r="O1944" s="75" t="s">
        <v>1439</v>
      </c>
      <c r="R1944" s="74"/>
    </row>
    <row r="1945" spans="2:18" ht="36" hidden="1" customHeight="1" x14ac:dyDescent="0.25">
      <c r="B1945" s="84">
        <v>1816</v>
      </c>
      <c r="C1945" s="83" t="s">
        <v>31</v>
      </c>
      <c r="D1945" s="82" t="s">
        <v>1440</v>
      </c>
      <c r="E1945" s="81">
        <v>43840</v>
      </c>
      <c r="F1945" s="27">
        <f t="shared" ca="1" si="30"/>
        <v>633</v>
      </c>
      <c r="G1945" s="79"/>
      <c r="H1945" s="80"/>
      <c r="I1945" s="80"/>
      <c r="J1945" s="79"/>
      <c r="K1945" s="78"/>
      <c r="L1945" s="77">
        <v>43842</v>
      </c>
      <c r="M1945" s="68"/>
      <c r="N1945" s="76" t="s">
        <v>1441</v>
      </c>
      <c r="O1945" s="75" t="s">
        <v>476</v>
      </c>
      <c r="R1945" s="74"/>
    </row>
    <row r="1946" spans="2:18" ht="36" hidden="1" customHeight="1" x14ac:dyDescent="0.25">
      <c r="B1946" s="84">
        <v>1816</v>
      </c>
      <c r="C1946" s="83" t="s">
        <v>40</v>
      </c>
      <c r="D1946" s="82" t="s">
        <v>1442</v>
      </c>
      <c r="E1946" s="81">
        <v>43840</v>
      </c>
      <c r="F1946" s="27">
        <f t="shared" ca="1" si="30"/>
        <v>633</v>
      </c>
      <c r="G1946" s="79"/>
      <c r="H1946" s="80"/>
      <c r="I1946" s="80"/>
      <c r="J1946" s="79"/>
      <c r="K1946" s="78"/>
      <c r="L1946" s="77">
        <v>43842</v>
      </c>
      <c r="M1946" s="68"/>
      <c r="N1946" s="76" t="s">
        <v>1443</v>
      </c>
      <c r="O1946" s="75"/>
      <c r="R1946" s="74"/>
    </row>
    <row r="1947" spans="2:18" ht="36" hidden="1" customHeight="1" x14ac:dyDescent="0.25">
      <c r="B1947" s="84">
        <v>1816</v>
      </c>
      <c r="C1947" s="83" t="s">
        <v>22</v>
      </c>
      <c r="D1947" s="82" t="s">
        <v>1444</v>
      </c>
      <c r="E1947" s="81">
        <v>43840</v>
      </c>
      <c r="F1947" s="27">
        <f t="shared" ca="1" si="30"/>
        <v>633</v>
      </c>
      <c r="G1947" s="79"/>
      <c r="H1947" s="80"/>
      <c r="I1947" s="80"/>
      <c r="J1947" s="79"/>
      <c r="K1947" s="78"/>
      <c r="L1947" s="77">
        <v>43842</v>
      </c>
      <c r="M1947" s="68"/>
      <c r="N1947" s="76" t="s">
        <v>1441</v>
      </c>
      <c r="O1947" s="75" t="s">
        <v>1445</v>
      </c>
      <c r="R1947" s="74"/>
    </row>
    <row r="1948" spans="2:18" ht="36" hidden="1" customHeight="1" x14ac:dyDescent="0.25">
      <c r="B1948" s="84">
        <v>1816</v>
      </c>
      <c r="C1948" s="83" t="s">
        <v>17</v>
      </c>
      <c r="D1948" s="82" t="s">
        <v>1448</v>
      </c>
      <c r="E1948" s="81">
        <v>43843</v>
      </c>
      <c r="F1948" s="27">
        <f t="shared" ca="1" si="30"/>
        <v>630</v>
      </c>
      <c r="G1948" s="79"/>
      <c r="H1948" s="80"/>
      <c r="I1948" s="80"/>
      <c r="J1948" s="79"/>
      <c r="K1948" s="78"/>
      <c r="L1948" s="77">
        <v>43852</v>
      </c>
      <c r="M1948" s="68"/>
      <c r="N1948" s="76" t="s">
        <v>1447</v>
      </c>
      <c r="O1948" s="75" t="s">
        <v>1449</v>
      </c>
      <c r="R1948" s="74"/>
    </row>
    <row r="1949" spans="2:18" ht="36" hidden="1" customHeight="1" x14ac:dyDescent="0.25">
      <c r="B1949" s="84">
        <v>1816</v>
      </c>
      <c r="C1949" s="83" t="s">
        <v>17</v>
      </c>
      <c r="D1949" s="82" t="s">
        <v>1450</v>
      </c>
      <c r="E1949" s="81">
        <v>43843</v>
      </c>
      <c r="F1949" s="27">
        <f t="shared" ca="1" si="30"/>
        <v>630</v>
      </c>
      <c r="G1949" s="79"/>
      <c r="H1949" s="80"/>
      <c r="I1949" s="80"/>
      <c r="J1949" s="79"/>
      <c r="K1949" s="78"/>
      <c r="L1949" s="77">
        <v>43852</v>
      </c>
      <c r="M1949" s="68"/>
      <c r="N1949" s="76" t="s">
        <v>1447</v>
      </c>
      <c r="O1949" s="75" t="s">
        <v>1451</v>
      </c>
      <c r="R1949" s="74"/>
    </row>
    <row r="1950" spans="2:18" ht="36" hidden="1" customHeight="1" x14ac:dyDescent="0.25">
      <c r="B1950" s="84">
        <v>1816</v>
      </c>
      <c r="C1950" s="83" t="s">
        <v>22</v>
      </c>
      <c r="D1950" s="82" t="s">
        <v>1446</v>
      </c>
      <c r="E1950" s="81">
        <v>43852</v>
      </c>
      <c r="F1950" s="27">
        <f t="shared" ca="1" si="30"/>
        <v>621</v>
      </c>
      <c r="G1950" s="79"/>
      <c r="H1950" s="80"/>
      <c r="I1950" s="80"/>
      <c r="J1950" s="79"/>
      <c r="K1950" s="78"/>
      <c r="L1950" s="77">
        <v>43852</v>
      </c>
      <c r="M1950" s="68"/>
      <c r="N1950" s="76" t="s">
        <v>1447</v>
      </c>
      <c r="O1950" s="75" t="s">
        <v>1376</v>
      </c>
      <c r="R1950" s="74"/>
    </row>
    <row r="1951" spans="2:18" ht="36" hidden="1" customHeight="1" x14ac:dyDescent="0.25">
      <c r="B1951" s="84">
        <v>1816</v>
      </c>
      <c r="C1951" s="83" t="s">
        <v>20</v>
      </c>
      <c r="D1951" s="82" t="s">
        <v>1452</v>
      </c>
      <c r="E1951" s="81">
        <v>43881</v>
      </c>
      <c r="F1951" s="27">
        <f t="shared" ca="1" si="30"/>
        <v>592</v>
      </c>
      <c r="G1951" s="79"/>
      <c r="H1951" s="80"/>
      <c r="I1951" s="80"/>
      <c r="J1951" s="79"/>
      <c r="K1951" s="78"/>
      <c r="L1951" s="77">
        <v>43885</v>
      </c>
      <c r="M1951" s="68"/>
      <c r="N1951" s="76" t="s">
        <v>185</v>
      </c>
      <c r="O1951" s="75" t="s">
        <v>1453</v>
      </c>
      <c r="R1951" s="74"/>
    </row>
    <row r="1952" spans="2:18" ht="36" hidden="1" customHeight="1" x14ac:dyDescent="0.25">
      <c r="B1952" s="84">
        <v>1816</v>
      </c>
      <c r="C1952" s="83" t="s">
        <v>23</v>
      </c>
      <c r="D1952" s="82" t="s">
        <v>1454</v>
      </c>
      <c r="E1952" s="81">
        <v>43881</v>
      </c>
      <c r="F1952" s="27">
        <f t="shared" ca="1" si="30"/>
        <v>592</v>
      </c>
      <c r="G1952" s="79"/>
      <c r="H1952" s="80"/>
      <c r="I1952" s="80"/>
      <c r="J1952" s="79"/>
      <c r="K1952" s="78"/>
      <c r="L1952" s="77">
        <v>43887</v>
      </c>
      <c r="M1952" s="68"/>
      <c r="N1952" s="76" t="s">
        <v>185</v>
      </c>
      <c r="O1952" s="75" t="s">
        <v>55</v>
      </c>
      <c r="R1952" s="74"/>
    </row>
    <row r="1953" spans="2:18" ht="36" hidden="1" customHeight="1" x14ac:dyDescent="0.25">
      <c r="B1953" s="84">
        <v>1816</v>
      </c>
      <c r="C1953" s="83" t="s">
        <v>31</v>
      </c>
      <c r="D1953" s="82" t="s">
        <v>1631</v>
      </c>
      <c r="E1953" s="81">
        <v>43920</v>
      </c>
      <c r="F1953" s="27">
        <f t="shared" ca="1" si="30"/>
        <v>553</v>
      </c>
      <c r="G1953" s="79"/>
      <c r="H1953" s="80"/>
      <c r="I1953" s="80"/>
      <c r="J1953" s="79"/>
      <c r="K1953" s="78"/>
      <c r="L1953" s="77">
        <v>43922</v>
      </c>
      <c r="M1953" s="68"/>
      <c r="N1953" s="76" t="s">
        <v>185</v>
      </c>
      <c r="O1953" s="75" t="s">
        <v>1632</v>
      </c>
      <c r="R1953" s="74"/>
    </row>
    <row r="1954" spans="2:18" ht="36" hidden="1" customHeight="1" x14ac:dyDescent="0.25">
      <c r="B1954" s="84">
        <v>1816</v>
      </c>
      <c r="C1954" s="83" t="s">
        <v>35</v>
      </c>
      <c r="D1954" s="82" t="s">
        <v>1633</v>
      </c>
      <c r="E1954" s="81">
        <v>43922</v>
      </c>
      <c r="F1954" s="27">
        <f t="shared" ca="1" si="30"/>
        <v>551</v>
      </c>
      <c r="G1954" s="79"/>
      <c r="H1954" s="80"/>
      <c r="I1954" s="80"/>
      <c r="J1954" s="79"/>
      <c r="K1954" s="78"/>
      <c r="L1954" s="77">
        <v>43922</v>
      </c>
      <c r="M1954" s="68"/>
      <c r="N1954" s="76" t="s">
        <v>1634</v>
      </c>
      <c r="O1954" s="75" t="s">
        <v>1635</v>
      </c>
      <c r="R1954" s="74"/>
    </row>
    <row r="1955" spans="2:18" ht="36" hidden="1" customHeight="1" x14ac:dyDescent="0.25">
      <c r="B1955" s="84">
        <v>1816</v>
      </c>
      <c r="C1955" s="83" t="s">
        <v>37</v>
      </c>
      <c r="D1955" s="82" t="s">
        <v>1636</v>
      </c>
      <c r="E1955" s="81">
        <v>43923</v>
      </c>
      <c r="F1955" s="27">
        <f t="shared" ca="1" si="30"/>
        <v>550</v>
      </c>
      <c r="G1955" s="79"/>
      <c r="H1955" s="80"/>
      <c r="I1955" s="80"/>
      <c r="J1955" s="79"/>
      <c r="K1955" s="78"/>
      <c r="L1955" s="77">
        <v>43930</v>
      </c>
      <c r="M1955" s="68"/>
      <c r="N1955" s="76" t="s">
        <v>185</v>
      </c>
      <c r="O1955" s="75"/>
      <c r="R1955" s="74"/>
    </row>
    <row r="1956" spans="2:18" ht="36" hidden="1" customHeight="1" x14ac:dyDescent="0.25">
      <c r="B1956" s="84">
        <v>1816</v>
      </c>
      <c r="C1956" s="83" t="s">
        <v>40</v>
      </c>
      <c r="D1956" s="82" t="s">
        <v>1637</v>
      </c>
      <c r="E1956" s="81">
        <v>43930</v>
      </c>
      <c r="F1956" s="27">
        <f t="shared" ca="1" si="30"/>
        <v>543</v>
      </c>
      <c r="G1956" s="79"/>
      <c r="H1956" s="80"/>
      <c r="I1956" s="80"/>
      <c r="J1956" s="79"/>
      <c r="K1956" s="78"/>
      <c r="L1956" s="77">
        <v>43951</v>
      </c>
      <c r="M1956" s="68"/>
      <c r="N1956" s="76" t="s">
        <v>688</v>
      </c>
      <c r="O1956" s="75"/>
      <c r="R1956" s="74"/>
    </row>
    <row r="1957" spans="2:18" ht="36" hidden="1" customHeight="1" x14ac:dyDescent="0.25">
      <c r="B1957" s="84">
        <v>1830</v>
      </c>
      <c r="C1957" s="83" t="s">
        <v>17</v>
      </c>
      <c r="D1957" s="82" t="s">
        <v>1627</v>
      </c>
      <c r="E1957" s="81">
        <v>43840</v>
      </c>
      <c r="F1957" s="27">
        <f t="shared" ca="1" si="30"/>
        <v>633</v>
      </c>
      <c r="G1957" s="79"/>
      <c r="H1957" s="80"/>
      <c r="I1957" s="80"/>
      <c r="J1957" s="79"/>
      <c r="K1957" s="78"/>
      <c r="L1957" s="77">
        <v>43789</v>
      </c>
      <c r="M1957" s="68"/>
      <c r="N1957" s="76" t="s">
        <v>1074</v>
      </c>
      <c r="O1957" s="75" t="s">
        <v>4016</v>
      </c>
      <c r="R1957" s="74"/>
    </row>
    <row r="1958" spans="2:18" ht="36" hidden="1" customHeight="1" x14ac:dyDescent="0.25">
      <c r="B1958" s="84">
        <v>1830</v>
      </c>
      <c r="C1958" s="83" t="s">
        <v>16</v>
      </c>
      <c r="D1958" s="82" t="s">
        <v>4017</v>
      </c>
      <c r="E1958" s="81">
        <v>43840</v>
      </c>
      <c r="F1958" s="27">
        <f t="shared" ca="1" si="30"/>
        <v>633</v>
      </c>
      <c r="G1958" s="79"/>
      <c r="H1958" s="80"/>
      <c r="I1958" s="80"/>
      <c r="J1958" s="79"/>
      <c r="K1958" s="78"/>
      <c r="L1958" s="77">
        <v>43789</v>
      </c>
      <c r="M1958" s="68"/>
      <c r="N1958" s="76" t="s">
        <v>1074</v>
      </c>
      <c r="O1958" s="75" t="s">
        <v>4018</v>
      </c>
      <c r="R1958" s="74"/>
    </row>
    <row r="1959" spans="2:18" ht="36" hidden="1" customHeight="1" x14ac:dyDescent="0.25">
      <c r="B1959" s="84">
        <v>1830</v>
      </c>
      <c r="C1959" s="83" t="s">
        <v>60</v>
      </c>
      <c r="D1959" s="82" t="s">
        <v>4019</v>
      </c>
      <c r="E1959" s="81">
        <v>43840</v>
      </c>
      <c r="F1959" s="27">
        <f t="shared" ca="1" si="30"/>
        <v>633</v>
      </c>
      <c r="G1959" s="79"/>
      <c r="H1959" s="80"/>
      <c r="I1959" s="80"/>
      <c r="J1959" s="79"/>
      <c r="K1959" s="78"/>
      <c r="L1959" s="77">
        <v>43789</v>
      </c>
      <c r="M1959" s="68"/>
      <c r="N1959" s="76" t="s">
        <v>1074</v>
      </c>
      <c r="O1959" s="75" t="s">
        <v>4020</v>
      </c>
      <c r="R1959" s="74"/>
    </row>
    <row r="1960" spans="2:18" ht="36" hidden="1" customHeight="1" x14ac:dyDescent="0.25">
      <c r="B1960" s="84">
        <v>1830</v>
      </c>
      <c r="C1960" s="83" t="s">
        <v>60</v>
      </c>
      <c r="D1960" s="82" t="s">
        <v>4021</v>
      </c>
      <c r="E1960" s="81">
        <v>43840</v>
      </c>
      <c r="F1960" s="27">
        <f t="shared" ca="1" si="30"/>
        <v>633</v>
      </c>
      <c r="G1960" s="79"/>
      <c r="H1960" s="80"/>
      <c r="I1960" s="80"/>
      <c r="J1960" s="79"/>
      <c r="K1960" s="78"/>
      <c r="L1960" s="77">
        <v>43800</v>
      </c>
      <c r="M1960" s="68"/>
      <c r="N1960" s="76"/>
      <c r="O1960" s="75"/>
      <c r="R1960" s="74"/>
    </row>
    <row r="1961" spans="2:18" ht="36" hidden="1" customHeight="1" x14ac:dyDescent="0.25">
      <c r="B1961" s="84">
        <v>1816</v>
      </c>
      <c r="C1961" s="83" t="s">
        <v>23</v>
      </c>
      <c r="D1961" s="82" t="s">
        <v>1638</v>
      </c>
      <c r="E1961" s="81">
        <v>43935</v>
      </c>
      <c r="F1961" s="27">
        <f t="shared" ca="1" si="30"/>
        <v>538</v>
      </c>
      <c r="G1961" s="79"/>
      <c r="H1961" s="80"/>
      <c r="I1961" s="80"/>
      <c r="J1961" s="79"/>
      <c r="K1961" s="78"/>
      <c r="L1961" s="77">
        <v>43951</v>
      </c>
      <c r="M1961" s="68"/>
      <c r="N1961" s="76" t="s">
        <v>688</v>
      </c>
      <c r="O1961" s="75"/>
      <c r="R1961" s="74"/>
    </row>
    <row r="1962" spans="2:18" ht="36" hidden="1" customHeight="1" x14ac:dyDescent="0.25">
      <c r="B1962" s="84">
        <v>1816</v>
      </c>
      <c r="C1962" s="83" t="s">
        <v>19</v>
      </c>
      <c r="D1962" s="82" t="s">
        <v>967</v>
      </c>
      <c r="E1962" s="81">
        <v>43941</v>
      </c>
      <c r="F1962" s="27">
        <f t="shared" ca="1" si="30"/>
        <v>532</v>
      </c>
      <c r="G1962" s="79"/>
      <c r="H1962" s="80"/>
      <c r="I1962" s="80"/>
      <c r="J1962" s="79"/>
      <c r="K1962" s="78"/>
      <c r="L1962" s="77">
        <v>43951</v>
      </c>
      <c r="M1962" s="68"/>
      <c r="N1962" s="76" t="s">
        <v>688</v>
      </c>
      <c r="O1962" s="75"/>
      <c r="R1962" s="74"/>
    </row>
    <row r="1963" spans="2:18" ht="36" hidden="1" customHeight="1" x14ac:dyDescent="0.25">
      <c r="B1963" s="84">
        <v>1816</v>
      </c>
      <c r="C1963" s="83" t="s">
        <v>40</v>
      </c>
      <c r="D1963" s="82" t="s">
        <v>1639</v>
      </c>
      <c r="E1963" s="81">
        <v>43976</v>
      </c>
      <c r="F1963" s="27">
        <f t="shared" ca="1" si="30"/>
        <v>497</v>
      </c>
      <c r="G1963" s="79"/>
      <c r="H1963" s="80"/>
      <c r="I1963" s="80" t="s">
        <v>206</v>
      </c>
      <c r="J1963" s="79"/>
      <c r="K1963" s="78"/>
      <c r="L1963" s="77">
        <v>43976</v>
      </c>
      <c r="M1963" s="68"/>
      <c r="N1963" s="76"/>
      <c r="O1963" s="75" t="s">
        <v>1640</v>
      </c>
      <c r="R1963" s="74"/>
    </row>
    <row r="1964" spans="2:18" ht="36" hidden="1" customHeight="1" x14ac:dyDescent="0.25">
      <c r="B1964" s="84">
        <v>1816</v>
      </c>
      <c r="C1964" s="83" t="s">
        <v>40</v>
      </c>
      <c r="D1964" s="82" t="s">
        <v>1641</v>
      </c>
      <c r="E1964" s="81">
        <v>43987</v>
      </c>
      <c r="F1964" s="27">
        <f t="shared" ca="1" si="30"/>
        <v>486</v>
      </c>
      <c r="G1964" s="79"/>
      <c r="H1964" s="80"/>
      <c r="I1964" s="80"/>
      <c r="J1964" s="79"/>
      <c r="K1964" s="78"/>
      <c r="L1964" s="77">
        <v>43994</v>
      </c>
      <c r="M1964" s="68"/>
      <c r="N1964" s="76" t="s">
        <v>1642</v>
      </c>
      <c r="O1964" s="75"/>
      <c r="R1964" s="74"/>
    </row>
    <row r="1965" spans="2:18" ht="36" hidden="1" customHeight="1" x14ac:dyDescent="0.25">
      <c r="B1965" s="84">
        <v>1816</v>
      </c>
      <c r="C1965" s="83" t="s">
        <v>22</v>
      </c>
      <c r="D1965" s="82" t="s">
        <v>1643</v>
      </c>
      <c r="E1965" s="81">
        <v>43991</v>
      </c>
      <c r="F1965" s="27">
        <f t="shared" ca="1" si="30"/>
        <v>482</v>
      </c>
      <c r="G1965" s="79"/>
      <c r="H1965" s="80"/>
      <c r="I1965" s="80"/>
      <c r="J1965" s="79"/>
      <c r="K1965" s="78"/>
      <c r="L1965" s="77">
        <v>43994</v>
      </c>
      <c r="M1965" s="68"/>
      <c r="N1965" s="76" t="s">
        <v>1642</v>
      </c>
      <c r="O1965" s="75"/>
      <c r="R1965" s="74"/>
    </row>
    <row r="1966" spans="2:18" ht="36" hidden="1" customHeight="1" x14ac:dyDescent="0.25">
      <c r="B1966" s="84">
        <v>1816</v>
      </c>
      <c r="C1966" s="83" t="s">
        <v>23</v>
      </c>
      <c r="D1966" s="82" t="s">
        <v>1644</v>
      </c>
      <c r="E1966" s="81">
        <v>44005</v>
      </c>
      <c r="F1966" s="27">
        <f t="shared" ca="1" si="30"/>
        <v>468</v>
      </c>
      <c r="G1966" s="79"/>
      <c r="H1966" s="80"/>
      <c r="I1966" s="80"/>
      <c r="J1966" s="79"/>
      <c r="K1966" s="78"/>
      <c r="L1966" s="77">
        <v>44012</v>
      </c>
      <c r="M1966" s="68"/>
      <c r="N1966" s="76" t="s">
        <v>1645</v>
      </c>
      <c r="O1966" s="75"/>
      <c r="R1966" s="74"/>
    </row>
    <row r="1967" spans="2:18" ht="36" hidden="1" customHeight="1" x14ac:dyDescent="0.25">
      <c r="B1967" s="84">
        <v>1816</v>
      </c>
      <c r="C1967" s="83" t="s">
        <v>19</v>
      </c>
      <c r="D1967" s="82" t="s">
        <v>1646</v>
      </c>
      <c r="E1967" s="81">
        <v>44025</v>
      </c>
      <c r="F1967" s="27">
        <f t="shared" ca="1" si="30"/>
        <v>448</v>
      </c>
      <c r="G1967" s="79"/>
      <c r="H1967" s="80"/>
      <c r="I1967" s="80"/>
      <c r="J1967" s="79"/>
      <c r="K1967" s="78"/>
      <c r="L1967" s="77">
        <v>44027</v>
      </c>
      <c r="M1967" s="68"/>
      <c r="N1967" s="76" t="s">
        <v>1647</v>
      </c>
      <c r="O1967" s="75" t="s">
        <v>1648</v>
      </c>
      <c r="R1967" s="74"/>
    </row>
    <row r="1968" spans="2:18" ht="36" hidden="1" customHeight="1" x14ac:dyDescent="0.25">
      <c r="B1968" s="84">
        <v>1816</v>
      </c>
      <c r="C1968" s="83" t="s">
        <v>4434</v>
      </c>
      <c r="D1968" s="82" t="s">
        <v>4473</v>
      </c>
      <c r="E1968" s="81">
        <v>44068</v>
      </c>
      <c r="F1968" s="27">
        <f t="shared" ca="1" si="30"/>
        <v>405</v>
      </c>
      <c r="G1968" s="79"/>
      <c r="H1968" s="80"/>
      <c r="I1968" s="80"/>
      <c r="J1968" s="79"/>
      <c r="K1968" s="78"/>
      <c r="L1968" s="77">
        <v>44074</v>
      </c>
      <c r="M1968" s="68" t="s">
        <v>4443</v>
      </c>
      <c r="N1968" s="76"/>
      <c r="O1968" s="75"/>
      <c r="R1968" s="74"/>
    </row>
    <row r="1969" spans="2:18" ht="36" hidden="1" customHeight="1" x14ac:dyDescent="0.25">
      <c r="B1969" s="84">
        <v>1817</v>
      </c>
      <c r="C1969" s="83" t="s">
        <v>19</v>
      </c>
      <c r="D1969" s="82" t="s">
        <v>1807</v>
      </c>
      <c r="E1969" s="81">
        <v>43829</v>
      </c>
      <c r="F1969" s="27">
        <f t="shared" ca="1" si="30"/>
        <v>644</v>
      </c>
      <c r="G1969" s="79"/>
      <c r="H1969" s="80"/>
      <c r="I1969" s="80"/>
      <c r="J1969" s="79"/>
      <c r="K1969" s="78"/>
      <c r="L1969" s="77">
        <v>43843</v>
      </c>
      <c r="M1969" s="68"/>
      <c r="N1969" s="76" t="s">
        <v>1808</v>
      </c>
      <c r="O1969" s="75" t="s">
        <v>1809</v>
      </c>
      <c r="R1969" s="74"/>
    </row>
    <row r="1970" spans="2:18" ht="36" hidden="1" customHeight="1" x14ac:dyDescent="0.25">
      <c r="B1970" s="84">
        <v>1817</v>
      </c>
      <c r="C1970" s="83" t="s">
        <v>1082</v>
      </c>
      <c r="D1970" s="82" t="s">
        <v>1649</v>
      </c>
      <c r="E1970" s="81">
        <v>43836</v>
      </c>
      <c r="F1970" s="27">
        <f t="shared" ca="1" si="30"/>
        <v>637</v>
      </c>
      <c r="G1970" s="79"/>
      <c r="H1970" s="80"/>
      <c r="I1970" s="80"/>
      <c r="J1970" s="79"/>
      <c r="K1970" s="78"/>
      <c r="L1970" s="77">
        <v>43843</v>
      </c>
      <c r="M1970" s="68"/>
      <c r="N1970" s="76" t="s">
        <v>686</v>
      </c>
      <c r="O1970" s="75" t="s">
        <v>1650</v>
      </c>
      <c r="R1970" s="74"/>
    </row>
    <row r="1971" spans="2:18" ht="36" hidden="1" customHeight="1" x14ac:dyDescent="0.25">
      <c r="B1971" s="84">
        <v>1817</v>
      </c>
      <c r="C1971" s="83" t="s">
        <v>23</v>
      </c>
      <c r="D1971" s="82" t="s">
        <v>347</v>
      </c>
      <c r="E1971" s="81">
        <v>43837</v>
      </c>
      <c r="F1971" s="27">
        <f t="shared" ca="1" si="30"/>
        <v>636</v>
      </c>
      <c r="G1971" s="79"/>
      <c r="H1971" s="80"/>
      <c r="I1971" s="80"/>
      <c r="J1971" s="79"/>
      <c r="K1971" s="78"/>
      <c r="L1971" s="77">
        <v>43843</v>
      </c>
      <c r="M1971" s="68"/>
      <c r="N1971" s="76" t="s">
        <v>686</v>
      </c>
      <c r="O1971" s="75" t="s">
        <v>1653</v>
      </c>
      <c r="R1971" s="74"/>
    </row>
    <row r="1972" spans="2:18" ht="36" hidden="1" customHeight="1" x14ac:dyDescent="0.25">
      <c r="B1972" s="84">
        <v>1817</v>
      </c>
      <c r="C1972" s="83" t="s">
        <v>40</v>
      </c>
      <c r="D1972" s="82" t="s">
        <v>1651</v>
      </c>
      <c r="E1972" s="81">
        <v>43840</v>
      </c>
      <c r="F1972" s="27">
        <f t="shared" ca="1" si="30"/>
        <v>633</v>
      </c>
      <c r="G1972" s="79"/>
      <c r="H1972" s="80"/>
      <c r="I1972" s="80"/>
      <c r="J1972" s="79"/>
      <c r="K1972" s="78"/>
      <c r="L1972" s="77">
        <v>43843</v>
      </c>
      <c r="M1972" s="68"/>
      <c r="N1972" s="76" t="s">
        <v>686</v>
      </c>
      <c r="O1972" s="75" t="s">
        <v>1652</v>
      </c>
      <c r="R1972" s="74"/>
    </row>
    <row r="1973" spans="2:18" ht="36" hidden="1" customHeight="1" x14ac:dyDescent="0.25">
      <c r="B1973" s="84">
        <v>1817</v>
      </c>
      <c r="C1973" s="83" t="s">
        <v>16</v>
      </c>
      <c r="D1973" s="82" t="s">
        <v>1811</v>
      </c>
      <c r="E1973" s="81">
        <v>43840</v>
      </c>
      <c r="F1973" s="27">
        <f t="shared" ca="1" si="30"/>
        <v>633</v>
      </c>
      <c r="G1973" s="79"/>
      <c r="H1973" s="80"/>
      <c r="I1973" s="80"/>
      <c r="J1973" s="79"/>
      <c r="K1973" s="78"/>
      <c r="L1973" s="77">
        <v>43866</v>
      </c>
      <c r="M1973" s="68"/>
      <c r="N1973" s="76" t="s">
        <v>1812</v>
      </c>
      <c r="O1973" s="75" t="s">
        <v>1615</v>
      </c>
      <c r="R1973" s="74"/>
    </row>
    <row r="1974" spans="2:18" ht="36" hidden="1" customHeight="1" x14ac:dyDescent="0.25">
      <c r="B1974" s="84">
        <v>1817</v>
      </c>
      <c r="C1974" s="83" t="s">
        <v>19</v>
      </c>
      <c r="D1974" s="82" t="s">
        <v>1810</v>
      </c>
      <c r="E1974" s="81">
        <v>43844</v>
      </c>
      <c r="F1974" s="27">
        <f t="shared" ca="1" si="30"/>
        <v>629</v>
      </c>
      <c r="G1974" s="79"/>
      <c r="H1974" s="80"/>
      <c r="I1974" s="80"/>
      <c r="J1974" s="79"/>
      <c r="K1974" s="78"/>
      <c r="L1974" s="77">
        <v>43857</v>
      </c>
      <c r="M1974" s="68"/>
      <c r="N1974" s="76" t="s">
        <v>185</v>
      </c>
      <c r="O1974" s="75"/>
      <c r="R1974" s="74"/>
    </row>
    <row r="1975" spans="2:18" ht="36" hidden="1" customHeight="1" x14ac:dyDescent="0.25">
      <c r="B1975" s="84">
        <v>1817</v>
      </c>
      <c r="C1975" s="83" t="s">
        <v>19</v>
      </c>
      <c r="D1975" s="82" t="s">
        <v>1813</v>
      </c>
      <c r="E1975" s="81">
        <v>43844</v>
      </c>
      <c r="F1975" s="27">
        <f t="shared" ca="1" si="30"/>
        <v>629</v>
      </c>
      <c r="G1975" s="79"/>
      <c r="H1975" s="80"/>
      <c r="I1975" s="80"/>
      <c r="J1975" s="79"/>
      <c r="K1975" s="78"/>
      <c r="L1975" s="77">
        <v>43866</v>
      </c>
      <c r="M1975" s="68"/>
      <c r="N1975" s="76" t="s">
        <v>1812</v>
      </c>
      <c r="O1975" s="75" t="s">
        <v>1814</v>
      </c>
      <c r="R1975" s="74"/>
    </row>
    <row r="1976" spans="2:18" ht="36" hidden="1" customHeight="1" x14ac:dyDescent="0.25">
      <c r="B1976" s="84">
        <v>1817</v>
      </c>
      <c r="C1976" s="83" t="s">
        <v>23</v>
      </c>
      <c r="D1976" s="82" t="s">
        <v>1815</v>
      </c>
      <c r="E1976" s="81">
        <v>43865</v>
      </c>
      <c r="F1976" s="27">
        <f t="shared" ca="1" si="30"/>
        <v>608</v>
      </c>
      <c r="G1976" s="79"/>
      <c r="H1976" s="80"/>
      <c r="I1976" s="80"/>
      <c r="J1976" s="79"/>
      <c r="K1976" s="78"/>
      <c r="L1976" s="77">
        <v>43866</v>
      </c>
      <c r="M1976" s="68"/>
      <c r="N1976" s="76" t="s">
        <v>1812</v>
      </c>
      <c r="O1976" s="75" t="s">
        <v>55</v>
      </c>
      <c r="R1976" s="74"/>
    </row>
    <row r="1977" spans="2:18" ht="36" hidden="1" customHeight="1" x14ac:dyDescent="0.25">
      <c r="B1977" s="84">
        <v>1817</v>
      </c>
      <c r="C1977" s="83" t="s">
        <v>23</v>
      </c>
      <c r="D1977" s="82" t="s">
        <v>1816</v>
      </c>
      <c r="E1977" s="81">
        <v>43865</v>
      </c>
      <c r="F1977" s="27">
        <f t="shared" ca="1" si="30"/>
        <v>608</v>
      </c>
      <c r="G1977" s="79"/>
      <c r="H1977" s="80"/>
      <c r="I1977" s="80"/>
      <c r="J1977" s="79"/>
      <c r="K1977" s="78"/>
      <c r="L1977" s="77">
        <v>43866</v>
      </c>
      <c r="M1977" s="68"/>
      <c r="N1977" s="76" t="s">
        <v>1812</v>
      </c>
      <c r="O1977" s="75" t="s">
        <v>55</v>
      </c>
      <c r="R1977" s="74"/>
    </row>
    <row r="1978" spans="2:18" ht="36" hidden="1" customHeight="1" x14ac:dyDescent="0.25">
      <c r="B1978" s="84">
        <v>1817</v>
      </c>
      <c r="C1978" s="83" t="s">
        <v>19</v>
      </c>
      <c r="D1978" s="82" t="s">
        <v>1821</v>
      </c>
      <c r="E1978" s="81">
        <v>43868</v>
      </c>
      <c r="F1978" s="27">
        <f t="shared" ca="1" si="30"/>
        <v>605</v>
      </c>
      <c r="G1978" s="79"/>
      <c r="H1978" s="80"/>
      <c r="I1978" s="80"/>
      <c r="J1978" s="79"/>
      <c r="K1978" s="78"/>
      <c r="L1978" s="77">
        <v>43887</v>
      </c>
      <c r="M1978" s="68"/>
      <c r="N1978" s="76" t="s">
        <v>185</v>
      </c>
      <c r="O1978" s="75" t="s">
        <v>1822</v>
      </c>
      <c r="R1978" s="74"/>
    </row>
    <row r="1979" spans="2:18" ht="36" hidden="1" customHeight="1" x14ac:dyDescent="0.25">
      <c r="B1979" s="84">
        <v>1817</v>
      </c>
      <c r="C1979" s="83" t="s">
        <v>23</v>
      </c>
      <c r="D1979" s="82" t="s">
        <v>1823</v>
      </c>
      <c r="E1979" s="81">
        <v>43874</v>
      </c>
      <c r="F1979" s="27">
        <f t="shared" ca="1" si="30"/>
        <v>599</v>
      </c>
      <c r="G1979" s="79"/>
      <c r="H1979" s="80"/>
      <c r="I1979" s="80"/>
      <c r="J1979" s="79"/>
      <c r="K1979" s="78"/>
      <c r="L1979" s="77">
        <v>43887</v>
      </c>
      <c r="M1979" s="68"/>
      <c r="N1979" s="76"/>
      <c r="O1979" s="75"/>
      <c r="R1979" s="74"/>
    </row>
    <row r="1980" spans="2:18" ht="36" hidden="1" customHeight="1" x14ac:dyDescent="0.25">
      <c r="B1980" s="84">
        <v>1817</v>
      </c>
      <c r="C1980" s="83" t="s">
        <v>10</v>
      </c>
      <c r="D1980" s="82" t="s">
        <v>1817</v>
      </c>
      <c r="E1980" s="81">
        <v>43879</v>
      </c>
      <c r="F1980" s="27">
        <f t="shared" ca="1" si="30"/>
        <v>594</v>
      </c>
      <c r="G1980" s="79"/>
      <c r="H1980" s="80"/>
      <c r="I1980" s="80"/>
      <c r="J1980" s="79"/>
      <c r="K1980" s="78"/>
      <c r="L1980" s="77">
        <v>43879</v>
      </c>
      <c r="M1980" s="68"/>
      <c r="N1980" s="76" t="s">
        <v>937</v>
      </c>
      <c r="O1980" s="75" t="s">
        <v>1818</v>
      </c>
      <c r="R1980" s="74"/>
    </row>
    <row r="1981" spans="2:18" ht="36" hidden="1" customHeight="1" x14ac:dyDescent="0.25">
      <c r="B1981" s="84">
        <v>1817</v>
      </c>
      <c r="C1981" s="83" t="s">
        <v>20</v>
      </c>
      <c r="D1981" s="82" t="s">
        <v>1819</v>
      </c>
      <c r="E1981" s="81">
        <v>43885</v>
      </c>
      <c r="F1981" s="27">
        <f t="shared" ca="1" si="30"/>
        <v>588</v>
      </c>
      <c r="G1981" s="79"/>
      <c r="H1981" s="80"/>
      <c r="I1981" s="80"/>
      <c r="J1981" s="79"/>
      <c r="K1981" s="78"/>
      <c r="L1981" s="77">
        <v>43886</v>
      </c>
      <c r="M1981" s="68"/>
      <c r="N1981" s="76"/>
      <c r="O1981" s="75" t="s">
        <v>1820</v>
      </c>
      <c r="R1981" s="74"/>
    </row>
    <row r="1982" spans="2:18" ht="36" hidden="1" customHeight="1" x14ac:dyDescent="0.25">
      <c r="B1982" s="84">
        <v>1817</v>
      </c>
      <c r="C1982" s="83" t="s">
        <v>23</v>
      </c>
      <c r="D1982" s="82" t="s">
        <v>346</v>
      </c>
      <c r="E1982" s="81">
        <v>43896</v>
      </c>
      <c r="F1982" s="27">
        <f t="shared" ca="1" si="30"/>
        <v>577</v>
      </c>
      <c r="G1982" s="79"/>
      <c r="H1982" s="80"/>
      <c r="I1982" s="80"/>
      <c r="J1982" s="79"/>
      <c r="K1982" s="78"/>
      <c r="L1982" s="77">
        <v>43896</v>
      </c>
      <c r="M1982" s="68"/>
      <c r="N1982" s="76" t="s">
        <v>703</v>
      </c>
      <c r="O1982" s="75" t="s">
        <v>55</v>
      </c>
      <c r="R1982" s="74"/>
    </row>
    <row r="1983" spans="2:18" ht="36" hidden="1" customHeight="1" x14ac:dyDescent="0.25">
      <c r="B1983" s="84">
        <v>1817</v>
      </c>
      <c r="C1983" s="83" t="s">
        <v>23</v>
      </c>
      <c r="D1983" s="82" t="s">
        <v>458</v>
      </c>
      <c r="E1983" s="81">
        <v>43934</v>
      </c>
      <c r="F1983" s="27">
        <f t="shared" ca="1" si="30"/>
        <v>539</v>
      </c>
      <c r="G1983" s="79"/>
      <c r="H1983" s="80"/>
      <c r="I1983" s="80"/>
      <c r="J1983" s="79"/>
      <c r="K1983" s="78"/>
      <c r="L1983" s="77">
        <v>43931</v>
      </c>
      <c r="M1983" s="68"/>
      <c r="N1983" s="76" t="s">
        <v>185</v>
      </c>
      <c r="O1983" s="75" t="s">
        <v>55</v>
      </c>
      <c r="R1983" s="74"/>
    </row>
    <row r="1984" spans="2:18" ht="36" hidden="1" customHeight="1" x14ac:dyDescent="0.25">
      <c r="B1984" s="84">
        <v>1817</v>
      </c>
      <c r="C1984" s="83" t="s">
        <v>19</v>
      </c>
      <c r="D1984" s="82" t="s">
        <v>2033</v>
      </c>
      <c r="E1984" s="81">
        <v>43938</v>
      </c>
      <c r="F1984" s="27">
        <f t="shared" ca="1" si="30"/>
        <v>535</v>
      </c>
      <c r="G1984" s="79"/>
      <c r="H1984" s="80"/>
      <c r="I1984" s="80"/>
      <c r="J1984" s="79"/>
      <c r="K1984" s="78"/>
      <c r="L1984" s="77">
        <v>43938</v>
      </c>
      <c r="M1984" s="68"/>
      <c r="N1984" s="76" t="s">
        <v>2034</v>
      </c>
      <c r="O1984" s="75" t="s">
        <v>2035</v>
      </c>
      <c r="R1984" s="74"/>
    </row>
    <row r="1985" spans="2:18" ht="36" hidden="1" customHeight="1" x14ac:dyDescent="0.25">
      <c r="B1985" s="84">
        <v>1817</v>
      </c>
      <c r="C1985" s="83" t="s">
        <v>23</v>
      </c>
      <c r="D1985" s="82" t="s">
        <v>458</v>
      </c>
      <c r="E1985" s="81">
        <v>43973</v>
      </c>
      <c r="F1985" s="27">
        <f t="shared" ca="1" si="30"/>
        <v>500</v>
      </c>
      <c r="G1985" s="79"/>
      <c r="H1985" s="80"/>
      <c r="I1985" s="80" t="s">
        <v>206</v>
      </c>
      <c r="J1985" s="79"/>
      <c r="K1985" s="78"/>
      <c r="L1985" s="77">
        <v>43978</v>
      </c>
      <c r="M1985" s="68"/>
      <c r="N1985" s="76" t="s">
        <v>1645</v>
      </c>
      <c r="O1985" s="75" t="s">
        <v>2036</v>
      </c>
      <c r="R1985" s="74"/>
    </row>
    <row r="1986" spans="2:18" ht="36" hidden="1" customHeight="1" x14ac:dyDescent="0.25">
      <c r="B1986" s="84">
        <v>1817</v>
      </c>
      <c r="C1986" s="83" t="s">
        <v>23</v>
      </c>
      <c r="D1986" s="82" t="s">
        <v>2037</v>
      </c>
      <c r="E1986" s="81">
        <v>44000</v>
      </c>
      <c r="F1986" s="27">
        <f t="shared" ca="1" si="30"/>
        <v>473</v>
      </c>
      <c r="G1986" s="79"/>
      <c r="H1986" s="80"/>
      <c r="I1986" s="80"/>
      <c r="J1986" s="79"/>
      <c r="K1986" s="78"/>
      <c r="L1986" s="77">
        <v>44000</v>
      </c>
      <c r="M1986" s="68"/>
      <c r="N1986" s="76"/>
      <c r="O1986" s="75"/>
      <c r="R1986" s="74"/>
    </row>
    <row r="1987" spans="2:18" ht="36" hidden="1" customHeight="1" x14ac:dyDescent="0.25">
      <c r="B1987" s="84">
        <v>1817</v>
      </c>
      <c r="C1987" s="83" t="s">
        <v>19</v>
      </c>
      <c r="D1987" s="82" t="s">
        <v>2038</v>
      </c>
      <c r="E1987" s="81">
        <v>44015</v>
      </c>
      <c r="F1987" s="27">
        <f t="shared" ca="1" si="30"/>
        <v>458</v>
      </c>
      <c r="G1987" s="79"/>
      <c r="H1987" s="80"/>
      <c r="I1987" s="80"/>
      <c r="J1987" s="79"/>
      <c r="K1987" s="78"/>
      <c r="L1987" s="77">
        <v>44021</v>
      </c>
      <c r="M1987" s="68"/>
      <c r="N1987" s="76" t="s">
        <v>686</v>
      </c>
      <c r="O1987" s="75" t="s">
        <v>2039</v>
      </c>
      <c r="R1987" s="74"/>
    </row>
    <row r="1988" spans="2:18" ht="36" hidden="1" customHeight="1" x14ac:dyDescent="0.25">
      <c r="B1988" s="84">
        <v>1817</v>
      </c>
      <c r="C1988" s="83" t="s">
        <v>35</v>
      </c>
      <c r="D1988" s="82" t="s">
        <v>2040</v>
      </c>
      <c r="E1988" s="81">
        <v>44050</v>
      </c>
      <c r="F1988" s="27">
        <f t="shared" ca="1" si="30"/>
        <v>423</v>
      </c>
      <c r="G1988" s="79"/>
      <c r="H1988" s="80"/>
      <c r="I1988" s="80"/>
      <c r="J1988" s="79"/>
      <c r="K1988" s="78"/>
      <c r="L1988" s="77">
        <v>44056</v>
      </c>
      <c r="M1988" s="68"/>
      <c r="N1988" s="76" t="s">
        <v>2041</v>
      </c>
      <c r="O1988" s="75" t="s">
        <v>2042</v>
      </c>
      <c r="R1988" s="74"/>
    </row>
    <row r="1989" spans="2:18" ht="36" hidden="1" customHeight="1" x14ac:dyDescent="0.25">
      <c r="B1989" s="84">
        <v>1817</v>
      </c>
      <c r="C1989" s="83" t="s">
        <v>19</v>
      </c>
      <c r="D1989" s="82" t="s">
        <v>2043</v>
      </c>
      <c r="E1989" s="81">
        <v>44050</v>
      </c>
      <c r="F1989" s="27">
        <f t="shared" ca="1" si="30"/>
        <v>423</v>
      </c>
      <c r="G1989" s="79"/>
      <c r="H1989" s="80"/>
      <c r="I1989" s="80"/>
      <c r="J1989" s="79"/>
      <c r="K1989" s="78"/>
      <c r="L1989" s="77">
        <v>44056</v>
      </c>
      <c r="M1989" s="68"/>
      <c r="N1989" s="76" t="s">
        <v>2041</v>
      </c>
      <c r="O1989" s="75" t="s">
        <v>2044</v>
      </c>
      <c r="R1989" s="74"/>
    </row>
    <row r="1990" spans="2:18" ht="36" hidden="1" customHeight="1" x14ac:dyDescent="0.25">
      <c r="B1990" s="84">
        <v>1817</v>
      </c>
      <c r="C1990" s="83" t="s">
        <v>39</v>
      </c>
      <c r="D1990" s="82" t="s">
        <v>2045</v>
      </c>
      <c r="E1990" s="81">
        <v>44050</v>
      </c>
      <c r="F1990" s="27">
        <f t="shared" ca="1" si="30"/>
        <v>423</v>
      </c>
      <c r="G1990" s="79"/>
      <c r="H1990" s="80"/>
      <c r="I1990" s="80"/>
      <c r="J1990" s="79"/>
      <c r="K1990" s="78"/>
      <c r="L1990" s="77">
        <v>44056</v>
      </c>
      <c r="M1990" s="68"/>
      <c r="N1990" s="76" t="s">
        <v>2041</v>
      </c>
      <c r="O1990" s="75" t="s">
        <v>2046</v>
      </c>
      <c r="R1990" s="74"/>
    </row>
    <row r="1991" spans="2:18" ht="36" hidden="1" customHeight="1" x14ac:dyDescent="0.25">
      <c r="B1991" s="84">
        <v>1817</v>
      </c>
      <c r="C1991" s="83" t="s">
        <v>16</v>
      </c>
      <c r="D1991" s="82" t="s">
        <v>2047</v>
      </c>
      <c r="E1991" s="81">
        <v>44050</v>
      </c>
      <c r="F1991" s="27">
        <f t="shared" ca="1" si="30"/>
        <v>423</v>
      </c>
      <c r="G1991" s="79"/>
      <c r="H1991" s="80"/>
      <c r="I1991" s="80"/>
      <c r="J1991" s="79"/>
      <c r="K1991" s="78"/>
      <c r="L1991" s="77">
        <v>44056</v>
      </c>
      <c r="M1991" s="68"/>
      <c r="N1991" s="76" t="s">
        <v>2041</v>
      </c>
      <c r="O1991" s="75" t="s">
        <v>2048</v>
      </c>
      <c r="R1991" s="74"/>
    </row>
    <row r="1992" spans="2:18" ht="36" hidden="1" customHeight="1" x14ac:dyDescent="0.25">
      <c r="B1992" s="84">
        <v>1817</v>
      </c>
      <c r="C1992" s="83" t="s">
        <v>37</v>
      </c>
      <c r="D1992" s="82" t="s">
        <v>2049</v>
      </c>
      <c r="E1992" s="81">
        <v>44056</v>
      </c>
      <c r="F1992" s="27">
        <f t="shared" ca="1" si="30"/>
        <v>417</v>
      </c>
      <c r="G1992" s="79"/>
      <c r="H1992" s="80"/>
      <c r="I1992" s="80"/>
      <c r="J1992" s="79"/>
      <c r="K1992" s="78"/>
      <c r="L1992" s="77">
        <v>44060</v>
      </c>
      <c r="M1992" s="68"/>
      <c r="N1992" s="76" t="s">
        <v>686</v>
      </c>
      <c r="O1992" s="75" t="s">
        <v>2050</v>
      </c>
      <c r="R1992" s="74"/>
    </row>
    <row r="1993" spans="2:18" ht="36" hidden="1" customHeight="1" x14ac:dyDescent="0.25">
      <c r="B1993" s="84">
        <v>1817</v>
      </c>
      <c r="C1993" s="83" t="s">
        <v>4434</v>
      </c>
      <c r="D1993" s="82" t="s">
        <v>4471</v>
      </c>
      <c r="E1993" s="81">
        <v>44068</v>
      </c>
      <c r="F1993" s="27">
        <f t="shared" ca="1" si="30"/>
        <v>405</v>
      </c>
      <c r="G1993" s="79"/>
      <c r="H1993" s="80"/>
      <c r="I1993" s="80"/>
      <c r="J1993" s="79"/>
      <c r="K1993" s="78"/>
      <c r="L1993" s="77">
        <v>44077</v>
      </c>
      <c r="M1993" s="68" t="s">
        <v>4443</v>
      </c>
      <c r="N1993" s="76" t="s">
        <v>4507</v>
      </c>
      <c r="O1993" s="75"/>
      <c r="R1993" s="74"/>
    </row>
    <row r="1994" spans="2:18" ht="36" hidden="1" customHeight="1" x14ac:dyDescent="0.25">
      <c r="B1994" s="84">
        <v>1817</v>
      </c>
      <c r="C1994" s="83" t="s">
        <v>4434</v>
      </c>
      <c r="D1994" s="82" t="s">
        <v>4472</v>
      </c>
      <c r="E1994" s="81">
        <v>44068</v>
      </c>
      <c r="F1994" s="27">
        <f t="shared" ca="1" si="30"/>
        <v>405</v>
      </c>
      <c r="G1994" s="79"/>
      <c r="H1994" s="80"/>
      <c r="I1994" s="80"/>
      <c r="J1994" s="79"/>
      <c r="K1994" s="78"/>
      <c r="L1994" s="77">
        <v>44077</v>
      </c>
      <c r="M1994" s="68" t="s">
        <v>4443</v>
      </c>
      <c r="N1994" s="76" t="s">
        <v>4507</v>
      </c>
      <c r="O1994" s="75"/>
      <c r="R1994" s="74"/>
    </row>
    <row r="1995" spans="2:18" ht="36" hidden="1" customHeight="1" x14ac:dyDescent="0.25">
      <c r="B1995" s="84">
        <v>1817</v>
      </c>
      <c r="C1995" s="83" t="s">
        <v>31</v>
      </c>
      <c r="D1995" s="82" t="s">
        <v>4495</v>
      </c>
      <c r="E1995" s="81">
        <v>44071</v>
      </c>
      <c r="F1995" s="27">
        <f t="shared" ca="1" si="30"/>
        <v>402</v>
      </c>
      <c r="G1995" s="79"/>
      <c r="H1995" s="80"/>
      <c r="I1995" s="120" t="s">
        <v>206</v>
      </c>
      <c r="J1995" s="79"/>
      <c r="K1995" s="78"/>
      <c r="L1995" s="77">
        <v>44077</v>
      </c>
      <c r="M1995" s="68" t="s">
        <v>4443</v>
      </c>
      <c r="N1995" s="76" t="s">
        <v>4507</v>
      </c>
      <c r="O1995" s="75"/>
      <c r="R1995" s="74"/>
    </row>
    <row r="1996" spans="2:18" ht="36" hidden="1" customHeight="1" x14ac:dyDescent="0.25">
      <c r="B1996" s="84">
        <v>1817</v>
      </c>
      <c r="C1996" s="83" t="s">
        <v>30</v>
      </c>
      <c r="D1996" s="82" t="s">
        <v>4494</v>
      </c>
      <c r="E1996" s="81">
        <v>44071.651435185187</v>
      </c>
      <c r="F1996" s="27">
        <f t="shared" ca="1" si="30"/>
        <v>401.34856481481256</v>
      </c>
      <c r="G1996" s="79"/>
      <c r="H1996" s="80"/>
      <c r="I1996" s="120" t="s">
        <v>206</v>
      </c>
      <c r="J1996" s="79"/>
      <c r="K1996" s="78"/>
      <c r="L1996" s="77">
        <v>44077</v>
      </c>
      <c r="M1996" s="68" t="s">
        <v>4443</v>
      </c>
      <c r="N1996" s="76" t="s">
        <v>4507</v>
      </c>
      <c r="O1996" s="75"/>
      <c r="R1996" s="74"/>
    </row>
    <row r="1997" spans="2:18" ht="36" hidden="1" customHeight="1" x14ac:dyDescent="0.25">
      <c r="B1997" s="84">
        <v>1817</v>
      </c>
      <c r="C1997" s="83" t="s">
        <v>11</v>
      </c>
      <c r="D1997" s="82" t="s">
        <v>4497</v>
      </c>
      <c r="E1997" s="81">
        <v>44074.361886574072</v>
      </c>
      <c r="F1997" s="27"/>
      <c r="G1997" s="79"/>
      <c r="H1997" s="80"/>
      <c r="I1997" s="120" t="s">
        <v>206</v>
      </c>
      <c r="J1997" s="79"/>
      <c r="K1997" s="78"/>
      <c r="L1997" s="77">
        <v>44077</v>
      </c>
      <c r="M1997" s="68" t="s">
        <v>4443</v>
      </c>
      <c r="N1997" s="76" t="s">
        <v>4507</v>
      </c>
      <c r="O1997" s="119"/>
      <c r="R1997" s="74"/>
    </row>
    <row r="1998" spans="2:18" ht="36" hidden="1" customHeight="1" x14ac:dyDescent="0.25">
      <c r="B1998" s="84">
        <v>1818</v>
      </c>
      <c r="C1998" s="83" t="s">
        <v>38</v>
      </c>
      <c r="D1998" s="82" t="s">
        <v>2051</v>
      </c>
      <c r="E1998" s="81">
        <v>43833</v>
      </c>
      <c r="F1998" s="27">
        <f t="shared" ref="F1998:F2019" ca="1" si="31">IF(E1998&lt;&gt;"",TODAY()-E1998,"")</f>
        <v>640</v>
      </c>
      <c r="G1998" s="79"/>
      <c r="H1998" s="80"/>
      <c r="I1998" s="80"/>
      <c r="J1998" s="79"/>
      <c r="K1998" s="78"/>
      <c r="L1998" s="77">
        <v>43836</v>
      </c>
      <c r="M1998" s="68"/>
      <c r="N1998" s="76" t="s">
        <v>686</v>
      </c>
      <c r="O1998" s="75" t="s">
        <v>2052</v>
      </c>
      <c r="R1998" s="74"/>
    </row>
    <row r="1999" spans="2:18" ht="36" hidden="1" customHeight="1" x14ac:dyDescent="0.25">
      <c r="B1999" s="84">
        <v>1818</v>
      </c>
      <c r="C1999" s="83" t="s">
        <v>19</v>
      </c>
      <c r="D1999" s="82" t="s">
        <v>967</v>
      </c>
      <c r="E1999" s="81">
        <v>43833</v>
      </c>
      <c r="F1999" s="27">
        <f t="shared" ca="1" si="31"/>
        <v>640</v>
      </c>
      <c r="G1999" s="79"/>
      <c r="H1999" s="80"/>
      <c r="I1999" s="80"/>
      <c r="J1999" s="79"/>
      <c r="K1999" s="78"/>
      <c r="L1999" s="77">
        <v>43836</v>
      </c>
      <c r="M1999" s="68"/>
      <c r="N1999" s="76" t="s">
        <v>686</v>
      </c>
      <c r="O1999" s="75" t="s">
        <v>2053</v>
      </c>
      <c r="R1999" s="74"/>
    </row>
    <row r="2000" spans="2:18" ht="36" hidden="1" customHeight="1" x14ac:dyDescent="0.25">
      <c r="B2000" s="84">
        <v>1818</v>
      </c>
      <c r="C2000" s="83" t="s">
        <v>12</v>
      </c>
      <c r="D2000" s="82" t="s">
        <v>2193</v>
      </c>
      <c r="E2000" s="81">
        <v>43840</v>
      </c>
      <c r="F2000" s="27">
        <f t="shared" ca="1" si="31"/>
        <v>633</v>
      </c>
      <c r="G2000" s="79"/>
      <c r="H2000" s="80"/>
      <c r="I2000" s="80"/>
      <c r="J2000" s="79"/>
      <c r="K2000" s="78"/>
      <c r="L2000" s="77">
        <v>43842</v>
      </c>
      <c r="M2000" s="68"/>
      <c r="N2000" s="76"/>
      <c r="O2000" s="75" t="s">
        <v>2194</v>
      </c>
      <c r="R2000" s="74"/>
    </row>
    <row r="2001" spans="2:18" ht="36" hidden="1" customHeight="1" x14ac:dyDescent="0.25">
      <c r="B2001" s="84">
        <v>1818</v>
      </c>
      <c r="C2001" s="83" t="s">
        <v>40</v>
      </c>
      <c r="D2001" s="82" t="s">
        <v>2215</v>
      </c>
      <c r="E2001" s="81">
        <v>43840</v>
      </c>
      <c r="F2001" s="27">
        <f t="shared" ca="1" si="31"/>
        <v>633</v>
      </c>
      <c r="G2001" s="79"/>
      <c r="H2001" s="80"/>
      <c r="I2001" s="80"/>
      <c r="J2001" s="79"/>
      <c r="K2001" s="78"/>
      <c r="L2001" s="77">
        <v>43943</v>
      </c>
      <c r="M2001" s="68"/>
      <c r="N2001" s="76" t="s">
        <v>686</v>
      </c>
      <c r="O2001" s="75" t="s">
        <v>2216</v>
      </c>
      <c r="R2001" s="74"/>
    </row>
    <row r="2002" spans="2:18" ht="36" hidden="1" customHeight="1" x14ac:dyDescent="0.25">
      <c r="B2002" s="84">
        <v>1818</v>
      </c>
      <c r="C2002" s="83" t="s">
        <v>40</v>
      </c>
      <c r="D2002" s="82" t="s">
        <v>2195</v>
      </c>
      <c r="E2002" s="81">
        <v>43844</v>
      </c>
      <c r="F2002" s="27">
        <f t="shared" ca="1" si="31"/>
        <v>629</v>
      </c>
      <c r="G2002" s="79"/>
      <c r="H2002" s="80"/>
      <c r="I2002" s="80"/>
      <c r="J2002" s="79"/>
      <c r="K2002" s="78"/>
      <c r="L2002" s="77">
        <v>43851</v>
      </c>
      <c r="M2002" s="68"/>
      <c r="N2002" s="76" t="s">
        <v>686</v>
      </c>
      <c r="O2002" s="75" t="s">
        <v>2196</v>
      </c>
      <c r="R2002" s="74"/>
    </row>
    <row r="2003" spans="2:18" ht="36" hidden="1" customHeight="1" x14ac:dyDescent="0.25">
      <c r="B2003" s="84">
        <v>1818</v>
      </c>
      <c r="C2003" s="83" t="s">
        <v>23</v>
      </c>
      <c r="D2003" s="82" t="s">
        <v>2197</v>
      </c>
      <c r="E2003" s="81">
        <v>43844</v>
      </c>
      <c r="F2003" s="27">
        <f t="shared" ca="1" si="31"/>
        <v>629</v>
      </c>
      <c r="G2003" s="79"/>
      <c r="H2003" s="80"/>
      <c r="I2003" s="80"/>
      <c r="J2003" s="79"/>
      <c r="K2003" s="78"/>
      <c r="L2003" s="77">
        <v>43851</v>
      </c>
      <c r="M2003" s="68"/>
      <c r="N2003" s="76" t="s">
        <v>686</v>
      </c>
      <c r="O2003" s="75" t="s">
        <v>2198</v>
      </c>
      <c r="R2003" s="74"/>
    </row>
    <row r="2004" spans="2:18" ht="36" hidden="1" customHeight="1" x14ac:dyDescent="0.25">
      <c r="B2004" s="84">
        <v>1818</v>
      </c>
      <c r="C2004" s="83" t="s">
        <v>12</v>
      </c>
      <c r="D2004" s="82" t="s">
        <v>2199</v>
      </c>
      <c r="E2004" s="81">
        <v>43847</v>
      </c>
      <c r="F2004" s="27">
        <f t="shared" ca="1" si="31"/>
        <v>626</v>
      </c>
      <c r="G2004" s="79"/>
      <c r="H2004" s="80"/>
      <c r="I2004" s="80"/>
      <c r="J2004" s="79"/>
      <c r="K2004" s="78"/>
      <c r="L2004" s="77">
        <v>43851</v>
      </c>
      <c r="M2004" s="68"/>
      <c r="N2004" s="76" t="s">
        <v>686</v>
      </c>
      <c r="O2004" s="75" t="s">
        <v>2200</v>
      </c>
      <c r="R2004" s="74"/>
    </row>
    <row r="2005" spans="2:18" ht="36" hidden="1" customHeight="1" x14ac:dyDescent="0.25">
      <c r="B2005" s="84">
        <v>1818</v>
      </c>
      <c r="C2005" s="83" t="s">
        <v>10</v>
      </c>
      <c r="D2005" s="82" t="s">
        <v>2201</v>
      </c>
      <c r="E2005" s="81">
        <v>43847</v>
      </c>
      <c r="F2005" s="27">
        <f t="shared" ca="1" si="31"/>
        <v>626</v>
      </c>
      <c r="G2005" s="79"/>
      <c r="H2005" s="80"/>
      <c r="I2005" s="80"/>
      <c r="J2005" s="79"/>
      <c r="K2005" s="78"/>
      <c r="L2005" s="77">
        <v>43851</v>
      </c>
      <c r="M2005" s="68"/>
      <c r="N2005" s="76" t="s">
        <v>686</v>
      </c>
      <c r="O2005" s="75" t="s">
        <v>1087</v>
      </c>
      <c r="R2005" s="74"/>
    </row>
    <row r="2006" spans="2:18" ht="36" hidden="1" customHeight="1" x14ac:dyDescent="0.25">
      <c r="B2006" s="84">
        <v>1818</v>
      </c>
      <c r="C2006" s="83" t="s">
        <v>23</v>
      </c>
      <c r="D2006" s="82" t="s">
        <v>2202</v>
      </c>
      <c r="E2006" s="81">
        <v>43887</v>
      </c>
      <c r="F2006" s="27">
        <f t="shared" ca="1" si="31"/>
        <v>586</v>
      </c>
      <c r="G2006" s="79"/>
      <c r="H2006" s="80"/>
      <c r="I2006" s="80"/>
      <c r="J2006" s="79"/>
      <c r="K2006" s="78"/>
      <c r="L2006" s="77">
        <v>43887</v>
      </c>
      <c r="M2006" s="68"/>
      <c r="N2006" s="76" t="s">
        <v>185</v>
      </c>
      <c r="O2006" s="75" t="s">
        <v>2203</v>
      </c>
      <c r="R2006" s="74"/>
    </row>
    <row r="2007" spans="2:18" ht="36" hidden="1" customHeight="1" x14ac:dyDescent="0.25">
      <c r="B2007" s="84">
        <v>1818</v>
      </c>
      <c r="C2007" s="83" t="s">
        <v>23</v>
      </c>
      <c r="D2007" s="82" t="s">
        <v>2204</v>
      </c>
      <c r="E2007" s="81">
        <v>43887</v>
      </c>
      <c r="F2007" s="27">
        <f t="shared" ca="1" si="31"/>
        <v>586</v>
      </c>
      <c r="G2007" s="79"/>
      <c r="H2007" s="80"/>
      <c r="I2007" s="80"/>
      <c r="J2007" s="79"/>
      <c r="K2007" s="78"/>
      <c r="L2007" s="77">
        <v>43887</v>
      </c>
      <c r="M2007" s="68"/>
      <c r="N2007" s="76" t="s">
        <v>185</v>
      </c>
      <c r="O2007" s="75" t="s">
        <v>55</v>
      </c>
      <c r="R2007" s="74"/>
    </row>
    <row r="2008" spans="2:18" ht="36" hidden="1" customHeight="1" x14ac:dyDescent="0.25">
      <c r="B2008" s="84">
        <v>1818</v>
      </c>
      <c r="C2008" s="83" t="s">
        <v>23</v>
      </c>
      <c r="D2008" s="82" t="s">
        <v>2205</v>
      </c>
      <c r="E2008" s="81">
        <v>43896</v>
      </c>
      <c r="F2008" s="27">
        <f t="shared" ca="1" si="31"/>
        <v>577</v>
      </c>
      <c r="G2008" s="79"/>
      <c r="H2008" s="80"/>
      <c r="I2008" s="80"/>
      <c r="J2008" s="79"/>
      <c r="K2008" s="78"/>
      <c r="L2008" s="77">
        <v>43896</v>
      </c>
      <c r="M2008" s="68"/>
      <c r="N2008" s="76" t="s">
        <v>703</v>
      </c>
      <c r="O2008" s="75" t="s">
        <v>2206</v>
      </c>
      <c r="R2008" s="74"/>
    </row>
    <row r="2009" spans="2:18" ht="36" hidden="1" customHeight="1" x14ac:dyDescent="0.25">
      <c r="B2009" s="84">
        <v>1818</v>
      </c>
      <c r="C2009" s="83" t="s">
        <v>38</v>
      </c>
      <c r="D2009" s="82" t="s">
        <v>2207</v>
      </c>
      <c r="E2009" s="81">
        <v>43906</v>
      </c>
      <c r="F2009" s="27">
        <f t="shared" ca="1" si="31"/>
        <v>567</v>
      </c>
      <c r="G2009" s="79"/>
      <c r="H2009" s="80"/>
      <c r="I2009" s="80"/>
      <c r="J2009" s="79"/>
      <c r="K2009" s="78"/>
      <c r="L2009" s="77">
        <v>43908</v>
      </c>
      <c r="M2009" s="68"/>
      <c r="N2009" s="76" t="s">
        <v>2208</v>
      </c>
      <c r="O2009" s="75"/>
      <c r="R2009" s="74"/>
    </row>
    <row r="2010" spans="2:18" ht="36" hidden="1" customHeight="1" x14ac:dyDescent="0.25">
      <c r="B2010" s="84">
        <v>1818</v>
      </c>
      <c r="C2010" s="83" t="s">
        <v>11</v>
      </c>
      <c r="D2010" s="82" t="s">
        <v>2217</v>
      </c>
      <c r="E2010" s="81">
        <v>43917</v>
      </c>
      <c r="F2010" s="27">
        <f t="shared" ca="1" si="31"/>
        <v>556</v>
      </c>
      <c r="G2010" s="79"/>
      <c r="H2010" s="80"/>
      <c r="I2010" s="80"/>
      <c r="J2010" s="79"/>
      <c r="K2010" s="78"/>
      <c r="L2010" s="77">
        <v>43943</v>
      </c>
      <c r="M2010" s="68"/>
      <c r="N2010" s="76" t="s">
        <v>686</v>
      </c>
      <c r="O2010" s="75" t="s">
        <v>2218</v>
      </c>
      <c r="R2010" s="74"/>
    </row>
    <row r="2011" spans="2:18" ht="36" hidden="1" customHeight="1" x14ac:dyDescent="0.25">
      <c r="B2011" s="84">
        <v>1818</v>
      </c>
      <c r="C2011" s="83" t="s">
        <v>20</v>
      </c>
      <c r="D2011" s="82" t="s">
        <v>2209</v>
      </c>
      <c r="E2011" s="81">
        <v>43922</v>
      </c>
      <c r="F2011" s="27">
        <f t="shared" ca="1" si="31"/>
        <v>551</v>
      </c>
      <c r="G2011" s="79"/>
      <c r="H2011" s="80"/>
      <c r="I2011" s="80"/>
      <c r="J2011" s="79"/>
      <c r="K2011" s="78"/>
      <c r="L2011" s="77">
        <v>43922</v>
      </c>
      <c r="M2011" s="68"/>
      <c r="N2011" s="76" t="s">
        <v>185</v>
      </c>
      <c r="O2011" s="75" t="s">
        <v>2210</v>
      </c>
      <c r="R2011" s="74"/>
    </row>
    <row r="2012" spans="2:18" ht="36" hidden="1" customHeight="1" x14ac:dyDescent="0.25">
      <c r="B2012" s="84">
        <v>1818</v>
      </c>
      <c r="C2012" s="83" t="s">
        <v>37</v>
      </c>
      <c r="D2012" s="82" t="s">
        <v>2211</v>
      </c>
      <c r="E2012" s="81">
        <v>43934</v>
      </c>
      <c r="F2012" s="27">
        <f t="shared" ca="1" si="31"/>
        <v>539</v>
      </c>
      <c r="G2012" s="79"/>
      <c r="H2012" s="80"/>
      <c r="I2012" s="80"/>
      <c r="J2012" s="79"/>
      <c r="K2012" s="78"/>
      <c r="L2012" s="77">
        <v>43935</v>
      </c>
      <c r="M2012" s="68"/>
      <c r="N2012" s="76" t="s">
        <v>1634</v>
      </c>
      <c r="O2012" s="75" t="s">
        <v>2212</v>
      </c>
      <c r="R2012" s="74"/>
    </row>
    <row r="2013" spans="2:18" ht="36" hidden="1" customHeight="1" x14ac:dyDescent="0.25">
      <c r="B2013" s="84">
        <v>1818</v>
      </c>
      <c r="C2013" s="83" t="s">
        <v>38</v>
      </c>
      <c r="D2013" s="82" t="s">
        <v>2219</v>
      </c>
      <c r="E2013" s="81">
        <v>43970</v>
      </c>
      <c r="F2013" s="27">
        <f t="shared" ca="1" si="31"/>
        <v>503</v>
      </c>
      <c r="G2013" s="79"/>
      <c r="H2013" s="80"/>
      <c r="I2013" s="80" t="s">
        <v>206</v>
      </c>
      <c r="J2013" s="79"/>
      <c r="K2013" s="78"/>
      <c r="L2013" s="77">
        <v>43978</v>
      </c>
      <c r="M2013" s="68"/>
      <c r="N2013" s="76" t="s">
        <v>2220</v>
      </c>
      <c r="O2013" s="75" t="s">
        <v>2221</v>
      </c>
      <c r="R2013" s="74"/>
    </row>
    <row r="2014" spans="2:18" ht="36" hidden="1" customHeight="1" x14ac:dyDescent="0.25">
      <c r="B2014" s="84">
        <v>1818</v>
      </c>
      <c r="C2014" s="83" t="s">
        <v>23</v>
      </c>
      <c r="D2014" s="82" t="s">
        <v>2224</v>
      </c>
      <c r="E2014" s="81">
        <v>44036</v>
      </c>
      <c r="F2014" s="27">
        <f t="shared" ca="1" si="31"/>
        <v>437</v>
      </c>
      <c r="G2014" s="79"/>
      <c r="H2014" s="80"/>
      <c r="I2014" s="80"/>
      <c r="J2014" s="79"/>
      <c r="K2014" s="78"/>
      <c r="L2014" s="77">
        <v>44036</v>
      </c>
      <c r="M2014" s="68"/>
      <c r="N2014" s="76" t="s">
        <v>185</v>
      </c>
      <c r="O2014" s="75" t="s">
        <v>2225</v>
      </c>
      <c r="R2014" s="74"/>
    </row>
    <row r="2015" spans="2:18" ht="36" hidden="1" customHeight="1" x14ac:dyDescent="0.25">
      <c r="B2015" s="84">
        <v>1818</v>
      </c>
      <c r="C2015" s="83" t="s">
        <v>38</v>
      </c>
      <c r="D2015" s="82" t="s">
        <v>2226</v>
      </c>
      <c r="E2015" s="81">
        <v>44057</v>
      </c>
      <c r="F2015" s="27">
        <f t="shared" ca="1" si="31"/>
        <v>416</v>
      </c>
      <c r="G2015" s="79"/>
      <c r="H2015" s="80"/>
      <c r="I2015" s="80"/>
      <c r="J2015" s="79"/>
      <c r="K2015" s="78"/>
      <c r="L2015" s="77">
        <v>44060</v>
      </c>
      <c r="M2015" s="68"/>
      <c r="N2015" s="76" t="s">
        <v>2227</v>
      </c>
      <c r="O2015" s="75" t="s">
        <v>2228</v>
      </c>
      <c r="R2015" s="74"/>
    </row>
    <row r="2016" spans="2:18" ht="36" hidden="1" customHeight="1" x14ac:dyDescent="0.25">
      <c r="B2016" s="84">
        <v>1818</v>
      </c>
      <c r="C2016" s="83" t="s">
        <v>38</v>
      </c>
      <c r="D2016" s="82" t="s">
        <v>2229</v>
      </c>
      <c r="E2016" s="81">
        <v>44057</v>
      </c>
      <c r="F2016" s="27">
        <f t="shared" ca="1" si="31"/>
        <v>416</v>
      </c>
      <c r="G2016" s="79"/>
      <c r="H2016" s="80"/>
      <c r="I2016" s="80"/>
      <c r="J2016" s="79"/>
      <c r="K2016" s="78"/>
      <c r="L2016" s="77">
        <v>44060</v>
      </c>
      <c r="M2016" s="68"/>
      <c r="N2016" s="76" t="s">
        <v>2227</v>
      </c>
      <c r="O2016" s="75" t="s">
        <v>2148</v>
      </c>
      <c r="R2016" s="74"/>
    </row>
    <row r="2017" spans="2:18" ht="36" hidden="1" customHeight="1" x14ac:dyDescent="0.25">
      <c r="B2017" s="84">
        <v>1818</v>
      </c>
      <c r="C2017" s="83" t="s">
        <v>4434</v>
      </c>
      <c r="D2017" s="82" t="s">
        <v>4471</v>
      </c>
      <c r="E2017" s="81">
        <v>44068</v>
      </c>
      <c r="F2017" s="27">
        <f t="shared" ca="1" si="31"/>
        <v>405</v>
      </c>
      <c r="G2017" s="79"/>
      <c r="H2017" s="80"/>
      <c r="I2017" s="80"/>
      <c r="J2017" s="79"/>
      <c r="K2017" s="78"/>
      <c r="L2017" s="77">
        <v>44077</v>
      </c>
      <c r="M2017" s="68" t="s">
        <v>4443</v>
      </c>
      <c r="N2017" s="76" t="s">
        <v>4507</v>
      </c>
      <c r="O2017" s="75"/>
      <c r="R2017" s="74"/>
    </row>
    <row r="2018" spans="2:18" ht="36" hidden="1" customHeight="1" x14ac:dyDescent="0.25">
      <c r="B2018" s="84">
        <v>1818</v>
      </c>
      <c r="C2018" s="83" t="s">
        <v>38</v>
      </c>
      <c r="D2018" s="82" t="s">
        <v>4488</v>
      </c>
      <c r="E2018" s="81">
        <v>44070.665914351855</v>
      </c>
      <c r="F2018" s="27">
        <f t="shared" ca="1" si="31"/>
        <v>402.33408564814454</v>
      </c>
      <c r="G2018" s="79"/>
      <c r="H2018" s="80"/>
      <c r="I2018" s="120" t="s">
        <v>206</v>
      </c>
      <c r="J2018" s="79"/>
      <c r="K2018" s="78"/>
      <c r="L2018" s="77">
        <v>44077</v>
      </c>
      <c r="M2018" s="68" t="s">
        <v>4443</v>
      </c>
      <c r="N2018" s="76" t="s">
        <v>4507</v>
      </c>
      <c r="O2018" s="75"/>
      <c r="R2018" s="74"/>
    </row>
    <row r="2019" spans="2:18" ht="36" hidden="1" customHeight="1" x14ac:dyDescent="0.25">
      <c r="B2019" s="84">
        <v>1818</v>
      </c>
      <c r="C2019" s="83" t="s">
        <v>40</v>
      </c>
      <c r="D2019" s="82" t="s">
        <v>4489</v>
      </c>
      <c r="E2019" s="81">
        <v>44071.358969907407</v>
      </c>
      <c r="F2019" s="27">
        <f t="shared" ca="1" si="31"/>
        <v>401.6410300925927</v>
      </c>
      <c r="G2019" s="79"/>
      <c r="H2019" s="80"/>
      <c r="I2019" s="120" t="s">
        <v>206</v>
      </c>
      <c r="J2019" s="79"/>
      <c r="K2019" s="78"/>
      <c r="L2019" s="77">
        <v>44077</v>
      </c>
      <c r="M2019" s="68" t="s">
        <v>4443</v>
      </c>
      <c r="N2019" s="76" t="s">
        <v>4507</v>
      </c>
      <c r="O2019" s="75"/>
      <c r="R2019" s="74"/>
    </row>
    <row r="2020" spans="2:18" ht="36" hidden="1" customHeight="1" x14ac:dyDescent="0.25">
      <c r="B2020" s="84">
        <v>1818</v>
      </c>
      <c r="C2020" s="83" t="s">
        <v>37</v>
      </c>
      <c r="D2020" s="82" t="s">
        <v>4521</v>
      </c>
      <c r="E2020" s="81">
        <v>44077</v>
      </c>
      <c r="F2020" s="27"/>
      <c r="G2020" s="79"/>
      <c r="H2020" s="80"/>
      <c r="I2020" s="120" t="s">
        <v>206</v>
      </c>
      <c r="J2020" s="79"/>
      <c r="K2020" s="78"/>
      <c r="L2020" s="77">
        <v>44077</v>
      </c>
      <c r="M2020" s="68" t="s">
        <v>4443</v>
      </c>
      <c r="N2020" s="76" t="s">
        <v>4507</v>
      </c>
      <c r="O2020" s="119"/>
      <c r="R2020" s="74"/>
    </row>
    <row r="2021" spans="2:18" ht="36" hidden="1" customHeight="1" x14ac:dyDescent="0.25">
      <c r="B2021" s="84">
        <v>1818</v>
      </c>
      <c r="C2021" s="83" t="s">
        <v>37</v>
      </c>
      <c r="D2021" s="82" t="s">
        <v>2213</v>
      </c>
      <c r="E2021" s="81"/>
      <c r="F2021" s="27" t="str">
        <f ca="1">IF(E2021&lt;&gt;"",TODAY()-E2021,"")</f>
        <v/>
      </c>
      <c r="G2021" s="79"/>
      <c r="H2021" s="80"/>
      <c r="I2021" s="80"/>
      <c r="J2021" s="79"/>
      <c r="K2021" s="78"/>
      <c r="L2021" s="77">
        <v>43935</v>
      </c>
      <c r="M2021" s="68"/>
      <c r="N2021" s="68"/>
      <c r="O2021" s="111" t="s">
        <v>2214</v>
      </c>
      <c r="R2021" s="74"/>
    </row>
    <row r="2022" spans="2:18" ht="36" hidden="1" customHeight="1" x14ac:dyDescent="0.25">
      <c r="B2022" s="84">
        <v>1818</v>
      </c>
      <c r="C2022" s="83" t="s">
        <v>27</v>
      </c>
      <c r="D2022" s="82" t="s">
        <v>2222</v>
      </c>
      <c r="E2022" s="81"/>
      <c r="F2022" s="27" t="str">
        <f ca="1">IF(E2022&lt;&gt;"",TODAY()-E2022,"")</f>
        <v/>
      </c>
      <c r="G2022" s="79"/>
      <c r="H2022" s="80"/>
      <c r="I2022" s="80"/>
      <c r="J2022" s="79"/>
      <c r="K2022" s="78"/>
      <c r="L2022" s="77">
        <v>44035</v>
      </c>
      <c r="M2022" s="68"/>
      <c r="N2022" s="68" t="s">
        <v>185</v>
      </c>
      <c r="O2022" s="111" t="s">
        <v>2223</v>
      </c>
      <c r="R2022" s="74"/>
    </row>
    <row r="2023" spans="2:18" ht="36" hidden="1" customHeight="1" x14ac:dyDescent="0.25">
      <c r="B2023" s="84">
        <v>1818</v>
      </c>
      <c r="C2023" s="83" t="s">
        <v>17</v>
      </c>
      <c r="D2023" s="82" t="s">
        <v>4549</v>
      </c>
      <c r="E2023" s="81">
        <v>44084.814432870371</v>
      </c>
      <c r="F2023" s="27"/>
      <c r="G2023" s="79"/>
      <c r="H2023" s="80"/>
      <c r="I2023" s="120" t="s">
        <v>206</v>
      </c>
      <c r="J2023" s="79"/>
      <c r="K2023" s="78"/>
      <c r="L2023" s="77">
        <v>44088</v>
      </c>
      <c r="M2023" s="68"/>
      <c r="N2023" s="75" t="s">
        <v>185</v>
      </c>
      <c r="O2023" s="119" t="s">
        <v>4573</v>
      </c>
      <c r="R2023" s="74"/>
    </row>
    <row r="2024" spans="2:18" ht="36" hidden="1" customHeight="1" x14ac:dyDescent="0.25">
      <c r="B2024" s="84">
        <v>1819</v>
      </c>
      <c r="C2024" s="83" t="s">
        <v>19</v>
      </c>
      <c r="D2024" s="82" t="s">
        <v>1339</v>
      </c>
      <c r="E2024" s="81">
        <v>43832</v>
      </c>
      <c r="F2024" s="27">
        <f t="shared" ref="F2024:F2055" ca="1" si="32">IF(E2024&lt;&gt;"",TODAY()-E2024,"")</f>
        <v>641</v>
      </c>
      <c r="G2024" s="79"/>
      <c r="H2024" s="80"/>
      <c r="I2024" s="80"/>
      <c r="J2024" s="79"/>
      <c r="K2024" s="78"/>
      <c r="L2024" s="77">
        <v>43832</v>
      </c>
      <c r="M2024" s="68"/>
      <c r="N2024" s="76"/>
      <c r="O2024" s="75" t="s">
        <v>2230</v>
      </c>
      <c r="R2024" s="74"/>
    </row>
    <row r="2025" spans="2:18" ht="36" hidden="1" customHeight="1" x14ac:dyDescent="0.25">
      <c r="B2025" s="84">
        <v>1819</v>
      </c>
      <c r="C2025" s="83" t="s">
        <v>27</v>
      </c>
      <c r="D2025" s="82" t="s">
        <v>2231</v>
      </c>
      <c r="E2025" s="81">
        <v>43839</v>
      </c>
      <c r="F2025" s="27">
        <f t="shared" ca="1" si="32"/>
        <v>634</v>
      </c>
      <c r="G2025" s="79"/>
      <c r="H2025" s="80"/>
      <c r="I2025" s="80"/>
      <c r="J2025" s="79"/>
      <c r="K2025" s="78"/>
      <c r="L2025" s="77">
        <v>43845</v>
      </c>
      <c r="M2025" s="68"/>
      <c r="N2025" s="76" t="s">
        <v>185</v>
      </c>
      <c r="O2025" s="75" t="s">
        <v>2232</v>
      </c>
      <c r="R2025" s="74"/>
    </row>
    <row r="2026" spans="2:18" ht="36" hidden="1" customHeight="1" x14ac:dyDescent="0.25">
      <c r="B2026" s="84">
        <v>1819</v>
      </c>
      <c r="C2026" s="83" t="s">
        <v>19</v>
      </c>
      <c r="D2026" s="82" t="s">
        <v>2233</v>
      </c>
      <c r="E2026" s="81">
        <v>43840</v>
      </c>
      <c r="F2026" s="27">
        <f t="shared" ca="1" si="32"/>
        <v>633</v>
      </c>
      <c r="G2026" s="79"/>
      <c r="H2026" s="80"/>
      <c r="I2026" s="80"/>
      <c r="J2026" s="79"/>
      <c r="K2026" s="78"/>
      <c r="L2026" s="77">
        <v>43845</v>
      </c>
      <c r="M2026" s="68"/>
      <c r="N2026" s="76" t="s">
        <v>185</v>
      </c>
      <c r="O2026" s="75" t="s">
        <v>2234</v>
      </c>
      <c r="R2026" s="74"/>
    </row>
    <row r="2027" spans="2:18" ht="36" hidden="1" customHeight="1" x14ac:dyDescent="0.25">
      <c r="B2027" s="84">
        <v>1819</v>
      </c>
      <c r="C2027" s="83" t="s">
        <v>40</v>
      </c>
      <c r="D2027" s="82" t="s">
        <v>2236</v>
      </c>
      <c r="E2027" s="81">
        <v>43840</v>
      </c>
      <c r="F2027" s="27">
        <f t="shared" ca="1" si="32"/>
        <v>633</v>
      </c>
      <c r="G2027" s="79"/>
      <c r="H2027" s="80"/>
      <c r="I2027" s="80"/>
      <c r="J2027" s="79"/>
      <c r="K2027" s="78"/>
      <c r="L2027" s="77">
        <v>43858</v>
      </c>
      <c r="M2027" s="68"/>
      <c r="N2027" s="76" t="s">
        <v>2237</v>
      </c>
      <c r="O2027" s="75"/>
      <c r="R2027" s="74"/>
    </row>
    <row r="2028" spans="2:18" ht="36" hidden="1" customHeight="1" x14ac:dyDescent="0.25">
      <c r="B2028" s="84">
        <v>1819</v>
      </c>
      <c r="C2028" s="83" t="s">
        <v>19</v>
      </c>
      <c r="D2028" s="82" t="s">
        <v>2235</v>
      </c>
      <c r="E2028" s="81">
        <v>43843</v>
      </c>
      <c r="F2028" s="27">
        <f t="shared" ca="1" si="32"/>
        <v>630</v>
      </c>
      <c r="G2028" s="79"/>
      <c r="H2028" s="80"/>
      <c r="I2028" s="80"/>
      <c r="J2028" s="79"/>
      <c r="K2028" s="78"/>
      <c r="L2028" s="77">
        <v>43845</v>
      </c>
      <c r="M2028" s="68"/>
      <c r="N2028" s="76" t="s">
        <v>703</v>
      </c>
      <c r="O2028" s="75" t="s">
        <v>2234</v>
      </c>
      <c r="R2028" s="74"/>
    </row>
    <row r="2029" spans="2:18" ht="36" hidden="1" customHeight="1" x14ac:dyDescent="0.25">
      <c r="B2029" s="84">
        <v>1819</v>
      </c>
      <c r="C2029" s="83" t="s">
        <v>23</v>
      </c>
      <c r="D2029" s="82" t="s">
        <v>2238</v>
      </c>
      <c r="E2029" s="81">
        <v>43857</v>
      </c>
      <c r="F2029" s="27">
        <f t="shared" ca="1" si="32"/>
        <v>616</v>
      </c>
      <c r="G2029" s="79"/>
      <c r="H2029" s="80"/>
      <c r="I2029" s="80"/>
      <c r="J2029" s="79"/>
      <c r="K2029" s="78"/>
      <c r="L2029" s="77">
        <v>43858</v>
      </c>
      <c r="M2029" s="68"/>
      <c r="N2029" s="76" t="s">
        <v>2237</v>
      </c>
      <c r="O2029" s="75" t="s">
        <v>2239</v>
      </c>
      <c r="R2029" s="74"/>
    </row>
    <row r="2030" spans="2:18" ht="36" hidden="1" customHeight="1" x14ac:dyDescent="0.25">
      <c r="B2030" s="84">
        <v>1819</v>
      </c>
      <c r="C2030" s="83" t="s">
        <v>16</v>
      </c>
      <c r="D2030" s="82" t="s">
        <v>2240</v>
      </c>
      <c r="E2030" s="81">
        <v>43860</v>
      </c>
      <c r="F2030" s="27">
        <f t="shared" ca="1" si="32"/>
        <v>613</v>
      </c>
      <c r="G2030" s="79"/>
      <c r="H2030" s="80"/>
      <c r="I2030" s="80"/>
      <c r="J2030" s="79"/>
      <c r="K2030" s="78"/>
      <c r="L2030" s="77">
        <v>43862</v>
      </c>
      <c r="M2030" s="68"/>
      <c r="N2030" s="76" t="s">
        <v>937</v>
      </c>
      <c r="O2030" s="75" t="s">
        <v>2241</v>
      </c>
      <c r="R2030" s="74"/>
    </row>
    <row r="2031" spans="2:18" ht="36" hidden="1" customHeight="1" x14ac:dyDescent="0.25">
      <c r="B2031" s="84">
        <v>1819</v>
      </c>
      <c r="C2031" s="83" t="s">
        <v>18</v>
      </c>
      <c r="D2031" s="82" t="s">
        <v>2246</v>
      </c>
      <c r="E2031" s="81">
        <v>43871</v>
      </c>
      <c r="F2031" s="27">
        <f t="shared" ca="1" si="32"/>
        <v>602</v>
      </c>
      <c r="G2031" s="79"/>
      <c r="H2031" s="80"/>
      <c r="I2031" s="80"/>
      <c r="J2031" s="79"/>
      <c r="K2031" s="78"/>
      <c r="L2031" s="77">
        <v>43893</v>
      </c>
      <c r="M2031" s="68"/>
      <c r="N2031" s="76" t="s">
        <v>2244</v>
      </c>
      <c r="O2031" s="75" t="s">
        <v>2247</v>
      </c>
      <c r="R2031" s="74"/>
    </row>
    <row r="2032" spans="2:18" ht="36" hidden="1" customHeight="1" x14ac:dyDescent="0.25">
      <c r="B2032" s="84">
        <v>1819</v>
      </c>
      <c r="C2032" s="83" t="s">
        <v>40</v>
      </c>
      <c r="D2032" s="82" t="s">
        <v>2242</v>
      </c>
      <c r="E2032" s="81">
        <v>43872</v>
      </c>
      <c r="F2032" s="27">
        <f t="shared" ca="1" si="32"/>
        <v>601</v>
      </c>
      <c r="G2032" s="79"/>
      <c r="H2032" s="80"/>
      <c r="I2032" s="80"/>
      <c r="J2032" s="79"/>
      <c r="K2032" s="78"/>
      <c r="L2032" s="77">
        <v>43875</v>
      </c>
      <c r="M2032" s="68"/>
      <c r="N2032" s="76" t="s">
        <v>2243</v>
      </c>
      <c r="O2032" s="75"/>
      <c r="R2032" s="74"/>
    </row>
    <row r="2033" spans="2:18" ht="36" hidden="1" customHeight="1" x14ac:dyDescent="0.25">
      <c r="B2033" s="84">
        <v>1819</v>
      </c>
      <c r="C2033" s="83" t="s">
        <v>23</v>
      </c>
      <c r="D2033" s="82" t="s">
        <v>197</v>
      </c>
      <c r="E2033" s="81">
        <v>43881</v>
      </c>
      <c r="F2033" s="27">
        <f t="shared" ca="1" si="32"/>
        <v>592</v>
      </c>
      <c r="G2033" s="79"/>
      <c r="H2033" s="80"/>
      <c r="I2033" s="80"/>
      <c r="J2033" s="79"/>
      <c r="K2033" s="78"/>
      <c r="L2033" s="77">
        <v>43889</v>
      </c>
      <c r="M2033" s="68"/>
      <c r="N2033" s="76" t="s">
        <v>2244</v>
      </c>
      <c r="O2033" s="75" t="s">
        <v>2245</v>
      </c>
      <c r="R2033" s="74"/>
    </row>
    <row r="2034" spans="2:18" ht="36" hidden="1" customHeight="1" x14ac:dyDescent="0.25">
      <c r="B2034" s="84">
        <v>1819</v>
      </c>
      <c r="C2034" s="83" t="s">
        <v>19</v>
      </c>
      <c r="D2034" s="82" t="s">
        <v>1339</v>
      </c>
      <c r="E2034" s="81">
        <v>43888</v>
      </c>
      <c r="F2034" s="27">
        <f t="shared" ca="1" si="32"/>
        <v>585</v>
      </c>
      <c r="G2034" s="79"/>
      <c r="H2034" s="80"/>
      <c r="I2034" s="80"/>
      <c r="J2034" s="79"/>
      <c r="K2034" s="78"/>
      <c r="L2034" s="77">
        <v>43894</v>
      </c>
      <c r="M2034" s="68"/>
      <c r="N2034" s="76" t="s">
        <v>2368</v>
      </c>
      <c r="O2034" s="75" t="s">
        <v>2369</v>
      </c>
      <c r="R2034" s="74"/>
    </row>
    <row r="2035" spans="2:18" ht="36" hidden="1" customHeight="1" x14ac:dyDescent="0.25">
      <c r="B2035" s="84">
        <v>1819</v>
      </c>
      <c r="C2035" s="83" t="s">
        <v>37</v>
      </c>
      <c r="D2035" s="82" t="s">
        <v>2370</v>
      </c>
      <c r="E2035" s="81">
        <v>43923</v>
      </c>
      <c r="F2035" s="27">
        <f t="shared" ca="1" si="32"/>
        <v>550</v>
      </c>
      <c r="G2035" s="79"/>
      <c r="H2035" s="80"/>
      <c r="I2035" s="80"/>
      <c r="J2035" s="79"/>
      <c r="K2035" s="78"/>
      <c r="L2035" s="77">
        <v>43930</v>
      </c>
      <c r="M2035" s="68"/>
      <c r="N2035" s="76" t="s">
        <v>185</v>
      </c>
      <c r="O2035" s="75" t="s">
        <v>2371</v>
      </c>
      <c r="R2035" s="74"/>
    </row>
    <row r="2036" spans="2:18" ht="36" hidden="1" customHeight="1" x14ac:dyDescent="0.25">
      <c r="B2036" s="84">
        <v>1819</v>
      </c>
      <c r="C2036" s="83" t="s">
        <v>9</v>
      </c>
      <c r="D2036" s="82" t="s">
        <v>2372</v>
      </c>
      <c r="E2036" s="81">
        <v>43952</v>
      </c>
      <c r="F2036" s="27">
        <f t="shared" ca="1" si="32"/>
        <v>521</v>
      </c>
      <c r="G2036" s="79"/>
      <c r="H2036" s="80"/>
      <c r="I2036" s="80" t="s">
        <v>278</v>
      </c>
      <c r="J2036" s="79"/>
      <c r="K2036" s="78"/>
      <c r="L2036" s="77">
        <v>43952</v>
      </c>
      <c r="M2036" s="68"/>
      <c r="N2036" s="76" t="s">
        <v>686</v>
      </c>
      <c r="O2036" s="75" t="s">
        <v>2373</v>
      </c>
      <c r="R2036" s="74"/>
    </row>
    <row r="2037" spans="2:18" ht="36" hidden="1" customHeight="1" x14ac:dyDescent="0.25">
      <c r="B2037" s="84">
        <v>1819</v>
      </c>
      <c r="C2037" s="83" t="s">
        <v>35</v>
      </c>
      <c r="D2037" s="82" t="s">
        <v>2374</v>
      </c>
      <c r="E2037" s="81">
        <v>43955</v>
      </c>
      <c r="F2037" s="27">
        <f t="shared" ca="1" si="32"/>
        <v>518</v>
      </c>
      <c r="G2037" s="79"/>
      <c r="H2037" s="80"/>
      <c r="I2037" s="80" t="s">
        <v>206</v>
      </c>
      <c r="J2037" s="79"/>
      <c r="K2037" s="78"/>
      <c r="L2037" s="77">
        <v>43956</v>
      </c>
      <c r="M2037" s="68"/>
      <c r="N2037" s="76" t="s">
        <v>1634</v>
      </c>
      <c r="O2037" s="75" t="s">
        <v>2375</v>
      </c>
      <c r="R2037" s="74"/>
    </row>
    <row r="2038" spans="2:18" ht="36" hidden="1" customHeight="1" x14ac:dyDescent="0.25">
      <c r="B2038" s="84">
        <v>1819</v>
      </c>
      <c r="C2038" s="83" t="s">
        <v>38</v>
      </c>
      <c r="D2038" s="82" t="s">
        <v>2376</v>
      </c>
      <c r="E2038" s="81">
        <v>43972</v>
      </c>
      <c r="F2038" s="27">
        <f t="shared" ca="1" si="32"/>
        <v>501</v>
      </c>
      <c r="G2038" s="79"/>
      <c r="H2038" s="80"/>
      <c r="I2038" s="80" t="s">
        <v>206</v>
      </c>
      <c r="J2038" s="79"/>
      <c r="K2038" s="78"/>
      <c r="L2038" s="77">
        <v>43978</v>
      </c>
      <c r="M2038" s="68"/>
      <c r="N2038" s="76" t="s">
        <v>2220</v>
      </c>
      <c r="O2038" s="75" t="s">
        <v>2377</v>
      </c>
      <c r="R2038" s="74"/>
    </row>
    <row r="2039" spans="2:18" ht="36" hidden="1" customHeight="1" x14ac:dyDescent="0.25">
      <c r="B2039" s="84">
        <v>1819</v>
      </c>
      <c r="C2039" s="83" t="s">
        <v>40</v>
      </c>
      <c r="D2039" s="82" t="s">
        <v>331</v>
      </c>
      <c r="E2039" s="81">
        <v>43973</v>
      </c>
      <c r="F2039" s="27">
        <f t="shared" ca="1" si="32"/>
        <v>500</v>
      </c>
      <c r="G2039" s="79"/>
      <c r="H2039" s="80"/>
      <c r="I2039" s="80" t="s">
        <v>206</v>
      </c>
      <c r="J2039" s="79"/>
      <c r="K2039" s="78"/>
      <c r="L2039" s="77">
        <v>43978</v>
      </c>
      <c r="M2039" s="68"/>
      <c r="N2039" s="76" t="s">
        <v>686</v>
      </c>
      <c r="O2039" s="75" t="s">
        <v>2378</v>
      </c>
      <c r="R2039" s="74"/>
    </row>
    <row r="2040" spans="2:18" ht="36" hidden="1" customHeight="1" x14ac:dyDescent="0.25">
      <c r="B2040" s="84">
        <v>1819</v>
      </c>
      <c r="C2040" s="83" t="s">
        <v>40</v>
      </c>
      <c r="D2040" s="82" t="s">
        <v>2379</v>
      </c>
      <c r="E2040" s="81">
        <v>43992</v>
      </c>
      <c r="F2040" s="27">
        <f t="shared" ca="1" si="32"/>
        <v>481</v>
      </c>
      <c r="G2040" s="79"/>
      <c r="H2040" s="80"/>
      <c r="I2040" s="80"/>
      <c r="J2040" s="79"/>
      <c r="K2040" s="78"/>
      <c r="L2040" s="77">
        <v>43992</v>
      </c>
      <c r="M2040" s="68"/>
      <c r="N2040" s="76" t="s">
        <v>2380</v>
      </c>
      <c r="O2040" s="75"/>
      <c r="R2040" s="74"/>
    </row>
    <row r="2041" spans="2:18" ht="36" hidden="1" customHeight="1" x14ac:dyDescent="0.25">
      <c r="B2041" s="84">
        <v>1819</v>
      </c>
      <c r="C2041" s="83" t="s">
        <v>23</v>
      </c>
      <c r="D2041" s="82" t="s">
        <v>2381</v>
      </c>
      <c r="E2041" s="81">
        <v>43998</v>
      </c>
      <c r="F2041" s="27">
        <f t="shared" ca="1" si="32"/>
        <v>475</v>
      </c>
      <c r="G2041" s="79"/>
      <c r="H2041" s="80"/>
      <c r="I2041" s="80"/>
      <c r="J2041" s="79"/>
      <c r="K2041" s="78"/>
      <c r="L2041" s="77">
        <v>44000</v>
      </c>
      <c r="M2041" s="68"/>
      <c r="N2041" s="76"/>
      <c r="O2041" s="75"/>
      <c r="R2041" s="74"/>
    </row>
    <row r="2042" spans="2:18" ht="36" hidden="1" customHeight="1" x14ac:dyDescent="0.25">
      <c r="B2042" s="84">
        <v>1819</v>
      </c>
      <c r="C2042" s="83" t="s">
        <v>35</v>
      </c>
      <c r="D2042" s="82" t="s">
        <v>2382</v>
      </c>
      <c r="E2042" s="81">
        <v>44007</v>
      </c>
      <c r="F2042" s="27">
        <f t="shared" ca="1" si="32"/>
        <v>466</v>
      </c>
      <c r="G2042" s="79"/>
      <c r="H2042" s="80"/>
      <c r="I2042" s="80"/>
      <c r="J2042" s="79"/>
      <c r="K2042" s="78"/>
      <c r="L2042" s="77">
        <v>44008</v>
      </c>
      <c r="M2042" s="68"/>
      <c r="N2042" s="76" t="s">
        <v>2383</v>
      </c>
      <c r="O2042" s="75"/>
      <c r="R2042" s="74"/>
    </row>
    <row r="2043" spans="2:18" ht="36" hidden="1" customHeight="1" x14ac:dyDescent="0.25">
      <c r="B2043" s="84">
        <v>1819</v>
      </c>
      <c r="C2043" s="83" t="s">
        <v>19</v>
      </c>
      <c r="D2043" s="82" t="s">
        <v>2384</v>
      </c>
      <c r="E2043" s="81">
        <v>44015</v>
      </c>
      <c r="F2043" s="27">
        <f t="shared" ca="1" si="32"/>
        <v>458</v>
      </c>
      <c r="G2043" s="79"/>
      <c r="H2043" s="80"/>
      <c r="I2043" s="80"/>
      <c r="J2043" s="79"/>
      <c r="K2043" s="78"/>
      <c r="L2043" s="77">
        <v>44018</v>
      </c>
      <c r="M2043" s="68"/>
      <c r="N2043" s="76" t="s">
        <v>686</v>
      </c>
      <c r="O2043" s="75" t="s">
        <v>2385</v>
      </c>
      <c r="R2043" s="74"/>
    </row>
    <row r="2044" spans="2:18" ht="36" hidden="1" customHeight="1" x14ac:dyDescent="0.25">
      <c r="B2044" s="84">
        <v>1819</v>
      </c>
      <c r="C2044" s="83" t="s">
        <v>33</v>
      </c>
      <c r="D2044" s="82" t="s">
        <v>2386</v>
      </c>
      <c r="E2044" s="81">
        <v>44033</v>
      </c>
      <c r="F2044" s="27">
        <f t="shared" ca="1" si="32"/>
        <v>440</v>
      </c>
      <c r="G2044" s="79"/>
      <c r="H2044" s="80"/>
      <c r="I2044" s="80"/>
      <c r="J2044" s="79"/>
      <c r="K2044" s="78"/>
      <c r="L2044" s="77">
        <v>44036</v>
      </c>
      <c r="M2044" s="68"/>
      <c r="N2044" s="76" t="s">
        <v>185</v>
      </c>
      <c r="O2044" s="75" t="s">
        <v>2387</v>
      </c>
      <c r="R2044" s="74"/>
    </row>
    <row r="2045" spans="2:18" ht="36" hidden="1" customHeight="1" x14ac:dyDescent="0.25">
      <c r="B2045" s="84">
        <v>1819</v>
      </c>
      <c r="C2045" s="83" t="s">
        <v>19</v>
      </c>
      <c r="D2045" s="82" t="s">
        <v>2484</v>
      </c>
      <c r="E2045" s="81">
        <v>44048</v>
      </c>
      <c r="F2045" s="27">
        <f t="shared" ca="1" si="32"/>
        <v>425</v>
      </c>
      <c r="G2045" s="79"/>
      <c r="H2045" s="80"/>
      <c r="I2045" s="80"/>
      <c r="J2045" s="79"/>
      <c r="K2045" s="78"/>
      <c r="L2045" s="77">
        <v>44049</v>
      </c>
      <c r="M2045" s="68"/>
      <c r="N2045" s="76" t="s">
        <v>686</v>
      </c>
      <c r="O2045" s="75"/>
      <c r="R2045" s="74"/>
    </row>
    <row r="2046" spans="2:18" ht="36" hidden="1" customHeight="1" x14ac:dyDescent="0.25">
      <c r="B2046" s="84">
        <v>1819</v>
      </c>
      <c r="C2046" s="83" t="s">
        <v>40</v>
      </c>
      <c r="D2046" s="82" t="s">
        <v>2485</v>
      </c>
      <c r="E2046" s="81">
        <v>44048</v>
      </c>
      <c r="F2046" s="27">
        <f t="shared" ca="1" si="32"/>
        <v>425</v>
      </c>
      <c r="G2046" s="79"/>
      <c r="H2046" s="80"/>
      <c r="I2046" s="80"/>
      <c r="J2046" s="79"/>
      <c r="K2046" s="78"/>
      <c r="L2046" s="77">
        <v>44049</v>
      </c>
      <c r="M2046" s="68"/>
      <c r="N2046" s="76" t="s">
        <v>686</v>
      </c>
      <c r="O2046" s="75"/>
      <c r="R2046" s="74"/>
    </row>
    <row r="2047" spans="2:18" ht="36" hidden="1" customHeight="1" x14ac:dyDescent="0.25">
      <c r="B2047" s="84">
        <v>1819</v>
      </c>
      <c r="C2047" s="83" t="s">
        <v>4434</v>
      </c>
      <c r="D2047" s="82" t="s">
        <v>4471</v>
      </c>
      <c r="E2047" s="81">
        <v>44068</v>
      </c>
      <c r="F2047" s="27">
        <f t="shared" ca="1" si="32"/>
        <v>405</v>
      </c>
      <c r="G2047" s="79"/>
      <c r="H2047" s="80"/>
      <c r="I2047" s="80"/>
      <c r="J2047" s="79"/>
      <c r="K2047" s="78"/>
      <c r="L2047" s="77">
        <v>44075</v>
      </c>
      <c r="M2047" s="68" t="s">
        <v>4443</v>
      </c>
      <c r="N2047" s="118" t="s">
        <v>4482</v>
      </c>
      <c r="O2047" s="75"/>
      <c r="R2047" s="74"/>
    </row>
    <row r="2048" spans="2:18" ht="36" hidden="1" customHeight="1" x14ac:dyDescent="0.25">
      <c r="B2048" s="84">
        <v>1819</v>
      </c>
      <c r="C2048" s="83" t="s">
        <v>4434</v>
      </c>
      <c r="D2048" s="82" t="s">
        <v>3259</v>
      </c>
      <c r="E2048" s="81">
        <v>44068</v>
      </c>
      <c r="F2048" s="27">
        <f t="shared" ca="1" si="32"/>
        <v>405</v>
      </c>
      <c r="G2048" s="79"/>
      <c r="H2048" s="80"/>
      <c r="I2048" s="80"/>
      <c r="J2048" s="79"/>
      <c r="K2048" s="78"/>
      <c r="L2048" s="77">
        <v>44075</v>
      </c>
      <c r="M2048" s="68" t="s">
        <v>4443</v>
      </c>
      <c r="N2048" s="118" t="s">
        <v>4481</v>
      </c>
      <c r="O2048" s="75"/>
      <c r="R2048" s="74"/>
    </row>
    <row r="2049" spans="2:18" ht="36" hidden="1" customHeight="1" x14ac:dyDescent="0.25">
      <c r="B2049" s="84">
        <v>1820</v>
      </c>
      <c r="C2049" s="83" t="s">
        <v>38</v>
      </c>
      <c r="D2049" s="82" t="s">
        <v>2486</v>
      </c>
      <c r="E2049" s="81">
        <v>43810</v>
      </c>
      <c r="F2049" s="27">
        <f t="shared" ca="1" si="32"/>
        <v>663</v>
      </c>
      <c r="G2049" s="79"/>
      <c r="H2049" s="80"/>
      <c r="I2049" s="80"/>
      <c r="J2049" s="79"/>
      <c r="K2049" s="78"/>
      <c r="L2049" s="77">
        <v>43833</v>
      </c>
      <c r="M2049" s="68"/>
      <c r="N2049" s="76" t="s">
        <v>2487</v>
      </c>
      <c r="O2049" s="75"/>
      <c r="R2049" s="74"/>
    </row>
    <row r="2050" spans="2:18" ht="36" hidden="1" customHeight="1" x14ac:dyDescent="0.25">
      <c r="B2050" s="84">
        <v>1820</v>
      </c>
      <c r="C2050" s="83" t="s">
        <v>23</v>
      </c>
      <c r="D2050" s="82" t="s">
        <v>2685</v>
      </c>
      <c r="E2050" s="81">
        <v>43829</v>
      </c>
      <c r="F2050" s="27">
        <f t="shared" ca="1" si="32"/>
        <v>644</v>
      </c>
      <c r="G2050" s="79"/>
      <c r="H2050" s="80"/>
      <c r="I2050" s="80"/>
      <c r="J2050" s="79"/>
      <c r="K2050" s="78"/>
      <c r="L2050" s="77">
        <v>43847</v>
      </c>
      <c r="M2050" s="68"/>
      <c r="N2050" s="76" t="s">
        <v>686</v>
      </c>
      <c r="O2050" s="75" t="s">
        <v>52</v>
      </c>
      <c r="R2050" s="74"/>
    </row>
    <row r="2051" spans="2:18" ht="36" hidden="1" customHeight="1" x14ac:dyDescent="0.25">
      <c r="B2051" s="84">
        <v>1820</v>
      </c>
      <c r="C2051" s="83" t="s">
        <v>17</v>
      </c>
      <c r="D2051" s="82" t="s">
        <v>1405</v>
      </c>
      <c r="E2051" s="81">
        <v>43833</v>
      </c>
      <c r="F2051" s="27">
        <f t="shared" ca="1" si="32"/>
        <v>640</v>
      </c>
      <c r="G2051" s="79"/>
      <c r="H2051" s="80"/>
      <c r="I2051" s="80"/>
      <c r="J2051" s="79"/>
      <c r="K2051" s="78"/>
      <c r="L2051" s="77">
        <v>43847</v>
      </c>
      <c r="M2051" s="68"/>
      <c r="N2051" s="76" t="s">
        <v>686</v>
      </c>
      <c r="O2051" s="75" t="s">
        <v>2690</v>
      </c>
      <c r="R2051" s="74"/>
    </row>
    <row r="2052" spans="2:18" ht="36" hidden="1" customHeight="1" x14ac:dyDescent="0.25">
      <c r="B2052" s="84">
        <v>1820</v>
      </c>
      <c r="C2052" s="83" t="s">
        <v>27</v>
      </c>
      <c r="D2052" s="82" t="s">
        <v>2231</v>
      </c>
      <c r="E2052" s="81">
        <v>43839</v>
      </c>
      <c r="F2052" s="27">
        <f t="shared" ca="1" si="32"/>
        <v>634</v>
      </c>
      <c r="G2052" s="79"/>
      <c r="H2052" s="80"/>
      <c r="I2052" s="80"/>
      <c r="J2052" s="79"/>
      <c r="K2052" s="78"/>
      <c r="L2052" s="77">
        <v>43847</v>
      </c>
      <c r="M2052" s="68"/>
      <c r="N2052" s="76" t="s">
        <v>686</v>
      </c>
      <c r="O2052" s="75" t="s">
        <v>2680</v>
      </c>
      <c r="R2052" s="74"/>
    </row>
    <row r="2053" spans="2:18" ht="36" hidden="1" customHeight="1" x14ac:dyDescent="0.25">
      <c r="B2053" s="84">
        <v>1820</v>
      </c>
      <c r="C2053" s="83" t="s">
        <v>40</v>
      </c>
      <c r="D2053" s="82" t="s">
        <v>2488</v>
      </c>
      <c r="E2053" s="81">
        <v>43840</v>
      </c>
      <c r="F2053" s="27">
        <f t="shared" ca="1" si="32"/>
        <v>633</v>
      </c>
      <c r="G2053" s="79"/>
      <c r="H2053" s="80"/>
      <c r="I2053" s="80"/>
      <c r="J2053" s="79"/>
      <c r="K2053" s="78"/>
      <c r="L2053" s="77">
        <v>43842</v>
      </c>
      <c r="M2053" s="68"/>
      <c r="N2053" s="76" t="s">
        <v>1443</v>
      </c>
      <c r="O2053" s="75"/>
      <c r="R2053" s="74"/>
    </row>
    <row r="2054" spans="2:18" ht="36" hidden="1" customHeight="1" x14ac:dyDescent="0.25">
      <c r="B2054" s="84">
        <v>1820</v>
      </c>
      <c r="C2054" s="83" t="s">
        <v>40</v>
      </c>
      <c r="D2054" s="82" t="s">
        <v>2489</v>
      </c>
      <c r="E2054" s="81">
        <v>43840</v>
      </c>
      <c r="F2054" s="27">
        <f t="shared" ca="1" si="32"/>
        <v>633</v>
      </c>
      <c r="G2054" s="79"/>
      <c r="H2054" s="80"/>
      <c r="I2054" s="80"/>
      <c r="J2054" s="79"/>
      <c r="K2054" s="78"/>
      <c r="L2054" s="77">
        <v>43842</v>
      </c>
      <c r="M2054" s="68"/>
      <c r="N2054" s="76" t="s">
        <v>1443</v>
      </c>
      <c r="O2054" s="75"/>
      <c r="R2054" s="74"/>
    </row>
    <row r="2055" spans="2:18" ht="36" hidden="1" customHeight="1" x14ac:dyDescent="0.25">
      <c r="B2055" s="84">
        <v>1820</v>
      </c>
      <c r="C2055" s="83" t="s">
        <v>20</v>
      </c>
      <c r="D2055" s="82" t="s">
        <v>2677</v>
      </c>
      <c r="E2055" s="81">
        <v>43840</v>
      </c>
      <c r="F2055" s="27">
        <f t="shared" ca="1" si="32"/>
        <v>633</v>
      </c>
      <c r="G2055" s="79"/>
      <c r="H2055" s="80"/>
      <c r="I2055" s="80"/>
      <c r="J2055" s="79"/>
      <c r="K2055" s="78"/>
      <c r="L2055" s="77">
        <v>43842</v>
      </c>
      <c r="M2055" s="68"/>
      <c r="N2055" s="76" t="s">
        <v>2678</v>
      </c>
      <c r="O2055" s="75" t="s">
        <v>2679</v>
      </c>
      <c r="R2055" s="74"/>
    </row>
    <row r="2056" spans="2:18" ht="36" hidden="1" customHeight="1" x14ac:dyDescent="0.25">
      <c r="B2056" s="84">
        <v>1820</v>
      </c>
      <c r="C2056" s="83" t="s">
        <v>12</v>
      </c>
      <c r="D2056" s="82" t="s">
        <v>2907</v>
      </c>
      <c r="E2056" s="81">
        <v>43840</v>
      </c>
      <c r="F2056" s="27">
        <f t="shared" ref="F2056:F2087" ca="1" si="33">IF(E2056&lt;&gt;"",TODAY()-E2056,"")</f>
        <v>633</v>
      </c>
      <c r="G2056" s="79"/>
      <c r="H2056" s="80"/>
      <c r="I2056" s="80"/>
      <c r="J2056" s="79"/>
      <c r="K2056" s="78"/>
      <c r="L2056" s="77">
        <v>43847</v>
      </c>
      <c r="M2056" s="68"/>
      <c r="N2056" s="76" t="s">
        <v>2908</v>
      </c>
      <c r="O2056" s="75" t="s">
        <v>2909</v>
      </c>
      <c r="R2056" s="74"/>
    </row>
    <row r="2057" spans="2:18" ht="36" hidden="1" customHeight="1" x14ac:dyDescent="0.25">
      <c r="B2057" s="84">
        <v>1820</v>
      </c>
      <c r="C2057" s="83" t="s">
        <v>40</v>
      </c>
      <c r="D2057" s="82" t="s">
        <v>2681</v>
      </c>
      <c r="E2057" s="81">
        <v>43843</v>
      </c>
      <c r="F2057" s="27">
        <f t="shared" ca="1" si="33"/>
        <v>630</v>
      </c>
      <c r="G2057" s="79"/>
      <c r="H2057" s="80"/>
      <c r="I2057" s="80"/>
      <c r="J2057" s="79"/>
      <c r="K2057" s="78"/>
      <c r="L2057" s="77">
        <v>43847</v>
      </c>
      <c r="M2057" s="68"/>
      <c r="N2057" s="76" t="s">
        <v>686</v>
      </c>
      <c r="O2057" s="75" t="s">
        <v>2682</v>
      </c>
      <c r="R2057" s="74"/>
    </row>
    <row r="2058" spans="2:18" ht="36" hidden="1" customHeight="1" x14ac:dyDescent="0.25">
      <c r="B2058" s="84">
        <v>1820</v>
      </c>
      <c r="C2058" s="83" t="s">
        <v>40</v>
      </c>
      <c r="D2058" s="82" t="s">
        <v>2683</v>
      </c>
      <c r="E2058" s="81">
        <v>43843</v>
      </c>
      <c r="F2058" s="27">
        <f t="shared" ca="1" si="33"/>
        <v>630</v>
      </c>
      <c r="G2058" s="79"/>
      <c r="H2058" s="80"/>
      <c r="I2058" s="80"/>
      <c r="J2058" s="79"/>
      <c r="K2058" s="78"/>
      <c r="L2058" s="77">
        <v>43847</v>
      </c>
      <c r="M2058" s="68"/>
      <c r="N2058" s="76" t="s">
        <v>686</v>
      </c>
      <c r="O2058" s="75" t="s">
        <v>2684</v>
      </c>
      <c r="R2058" s="74"/>
    </row>
    <row r="2059" spans="2:18" ht="36" hidden="1" customHeight="1" x14ac:dyDescent="0.25">
      <c r="B2059" s="84">
        <v>1820</v>
      </c>
      <c r="C2059" s="83" t="s">
        <v>23</v>
      </c>
      <c r="D2059" s="82" t="s">
        <v>2686</v>
      </c>
      <c r="E2059" s="81">
        <v>43843</v>
      </c>
      <c r="F2059" s="27">
        <f t="shared" ca="1" si="33"/>
        <v>630</v>
      </c>
      <c r="G2059" s="79"/>
      <c r="H2059" s="80"/>
      <c r="I2059" s="80"/>
      <c r="J2059" s="79"/>
      <c r="K2059" s="78"/>
      <c r="L2059" s="77">
        <v>43847</v>
      </c>
      <c r="M2059" s="68"/>
      <c r="N2059" s="76" t="s">
        <v>686</v>
      </c>
      <c r="O2059" s="75" t="s">
        <v>2687</v>
      </c>
      <c r="R2059" s="74"/>
    </row>
    <row r="2060" spans="2:18" ht="36" hidden="1" customHeight="1" x14ac:dyDescent="0.25">
      <c r="B2060" s="84">
        <v>1820</v>
      </c>
      <c r="C2060" s="83" t="s">
        <v>21</v>
      </c>
      <c r="D2060" s="82" t="s">
        <v>2688</v>
      </c>
      <c r="E2060" s="81">
        <v>43843</v>
      </c>
      <c r="F2060" s="27">
        <f t="shared" ca="1" si="33"/>
        <v>630</v>
      </c>
      <c r="G2060" s="79"/>
      <c r="H2060" s="80"/>
      <c r="I2060" s="80"/>
      <c r="J2060" s="79"/>
      <c r="K2060" s="78"/>
      <c r="L2060" s="77">
        <v>43847</v>
      </c>
      <c r="M2060" s="68"/>
      <c r="N2060" s="76" t="s">
        <v>686</v>
      </c>
      <c r="O2060" s="75" t="s">
        <v>2689</v>
      </c>
      <c r="R2060" s="74"/>
    </row>
    <row r="2061" spans="2:18" ht="36" hidden="1" customHeight="1" x14ac:dyDescent="0.25">
      <c r="B2061" s="84">
        <v>1820</v>
      </c>
      <c r="C2061" s="83" t="s">
        <v>16</v>
      </c>
      <c r="D2061" s="82" t="s">
        <v>2904</v>
      </c>
      <c r="E2061" s="81">
        <v>43843</v>
      </c>
      <c r="F2061" s="27">
        <f t="shared" ca="1" si="33"/>
        <v>630</v>
      </c>
      <c r="G2061" s="79"/>
      <c r="H2061" s="80"/>
      <c r="I2061" s="80"/>
      <c r="J2061" s="79"/>
      <c r="K2061" s="78"/>
      <c r="L2061" s="77">
        <v>43847</v>
      </c>
      <c r="M2061" s="68"/>
      <c r="N2061" s="76" t="s">
        <v>686</v>
      </c>
      <c r="O2061" s="75" t="s">
        <v>2905</v>
      </c>
      <c r="R2061" s="74"/>
    </row>
    <row r="2062" spans="2:18" ht="36" hidden="1" customHeight="1" x14ac:dyDescent="0.25">
      <c r="B2062" s="84">
        <v>1820</v>
      </c>
      <c r="C2062" s="83" t="s">
        <v>15</v>
      </c>
      <c r="D2062" s="82" t="s">
        <v>2906</v>
      </c>
      <c r="E2062" s="81">
        <v>43843</v>
      </c>
      <c r="F2062" s="27">
        <f t="shared" ca="1" si="33"/>
        <v>630</v>
      </c>
      <c r="G2062" s="79"/>
      <c r="H2062" s="80"/>
      <c r="I2062" s="80"/>
      <c r="J2062" s="79"/>
      <c r="K2062" s="78"/>
      <c r="L2062" s="77">
        <v>43847</v>
      </c>
      <c r="M2062" s="68"/>
      <c r="N2062" s="76" t="s">
        <v>686</v>
      </c>
      <c r="O2062" s="75" t="s">
        <v>2857</v>
      </c>
      <c r="R2062" s="74"/>
    </row>
    <row r="2063" spans="2:18" ht="36" hidden="1" customHeight="1" x14ac:dyDescent="0.25">
      <c r="B2063" s="84">
        <v>1820</v>
      </c>
      <c r="C2063" s="83" t="s">
        <v>40</v>
      </c>
      <c r="D2063" s="82" t="s">
        <v>2910</v>
      </c>
      <c r="E2063" s="81">
        <v>43853</v>
      </c>
      <c r="F2063" s="27">
        <f t="shared" ca="1" si="33"/>
        <v>620</v>
      </c>
      <c r="G2063" s="79"/>
      <c r="H2063" s="80"/>
      <c r="I2063" s="80"/>
      <c r="J2063" s="79"/>
      <c r="K2063" s="78"/>
      <c r="L2063" s="77">
        <v>43854</v>
      </c>
      <c r="M2063" s="68"/>
      <c r="N2063" s="76" t="s">
        <v>829</v>
      </c>
      <c r="O2063" s="75" t="s">
        <v>2911</v>
      </c>
      <c r="R2063" s="74"/>
    </row>
    <row r="2064" spans="2:18" ht="36" hidden="1" customHeight="1" x14ac:dyDescent="0.25">
      <c r="B2064" s="84">
        <v>1820</v>
      </c>
      <c r="C2064" s="83" t="s">
        <v>17</v>
      </c>
      <c r="D2064" s="82" t="s">
        <v>1433</v>
      </c>
      <c r="E2064" s="81">
        <v>43860</v>
      </c>
      <c r="F2064" s="27">
        <f t="shared" ca="1" si="33"/>
        <v>613</v>
      </c>
      <c r="G2064" s="79"/>
      <c r="H2064" s="80"/>
      <c r="I2064" s="80"/>
      <c r="J2064" s="79"/>
      <c r="K2064" s="78"/>
      <c r="L2064" s="77">
        <v>43882</v>
      </c>
      <c r="M2064" s="68"/>
      <c r="N2064" s="76" t="s">
        <v>2918</v>
      </c>
      <c r="O2064" s="75" t="s">
        <v>2919</v>
      </c>
      <c r="R2064" s="74"/>
    </row>
    <row r="2065" spans="2:18" ht="36" hidden="1" customHeight="1" x14ac:dyDescent="0.25">
      <c r="B2065" s="84">
        <v>1820</v>
      </c>
      <c r="C2065" s="83" t="s">
        <v>40</v>
      </c>
      <c r="D2065" s="82" t="s">
        <v>2920</v>
      </c>
      <c r="E2065" s="81">
        <v>43860</v>
      </c>
      <c r="F2065" s="27">
        <f t="shared" ca="1" si="33"/>
        <v>613</v>
      </c>
      <c r="G2065" s="79"/>
      <c r="H2065" s="80"/>
      <c r="I2065" s="80"/>
      <c r="J2065" s="79"/>
      <c r="K2065" s="78"/>
      <c r="L2065" s="77">
        <v>43882</v>
      </c>
      <c r="M2065" s="68"/>
      <c r="N2065" s="76" t="s">
        <v>2918</v>
      </c>
      <c r="O2065" s="75" t="s">
        <v>2921</v>
      </c>
      <c r="R2065" s="74"/>
    </row>
    <row r="2066" spans="2:18" ht="36" hidden="1" customHeight="1" x14ac:dyDescent="0.25">
      <c r="B2066" s="84">
        <v>1820</v>
      </c>
      <c r="C2066" s="83" t="s">
        <v>23</v>
      </c>
      <c r="D2066" s="82" t="s">
        <v>346</v>
      </c>
      <c r="E2066" s="81">
        <v>43867</v>
      </c>
      <c r="F2066" s="27">
        <f t="shared" ca="1" si="33"/>
        <v>606</v>
      </c>
      <c r="G2066" s="79"/>
      <c r="H2066" s="80"/>
      <c r="I2066" s="80"/>
      <c r="J2066" s="79"/>
      <c r="K2066" s="78"/>
      <c r="L2066" s="77">
        <v>43875</v>
      </c>
      <c r="M2066" s="68"/>
      <c r="N2066" s="76" t="s">
        <v>2917</v>
      </c>
      <c r="O2066" s="75"/>
      <c r="R2066" s="74"/>
    </row>
    <row r="2067" spans="2:18" ht="36" hidden="1" customHeight="1" x14ac:dyDescent="0.25">
      <c r="B2067" s="84">
        <v>1820</v>
      </c>
      <c r="C2067" s="83" t="s">
        <v>40</v>
      </c>
      <c r="D2067" s="82" t="s">
        <v>2922</v>
      </c>
      <c r="E2067" s="81">
        <v>43867</v>
      </c>
      <c r="F2067" s="27">
        <f t="shared" ca="1" si="33"/>
        <v>606</v>
      </c>
      <c r="G2067" s="79"/>
      <c r="H2067" s="80"/>
      <c r="I2067" s="80"/>
      <c r="J2067" s="79"/>
      <c r="K2067" s="78"/>
      <c r="L2067" s="77">
        <v>43882</v>
      </c>
      <c r="M2067" s="68"/>
      <c r="N2067" s="76" t="s">
        <v>2918</v>
      </c>
      <c r="O2067" s="75" t="s">
        <v>2921</v>
      </c>
      <c r="R2067" s="74"/>
    </row>
    <row r="2068" spans="2:18" ht="36" hidden="1" customHeight="1" x14ac:dyDescent="0.25">
      <c r="B2068" s="84">
        <v>1820</v>
      </c>
      <c r="C2068" s="83" t="s">
        <v>23</v>
      </c>
      <c r="D2068" s="82" t="s">
        <v>2912</v>
      </c>
      <c r="E2068" s="81">
        <v>43874</v>
      </c>
      <c r="F2068" s="27">
        <f t="shared" ca="1" si="33"/>
        <v>599</v>
      </c>
      <c r="G2068" s="79"/>
      <c r="H2068" s="80"/>
      <c r="I2068" s="80"/>
      <c r="J2068" s="79"/>
      <c r="K2068" s="78"/>
      <c r="L2068" s="77">
        <v>43874</v>
      </c>
      <c r="M2068" s="68"/>
      <c r="N2068" s="76" t="s">
        <v>2913</v>
      </c>
      <c r="O2068" s="75"/>
      <c r="R2068" s="74"/>
    </row>
    <row r="2069" spans="2:18" ht="36" hidden="1" customHeight="1" x14ac:dyDescent="0.25">
      <c r="B2069" s="84">
        <v>1820</v>
      </c>
      <c r="C2069" s="83" t="s">
        <v>2914</v>
      </c>
      <c r="D2069" s="82" t="s">
        <v>2915</v>
      </c>
      <c r="E2069" s="81">
        <v>43874</v>
      </c>
      <c r="F2069" s="27">
        <f t="shared" ca="1" si="33"/>
        <v>599</v>
      </c>
      <c r="G2069" s="79"/>
      <c r="H2069" s="80"/>
      <c r="I2069" s="80"/>
      <c r="J2069" s="79"/>
      <c r="K2069" s="78"/>
      <c r="L2069" s="77">
        <v>43874</v>
      </c>
      <c r="M2069" s="68"/>
      <c r="N2069" s="76" t="s">
        <v>2913</v>
      </c>
      <c r="O2069" s="75" t="s">
        <v>2916</v>
      </c>
      <c r="R2069" s="74"/>
    </row>
    <row r="2070" spans="2:18" ht="36" hidden="1" customHeight="1" x14ac:dyDescent="0.25">
      <c r="B2070" s="84">
        <v>1820</v>
      </c>
      <c r="C2070" s="83" t="s">
        <v>17</v>
      </c>
      <c r="D2070" s="82" t="s">
        <v>1627</v>
      </c>
      <c r="E2070" s="81">
        <v>43875</v>
      </c>
      <c r="F2070" s="27">
        <f t="shared" ca="1" si="33"/>
        <v>598</v>
      </c>
      <c r="G2070" s="79"/>
      <c r="H2070" s="80"/>
      <c r="I2070" s="80"/>
      <c r="J2070" s="79"/>
      <c r="K2070" s="78"/>
      <c r="L2070" s="77">
        <v>43882</v>
      </c>
      <c r="M2070" s="68"/>
      <c r="N2070" s="76" t="s">
        <v>2918</v>
      </c>
      <c r="O2070" s="75" t="s">
        <v>2919</v>
      </c>
      <c r="R2070" s="74"/>
    </row>
    <row r="2071" spans="2:18" ht="36" hidden="1" customHeight="1" x14ac:dyDescent="0.25">
      <c r="B2071" s="84">
        <v>1820</v>
      </c>
      <c r="C2071" s="83" t="s">
        <v>21</v>
      </c>
      <c r="D2071" s="82" t="s">
        <v>2923</v>
      </c>
      <c r="E2071" s="81">
        <v>43875</v>
      </c>
      <c r="F2071" s="27">
        <f t="shared" ca="1" si="33"/>
        <v>598</v>
      </c>
      <c r="G2071" s="79"/>
      <c r="H2071" s="80"/>
      <c r="I2071" s="80"/>
      <c r="J2071" s="79"/>
      <c r="K2071" s="78"/>
      <c r="L2071" s="77">
        <v>43882</v>
      </c>
      <c r="M2071" s="68"/>
      <c r="N2071" s="76" t="s">
        <v>2918</v>
      </c>
      <c r="O2071" s="75" t="s">
        <v>2924</v>
      </c>
      <c r="R2071" s="74"/>
    </row>
    <row r="2072" spans="2:18" ht="36" hidden="1" customHeight="1" x14ac:dyDescent="0.25">
      <c r="B2072" s="84">
        <v>1820</v>
      </c>
      <c r="C2072" s="83" t="s">
        <v>40</v>
      </c>
      <c r="D2072" s="82" t="s">
        <v>2180</v>
      </c>
      <c r="E2072" s="81">
        <v>43875</v>
      </c>
      <c r="F2072" s="27">
        <f t="shared" ca="1" si="33"/>
        <v>598</v>
      </c>
      <c r="G2072" s="79"/>
      <c r="H2072" s="80"/>
      <c r="I2072" s="80"/>
      <c r="J2072" s="79"/>
      <c r="K2072" s="78"/>
      <c r="L2072" s="77">
        <v>43882</v>
      </c>
      <c r="M2072" s="68"/>
      <c r="N2072" s="76" t="s">
        <v>2918</v>
      </c>
      <c r="O2072" s="75" t="s">
        <v>2925</v>
      </c>
      <c r="R2072" s="74"/>
    </row>
    <row r="2073" spans="2:18" ht="36" hidden="1" customHeight="1" x14ac:dyDescent="0.25">
      <c r="B2073" s="84">
        <v>1820</v>
      </c>
      <c r="C2073" s="83" t="s">
        <v>23</v>
      </c>
      <c r="D2073" s="82" t="s">
        <v>346</v>
      </c>
      <c r="E2073" s="81">
        <v>43889</v>
      </c>
      <c r="F2073" s="27">
        <f t="shared" ca="1" si="33"/>
        <v>584</v>
      </c>
      <c r="G2073" s="79"/>
      <c r="H2073" s="80"/>
      <c r="I2073" s="80"/>
      <c r="J2073" s="79"/>
      <c r="K2073" s="78"/>
      <c r="L2073" s="77">
        <v>43896</v>
      </c>
      <c r="M2073" s="68"/>
      <c r="N2073" s="76" t="s">
        <v>703</v>
      </c>
      <c r="O2073" s="75" t="s">
        <v>55</v>
      </c>
      <c r="R2073" s="74"/>
    </row>
    <row r="2074" spans="2:18" ht="36" hidden="1" customHeight="1" x14ac:dyDescent="0.25">
      <c r="B2074" s="84">
        <v>1820</v>
      </c>
      <c r="C2074" s="83" t="s">
        <v>1786</v>
      </c>
      <c r="D2074" s="82" t="s">
        <v>2926</v>
      </c>
      <c r="E2074" s="81">
        <v>43893</v>
      </c>
      <c r="F2074" s="27">
        <f t="shared" ca="1" si="33"/>
        <v>580</v>
      </c>
      <c r="G2074" s="79"/>
      <c r="H2074" s="80"/>
      <c r="I2074" s="80"/>
      <c r="J2074" s="79"/>
      <c r="K2074" s="78"/>
      <c r="L2074" s="77">
        <v>43896</v>
      </c>
      <c r="M2074" s="68"/>
      <c r="N2074" s="76" t="s">
        <v>703</v>
      </c>
      <c r="O2074" s="75" t="s">
        <v>2927</v>
      </c>
      <c r="R2074" s="74"/>
    </row>
    <row r="2075" spans="2:18" ht="36" hidden="1" customHeight="1" x14ac:dyDescent="0.25">
      <c r="B2075" s="84">
        <v>1820</v>
      </c>
      <c r="C2075" s="83" t="s">
        <v>40</v>
      </c>
      <c r="D2075" s="82" t="s">
        <v>2928</v>
      </c>
      <c r="E2075" s="81">
        <v>43894</v>
      </c>
      <c r="F2075" s="27">
        <f t="shared" ca="1" si="33"/>
        <v>579</v>
      </c>
      <c r="G2075" s="79"/>
      <c r="H2075" s="80"/>
      <c r="I2075" s="80"/>
      <c r="J2075" s="79"/>
      <c r="K2075" s="78"/>
      <c r="L2075" s="77">
        <v>43896</v>
      </c>
      <c r="M2075" s="68"/>
      <c r="N2075" s="76" t="s">
        <v>703</v>
      </c>
      <c r="O2075" s="75" t="s">
        <v>384</v>
      </c>
      <c r="R2075" s="74"/>
    </row>
    <row r="2076" spans="2:18" ht="36" hidden="1" customHeight="1" x14ac:dyDescent="0.25">
      <c r="B2076" s="84">
        <v>1820</v>
      </c>
      <c r="C2076" s="83" t="s">
        <v>19</v>
      </c>
      <c r="D2076" s="82" t="s">
        <v>2931</v>
      </c>
      <c r="E2076" s="81">
        <v>43902</v>
      </c>
      <c r="F2076" s="27">
        <f t="shared" ca="1" si="33"/>
        <v>571</v>
      </c>
      <c r="G2076" s="79"/>
      <c r="H2076" s="80"/>
      <c r="I2076" s="80"/>
      <c r="J2076" s="79"/>
      <c r="K2076" s="78"/>
      <c r="L2076" s="77">
        <v>43916</v>
      </c>
      <c r="M2076" s="68"/>
      <c r="N2076" s="76" t="s">
        <v>2932</v>
      </c>
      <c r="O2076" s="75" t="s">
        <v>2933</v>
      </c>
      <c r="R2076" s="74"/>
    </row>
    <row r="2077" spans="2:18" ht="36" hidden="1" customHeight="1" x14ac:dyDescent="0.25">
      <c r="B2077" s="84">
        <v>1820</v>
      </c>
      <c r="C2077" s="83" t="s">
        <v>30</v>
      </c>
      <c r="D2077" s="82" t="s">
        <v>2934</v>
      </c>
      <c r="E2077" s="81">
        <v>43907</v>
      </c>
      <c r="F2077" s="27">
        <f t="shared" ca="1" si="33"/>
        <v>566</v>
      </c>
      <c r="G2077" s="79"/>
      <c r="H2077" s="80"/>
      <c r="I2077" s="80"/>
      <c r="J2077" s="79"/>
      <c r="K2077" s="78"/>
      <c r="L2077" s="77">
        <v>43916</v>
      </c>
      <c r="M2077" s="68"/>
      <c r="N2077" s="76" t="s">
        <v>2932</v>
      </c>
      <c r="O2077" s="75" t="s">
        <v>2933</v>
      </c>
      <c r="R2077" s="74"/>
    </row>
    <row r="2078" spans="2:18" ht="36" hidden="1" customHeight="1" x14ac:dyDescent="0.25">
      <c r="B2078" s="84">
        <v>1820</v>
      </c>
      <c r="C2078" s="83" t="s">
        <v>19</v>
      </c>
      <c r="D2078" s="82" t="s">
        <v>2935</v>
      </c>
      <c r="E2078" s="81">
        <v>43920</v>
      </c>
      <c r="F2078" s="27">
        <f t="shared" ca="1" si="33"/>
        <v>553</v>
      </c>
      <c r="G2078" s="79"/>
      <c r="H2078" s="80"/>
      <c r="I2078" s="80"/>
      <c r="J2078" s="79"/>
      <c r="K2078" s="78"/>
      <c r="L2078" s="77">
        <v>43916</v>
      </c>
      <c r="M2078" s="68"/>
      <c r="N2078" s="76" t="s">
        <v>2936</v>
      </c>
      <c r="O2078" s="75" t="s">
        <v>2933</v>
      </c>
      <c r="R2078" s="74"/>
    </row>
    <row r="2079" spans="2:18" ht="36" hidden="1" customHeight="1" x14ac:dyDescent="0.25">
      <c r="B2079" s="84">
        <v>1820</v>
      </c>
      <c r="C2079" s="83" t="s">
        <v>31</v>
      </c>
      <c r="D2079" s="82" t="s">
        <v>2929</v>
      </c>
      <c r="E2079" s="81">
        <v>43930</v>
      </c>
      <c r="F2079" s="27">
        <f t="shared" ca="1" si="33"/>
        <v>543</v>
      </c>
      <c r="G2079" s="79"/>
      <c r="H2079" s="80"/>
      <c r="I2079" s="80"/>
      <c r="J2079" s="79"/>
      <c r="K2079" s="78"/>
      <c r="L2079" s="77">
        <v>43935</v>
      </c>
      <c r="M2079" s="68"/>
      <c r="N2079" s="76" t="s">
        <v>2930</v>
      </c>
      <c r="O2079" s="75" t="s">
        <v>2373</v>
      </c>
      <c r="R2079" s="74"/>
    </row>
    <row r="2080" spans="2:18" ht="36" hidden="1" customHeight="1" x14ac:dyDescent="0.25">
      <c r="B2080" s="84">
        <v>1820</v>
      </c>
      <c r="C2080" s="83" t="s">
        <v>15</v>
      </c>
      <c r="D2080" s="82" t="s">
        <v>2937</v>
      </c>
      <c r="E2080" s="81">
        <v>43942</v>
      </c>
      <c r="F2080" s="27">
        <f t="shared" ca="1" si="33"/>
        <v>531</v>
      </c>
      <c r="G2080" s="79"/>
      <c r="H2080" s="80"/>
      <c r="I2080" s="80" t="s">
        <v>206</v>
      </c>
      <c r="J2080" s="79"/>
      <c r="K2080" s="78"/>
      <c r="L2080" s="77">
        <v>43955</v>
      </c>
      <c r="M2080" s="68"/>
      <c r="N2080" s="76" t="s">
        <v>686</v>
      </c>
      <c r="O2080" s="75" t="s">
        <v>2938</v>
      </c>
      <c r="R2080" s="74"/>
    </row>
    <row r="2081" spans="2:18" ht="36" hidden="1" customHeight="1" x14ac:dyDescent="0.25">
      <c r="B2081" s="84">
        <v>1820</v>
      </c>
      <c r="C2081" s="83" t="s">
        <v>19</v>
      </c>
      <c r="D2081" s="82" t="s">
        <v>2939</v>
      </c>
      <c r="E2081" s="81">
        <v>43965</v>
      </c>
      <c r="F2081" s="27">
        <f t="shared" ca="1" si="33"/>
        <v>508</v>
      </c>
      <c r="G2081" s="79"/>
      <c r="H2081" s="80"/>
      <c r="I2081" s="80" t="s">
        <v>206</v>
      </c>
      <c r="J2081" s="79"/>
      <c r="K2081" s="78"/>
      <c r="L2081" s="77">
        <v>43969</v>
      </c>
      <c r="M2081" s="68"/>
      <c r="N2081" s="76" t="s">
        <v>2940</v>
      </c>
      <c r="O2081" s="75"/>
      <c r="R2081" s="74"/>
    </row>
    <row r="2082" spans="2:18" ht="36" hidden="1" customHeight="1" x14ac:dyDescent="0.25">
      <c r="B2082" s="84">
        <v>1820</v>
      </c>
      <c r="C2082" s="83" t="s">
        <v>40</v>
      </c>
      <c r="D2082" s="82" t="s">
        <v>3157</v>
      </c>
      <c r="E2082" s="81">
        <v>43972</v>
      </c>
      <c r="F2082" s="27">
        <f t="shared" ca="1" si="33"/>
        <v>501</v>
      </c>
      <c r="G2082" s="79"/>
      <c r="H2082" s="80"/>
      <c r="I2082" s="80"/>
      <c r="J2082" s="79"/>
      <c r="K2082" s="78"/>
      <c r="L2082" s="77">
        <v>43998</v>
      </c>
      <c r="M2082" s="68"/>
      <c r="N2082" s="76"/>
      <c r="O2082" s="75"/>
      <c r="R2082" s="74"/>
    </row>
    <row r="2083" spans="2:18" ht="36" hidden="1" customHeight="1" x14ac:dyDescent="0.25">
      <c r="B2083" s="84">
        <v>1820</v>
      </c>
      <c r="C2083" s="83" t="s">
        <v>23</v>
      </c>
      <c r="D2083" s="82" t="s">
        <v>3158</v>
      </c>
      <c r="E2083" s="81">
        <v>43999</v>
      </c>
      <c r="F2083" s="27">
        <f t="shared" ca="1" si="33"/>
        <v>474</v>
      </c>
      <c r="G2083" s="79"/>
      <c r="H2083" s="80"/>
      <c r="I2083" s="80"/>
      <c r="J2083" s="79"/>
      <c r="K2083" s="78"/>
      <c r="L2083" s="77">
        <v>44002</v>
      </c>
      <c r="M2083" s="68"/>
      <c r="N2083" s="76"/>
      <c r="O2083" s="75"/>
      <c r="R2083" s="74"/>
    </row>
    <row r="2084" spans="2:18" ht="36" hidden="1" customHeight="1" x14ac:dyDescent="0.25">
      <c r="B2084" s="84">
        <v>1820</v>
      </c>
      <c r="C2084" s="83" t="s">
        <v>23</v>
      </c>
      <c r="D2084" s="82" t="s">
        <v>458</v>
      </c>
      <c r="E2084" s="81">
        <v>44021</v>
      </c>
      <c r="F2084" s="27">
        <f t="shared" ca="1" si="33"/>
        <v>452</v>
      </c>
      <c r="G2084" s="79"/>
      <c r="H2084" s="80"/>
      <c r="I2084" s="80"/>
      <c r="J2084" s="79"/>
      <c r="K2084" s="78"/>
      <c r="L2084" s="77">
        <v>44025</v>
      </c>
      <c r="M2084" s="68"/>
      <c r="N2084" s="76" t="s">
        <v>937</v>
      </c>
      <c r="O2084" s="75" t="s">
        <v>55</v>
      </c>
      <c r="R2084" s="74"/>
    </row>
    <row r="2085" spans="2:18" ht="36" hidden="1" customHeight="1" x14ac:dyDescent="0.25">
      <c r="B2085" s="84">
        <v>1820</v>
      </c>
      <c r="C2085" s="83" t="s">
        <v>19</v>
      </c>
      <c r="D2085" s="82" t="s">
        <v>967</v>
      </c>
      <c r="E2085" s="81">
        <v>44041</v>
      </c>
      <c r="F2085" s="27">
        <f t="shared" ca="1" si="33"/>
        <v>432</v>
      </c>
      <c r="G2085" s="79"/>
      <c r="H2085" s="80"/>
      <c r="I2085" s="80"/>
      <c r="J2085" s="79"/>
      <c r="K2085" s="78"/>
      <c r="L2085" s="77">
        <v>44048</v>
      </c>
      <c r="M2085" s="68"/>
      <c r="N2085" s="76" t="s">
        <v>686</v>
      </c>
      <c r="O2085" s="75"/>
      <c r="R2085" s="74"/>
    </row>
    <row r="2086" spans="2:18" ht="36" hidden="1" customHeight="1" x14ac:dyDescent="0.25">
      <c r="B2086" s="84">
        <v>1820</v>
      </c>
      <c r="C2086" s="83" t="s">
        <v>4434</v>
      </c>
      <c r="D2086" s="82" t="s">
        <v>4455</v>
      </c>
      <c r="E2086" s="81">
        <v>44067</v>
      </c>
      <c r="F2086" s="27">
        <f t="shared" ca="1" si="33"/>
        <v>406</v>
      </c>
      <c r="G2086" s="79"/>
      <c r="H2086" s="80"/>
      <c r="I2086" s="80"/>
      <c r="J2086" s="79"/>
      <c r="K2086" s="78"/>
      <c r="L2086" s="77">
        <v>44068</v>
      </c>
      <c r="M2086" s="68"/>
      <c r="N2086" s="68" t="s">
        <v>4470</v>
      </c>
      <c r="O2086" s="111"/>
      <c r="R2086" s="74"/>
    </row>
    <row r="2087" spans="2:18" ht="36" hidden="1" customHeight="1" x14ac:dyDescent="0.25">
      <c r="B2087" s="84">
        <v>1820</v>
      </c>
      <c r="C2087" s="83" t="s">
        <v>9</v>
      </c>
      <c r="D2087" s="82" t="s">
        <v>4490</v>
      </c>
      <c r="E2087" s="81">
        <v>44071.299305555556</v>
      </c>
      <c r="F2087" s="27">
        <f t="shared" ca="1" si="33"/>
        <v>401.7006944444438</v>
      </c>
      <c r="G2087" s="79"/>
      <c r="H2087" s="80"/>
      <c r="I2087" s="120" t="s">
        <v>206</v>
      </c>
      <c r="J2087" s="79"/>
      <c r="K2087" s="78"/>
      <c r="L2087" s="77">
        <v>44085</v>
      </c>
      <c r="M2087" s="68"/>
      <c r="N2087" s="76" t="s">
        <v>4565</v>
      </c>
      <c r="O2087" s="75"/>
      <c r="R2087" s="74"/>
    </row>
    <row r="2088" spans="2:18" ht="36" hidden="1" customHeight="1" x14ac:dyDescent="0.25">
      <c r="B2088" s="84">
        <v>1820</v>
      </c>
      <c r="C2088" s="83" t="s">
        <v>15</v>
      </c>
      <c r="D2088" s="82" t="s">
        <v>4530</v>
      </c>
      <c r="E2088" s="81">
        <v>44078</v>
      </c>
      <c r="F2088" s="27">
        <f t="shared" ref="F2088:F2119" ca="1" si="34">IF(E2088&lt;&gt;"",TODAY()-E2088,"")</f>
        <v>395</v>
      </c>
      <c r="G2088" s="79"/>
      <c r="H2088" s="80"/>
      <c r="I2088" s="120" t="s">
        <v>206</v>
      </c>
      <c r="J2088" s="79"/>
      <c r="K2088" s="78"/>
      <c r="L2088" s="77">
        <v>44085</v>
      </c>
      <c r="M2088" s="68"/>
      <c r="N2088" s="76" t="s">
        <v>4565</v>
      </c>
      <c r="O2088" s="119"/>
      <c r="R2088" s="74"/>
    </row>
    <row r="2089" spans="2:18" ht="36" hidden="1" customHeight="1" x14ac:dyDescent="0.25">
      <c r="B2089" s="84">
        <v>1820</v>
      </c>
      <c r="C2089" s="83" t="s">
        <v>38</v>
      </c>
      <c r="D2089" s="82" t="s">
        <v>4537</v>
      </c>
      <c r="E2089" s="81">
        <v>44083</v>
      </c>
      <c r="F2089" s="27">
        <f t="shared" ca="1" si="34"/>
        <v>390</v>
      </c>
      <c r="G2089" s="79"/>
      <c r="H2089" s="80"/>
      <c r="I2089" s="120" t="s">
        <v>206</v>
      </c>
      <c r="J2089" s="79"/>
      <c r="K2089" s="78"/>
      <c r="L2089" s="77">
        <v>44085</v>
      </c>
      <c r="M2089" s="68"/>
      <c r="N2089" s="76" t="s">
        <v>4565</v>
      </c>
      <c r="O2089" s="119"/>
      <c r="R2089" s="74"/>
    </row>
    <row r="2090" spans="2:18" ht="36" hidden="1" customHeight="1" x14ac:dyDescent="0.25">
      <c r="B2090" s="84">
        <v>1821</v>
      </c>
      <c r="C2090" s="83" t="s">
        <v>40</v>
      </c>
      <c r="D2090" s="82" t="s">
        <v>3165</v>
      </c>
      <c r="E2090" s="81">
        <v>43840</v>
      </c>
      <c r="F2090" s="27">
        <f t="shared" ca="1" si="34"/>
        <v>633</v>
      </c>
      <c r="G2090" s="79"/>
      <c r="H2090" s="80"/>
      <c r="I2090" s="80"/>
      <c r="J2090" s="79"/>
      <c r="K2090" s="78"/>
      <c r="L2090" s="77">
        <v>43885</v>
      </c>
      <c r="M2090" s="68"/>
      <c r="N2090" s="76" t="s">
        <v>185</v>
      </c>
      <c r="O2090" s="75"/>
      <c r="R2090" s="74"/>
    </row>
    <row r="2091" spans="2:18" ht="36" hidden="1" customHeight="1" x14ac:dyDescent="0.25">
      <c r="B2091" s="84">
        <v>1821</v>
      </c>
      <c r="C2091" s="83" t="s">
        <v>35</v>
      </c>
      <c r="D2091" s="82" t="s">
        <v>3159</v>
      </c>
      <c r="E2091" s="81">
        <v>43843</v>
      </c>
      <c r="F2091" s="27">
        <f t="shared" ca="1" si="34"/>
        <v>630</v>
      </c>
      <c r="G2091" s="79"/>
      <c r="H2091" s="80"/>
      <c r="I2091" s="80"/>
      <c r="J2091" s="79"/>
      <c r="K2091" s="78"/>
      <c r="L2091" s="77">
        <v>43854</v>
      </c>
      <c r="M2091" s="68"/>
      <c r="N2091" s="76"/>
      <c r="O2091" s="75" t="s">
        <v>3160</v>
      </c>
      <c r="R2091" s="74"/>
    </row>
    <row r="2092" spans="2:18" ht="36" hidden="1" customHeight="1" x14ac:dyDescent="0.25">
      <c r="B2092" s="84">
        <v>1821</v>
      </c>
      <c r="C2092" s="83" t="s">
        <v>27</v>
      </c>
      <c r="D2092" s="82" t="s">
        <v>3161</v>
      </c>
      <c r="E2092" s="81">
        <v>43850</v>
      </c>
      <c r="F2092" s="27">
        <f t="shared" ca="1" si="34"/>
        <v>623</v>
      </c>
      <c r="G2092" s="79"/>
      <c r="H2092" s="80"/>
      <c r="I2092" s="80"/>
      <c r="J2092" s="79"/>
      <c r="K2092" s="78"/>
      <c r="L2092" s="77">
        <v>43858</v>
      </c>
      <c r="M2092" s="68"/>
      <c r="N2092" s="76" t="s">
        <v>185</v>
      </c>
      <c r="O2092" s="75" t="s">
        <v>3162</v>
      </c>
      <c r="R2092" s="74"/>
    </row>
    <row r="2093" spans="2:18" ht="36" hidden="1" customHeight="1" x14ac:dyDescent="0.25">
      <c r="B2093" s="84">
        <v>1821</v>
      </c>
      <c r="C2093" s="83" t="s">
        <v>35</v>
      </c>
      <c r="D2093" s="82" t="s">
        <v>3163</v>
      </c>
      <c r="E2093" s="81">
        <v>43854</v>
      </c>
      <c r="F2093" s="27">
        <f t="shared" ca="1" si="34"/>
        <v>619</v>
      </c>
      <c r="G2093" s="79"/>
      <c r="H2093" s="80"/>
      <c r="I2093" s="80"/>
      <c r="J2093" s="79"/>
      <c r="K2093" s="78"/>
      <c r="L2093" s="77">
        <v>43858</v>
      </c>
      <c r="M2093" s="68"/>
      <c r="N2093" s="76" t="s">
        <v>996</v>
      </c>
      <c r="O2093" s="75"/>
      <c r="R2093" s="74"/>
    </row>
    <row r="2094" spans="2:18" ht="36" hidden="1" customHeight="1" x14ac:dyDescent="0.25">
      <c r="B2094" s="84">
        <v>1821</v>
      </c>
      <c r="C2094" s="83" t="s">
        <v>23</v>
      </c>
      <c r="D2094" s="82" t="s">
        <v>3164</v>
      </c>
      <c r="E2094" s="81">
        <v>43868</v>
      </c>
      <c r="F2094" s="27">
        <f t="shared" ca="1" si="34"/>
        <v>605</v>
      </c>
      <c r="G2094" s="79"/>
      <c r="H2094" s="80"/>
      <c r="I2094" s="80"/>
      <c r="J2094" s="79"/>
      <c r="K2094" s="78"/>
      <c r="L2094" s="77">
        <v>43875</v>
      </c>
      <c r="M2094" s="68"/>
      <c r="N2094" s="76" t="s">
        <v>2917</v>
      </c>
      <c r="O2094" s="75"/>
      <c r="R2094" s="74"/>
    </row>
    <row r="2095" spans="2:18" ht="36" hidden="1" customHeight="1" x14ac:dyDescent="0.25">
      <c r="B2095" s="84">
        <v>1821</v>
      </c>
      <c r="C2095" s="83" t="s">
        <v>23</v>
      </c>
      <c r="D2095" s="82" t="s">
        <v>3262</v>
      </c>
      <c r="E2095" s="81">
        <v>43882</v>
      </c>
      <c r="F2095" s="27">
        <f t="shared" ca="1" si="34"/>
        <v>591</v>
      </c>
      <c r="G2095" s="79"/>
      <c r="H2095" s="80"/>
      <c r="I2095" s="80"/>
      <c r="J2095" s="79"/>
      <c r="K2095" s="78"/>
      <c r="L2095" s="77">
        <v>43885</v>
      </c>
      <c r="M2095" s="68"/>
      <c r="N2095" s="76" t="s">
        <v>185</v>
      </c>
      <c r="O2095" s="75"/>
      <c r="R2095" s="74"/>
    </row>
    <row r="2096" spans="2:18" ht="36" hidden="1" customHeight="1" x14ac:dyDescent="0.25">
      <c r="B2096" s="84">
        <v>1821</v>
      </c>
      <c r="C2096" s="83" t="s">
        <v>23</v>
      </c>
      <c r="D2096" s="82" t="s">
        <v>3263</v>
      </c>
      <c r="E2096" s="81">
        <v>43882</v>
      </c>
      <c r="F2096" s="27">
        <f t="shared" ca="1" si="34"/>
        <v>591</v>
      </c>
      <c r="G2096" s="79"/>
      <c r="H2096" s="80"/>
      <c r="I2096" s="80"/>
      <c r="J2096" s="79"/>
      <c r="K2096" s="78"/>
      <c r="L2096" s="77">
        <v>43885</v>
      </c>
      <c r="M2096" s="68"/>
      <c r="N2096" s="76" t="s">
        <v>185</v>
      </c>
      <c r="O2096" s="75"/>
      <c r="R2096" s="74"/>
    </row>
    <row r="2097" spans="2:18" ht="36" hidden="1" customHeight="1" x14ac:dyDescent="0.25">
      <c r="B2097" s="84">
        <v>1821</v>
      </c>
      <c r="C2097" s="83" t="s">
        <v>23</v>
      </c>
      <c r="D2097" s="82" t="s">
        <v>3264</v>
      </c>
      <c r="E2097" s="81">
        <v>43882</v>
      </c>
      <c r="F2097" s="27">
        <f t="shared" ca="1" si="34"/>
        <v>591</v>
      </c>
      <c r="G2097" s="79"/>
      <c r="H2097" s="80"/>
      <c r="I2097" s="80"/>
      <c r="J2097" s="79"/>
      <c r="K2097" s="78"/>
      <c r="L2097" s="77">
        <v>43885</v>
      </c>
      <c r="M2097" s="68"/>
      <c r="N2097" s="76" t="s">
        <v>185</v>
      </c>
      <c r="O2097" s="75"/>
      <c r="R2097" s="74"/>
    </row>
    <row r="2098" spans="2:18" ht="36" hidden="1" customHeight="1" x14ac:dyDescent="0.25">
      <c r="B2098" s="84">
        <v>1821</v>
      </c>
      <c r="C2098" s="83" t="s">
        <v>40</v>
      </c>
      <c r="D2098" s="82" t="s">
        <v>3265</v>
      </c>
      <c r="E2098" s="81">
        <v>43882</v>
      </c>
      <c r="F2098" s="27">
        <f t="shared" ca="1" si="34"/>
        <v>591</v>
      </c>
      <c r="G2098" s="79"/>
      <c r="H2098" s="80"/>
      <c r="I2098" s="80"/>
      <c r="J2098" s="79"/>
      <c r="K2098" s="78"/>
      <c r="L2098" s="77">
        <v>43885</v>
      </c>
      <c r="M2098" s="68"/>
      <c r="N2098" s="76" t="s">
        <v>185</v>
      </c>
      <c r="O2098" s="75" t="s">
        <v>3266</v>
      </c>
      <c r="R2098" s="74"/>
    </row>
    <row r="2099" spans="2:18" ht="36" hidden="1" customHeight="1" x14ac:dyDescent="0.25">
      <c r="B2099" s="84">
        <v>1821</v>
      </c>
      <c r="C2099" s="83" t="s">
        <v>20</v>
      </c>
      <c r="D2099" s="82" t="s">
        <v>3267</v>
      </c>
      <c r="E2099" s="81">
        <v>43885</v>
      </c>
      <c r="F2099" s="27">
        <f t="shared" ca="1" si="34"/>
        <v>588</v>
      </c>
      <c r="G2099" s="79"/>
      <c r="H2099" s="80"/>
      <c r="I2099" s="80"/>
      <c r="J2099" s="79"/>
      <c r="K2099" s="78"/>
      <c r="L2099" s="77">
        <v>43886</v>
      </c>
      <c r="M2099" s="68"/>
      <c r="N2099" s="76" t="s">
        <v>185</v>
      </c>
      <c r="O2099" s="75" t="s">
        <v>3268</v>
      </c>
      <c r="R2099" s="74"/>
    </row>
    <row r="2100" spans="2:18" ht="36" hidden="1" customHeight="1" x14ac:dyDescent="0.25">
      <c r="B2100" s="84">
        <v>1821</v>
      </c>
      <c r="C2100" s="83" t="s">
        <v>16</v>
      </c>
      <c r="D2100" s="82" t="s">
        <v>3269</v>
      </c>
      <c r="E2100" s="81">
        <v>43896</v>
      </c>
      <c r="F2100" s="27">
        <f t="shared" ca="1" si="34"/>
        <v>577</v>
      </c>
      <c r="G2100" s="79"/>
      <c r="H2100" s="80"/>
      <c r="I2100" s="80"/>
      <c r="J2100" s="79"/>
      <c r="K2100" s="78"/>
      <c r="L2100" s="77">
        <v>43896</v>
      </c>
      <c r="M2100" s="68"/>
      <c r="N2100" s="76" t="s">
        <v>3270</v>
      </c>
      <c r="O2100" s="75" t="s">
        <v>3271</v>
      </c>
      <c r="R2100" s="74"/>
    </row>
    <row r="2101" spans="2:18" ht="36" hidden="1" customHeight="1" x14ac:dyDescent="0.25">
      <c r="B2101" s="84">
        <v>1821</v>
      </c>
      <c r="C2101" s="83" t="s">
        <v>38</v>
      </c>
      <c r="D2101" s="82" t="s">
        <v>3272</v>
      </c>
      <c r="E2101" s="81">
        <v>43923</v>
      </c>
      <c r="F2101" s="27">
        <f t="shared" ca="1" si="34"/>
        <v>550</v>
      </c>
      <c r="G2101" s="79"/>
      <c r="H2101" s="80"/>
      <c r="I2101" s="80"/>
      <c r="J2101" s="79"/>
      <c r="K2101" s="78"/>
      <c r="L2101" s="77">
        <v>43932</v>
      </c>
      <c r="M2101" s="68"/>
      <c r="N2101" s="76" t="s">
        <v>3273</v>
      </c>
      <c r="O2101" s="75" t="s">
        <v>3274</v>
      </c>
      <c r="R2101" s="74"/>
    </row>
    <row r="2102" spans="2:18" ht="36" hidden="1" customHeight="1" x14ac:dyDescent="0.25">
      <c r="B2102" s="84">
        <v>1821</v>
      </c>
      <c r="C2102" s="83" t="s">
        <v>23</v>
      </c>
      <c r="D2102" s="82" t="s">
        <v>3275</v>
      </c>
      <c r="E2102" s="81">
        <v>43936</v>
      </c>
      <c r="F2102" s="27">
        <f t="shared" ca="1" si="34"/>
        <v>537</v>
      </c>
      <c r="G2102" s="79"/>
      <c r="H2102" s="80"/>
      <c r="I2102" s="80"/>
      <c r="J2102" s="79"/>
      <c r="K2102" s="78"/>
      <c r="L2102" s="77">
        <v>43948</v>
      </c>
      <c r="M2102" s="68"/>
      <c r="N2102" s="76" t="s">
        <v>185</v>
      </c>
      <c r="O2102" s="75" t="s">
        <v>3276</v>
      </c>
      <c r="R2102" s="74"/>
    </row>
    <row r="2103" spans="2:18" ht="36" hidden="1" customHeight="1" x14ac:dyDescent="0.25">
      <c r="B2103" s="84">
        <v>1821</v>
      </c>
      <c r="C2103" s="83" t="s">
        <v>19</v>
      </c>
      <c r="D2103" s="82" t="s">
        <v>3277</v>
      </c>
      <c r="E2103" s="81">
        <v>43936</v>
      </c>
      <c r="F2103" s="27">
        <f t="shared" ca="1" si="34"/>
        <v>537</v>
      </c>
      <c r="G2103" s="79"/>
      <c r="H2103" s="80"/>
      <c r="I2103" s="80" t="s">
        <v>206</v>
      </c>
      <c r="J2103" s="79"/>
      <c r="K2103" s="78"/>
      <c r="L2103" s="77">
        <v>43955</v>
      </c>
      <c r="M2103" s="68"/>
      <c r="N2103" s="76" t="s">
        <v>686</v>
      </c>
      <c r="O2103" s="75" t="s">
        <v>3278</v>
      </c>
      <c r="R2103" s="74"/>
    </row>
    <row r="2104" spans="2:18" ht="36" hidden="1" customHeight="1" x14ac:dyDescent="0.25">
      <c r="B2104" s="84">
        <v>1821</v>
      </c>
      <c r="C2104" s="83" t="s">
        <v>27</v>
      </c>
      <c r="D2104" s="82" t="s">
        <v>3279</v>
      </c>
      <c r="E2104" s="81">
        <v>43973</v>
      </c>
      <c r="F2104" s="27">
        <f t="shared" ca="1" si="34"/>
        <v>500</v>
      </c>
      <c r="G2104" s="79"/>
      <c r="H2104" s="80"/>
      <c r="I2104" s="80" t="s">
        <v>206</v>
      </c>
      <c r="J2104" s="79"/>
      <c r="K2104" s="78"/>
      <c r="L2104" s="77">
        <v>43973</v>
      </c>
      <c r="M2104" s="68"/>
      <c r="N2104" s="76" t="s">
        <v>185</v>
      </c>
      <c r="O2104" s="75" t="s">
        <v>3280</v>
      </c>
      <c r="R2104" s="74"/>
    </row>
    <row r="2105" spans="2:18" ht="36" hidden="1" customHeight="1" x14ac:dyDescent="0.25">
      <c r="B2105" s="84">
        <v>1821</v>
      </c>
      <c r="C2105" s="83" t="s">
        <v>23</v>
      </c>
      <c r="D2105" s="82" t="s">
        <v>3443</v>
      </c>
      <c r="E2105" s="81">
        <v>43978</v>
      </c>
      <c r="F2105" s="27">
        <f t="shared" ca="1" si="34"/>
        <v>495</v>
      </c>
      <c r="G2105" s="79"/>
      <c r="H2105" s="80"/>
      <c r="I2105" s="80" t="s">
        <v>206</v>
      </c>
      <c r="J2105" s="79"/>
      <c r="K2105" s="78"/>
      <c r="L2105" s="77">
        <v>43978</v>
      </c>
      <c r="M2105" s="68"/>
      <c r="N2105" s="76" t="s">
        <v>1645</v>
      </c>
      <c r="O2105" s="75" t="s">
        <v>2036</v>
      </c>
      <c r="R2105" s="74"/>
    </row>
    <row r="2106" spans="2:18" ht="36" hidden="1" customHeight="1" x14ac:dyDescent="0.25">
      <c r="B2106" s="84">
        <v>1821</v>
      </c>
      <c r="C2106" s="83" t="s">
        <v>31</v>
      </c>
      <c r="D2106" s="82" t="s">
        <v>3447</v>
      </c>
      <c r="E2106" s="81">
        <v>43984</v>
      </c>
      <c r="F2106" s="27">
        <f t="shared" ca="1" si="34"/>
        <v>489</v>
      </c>
      <c r="G2106" s="79"/>
      <c r="H2106" s="80"/>
      <c r="I2106" s="80" t="s">
        <v>278</v>
      </c>
      <c r="J2106" s="79"/>
      <c r="K2106" s="78"/>
      <c r="L2106" s="77">
        <v>43984</v>
      </c>
      <c r="M2106" s="68"/>
      <c r="N2106" s="76" t="s">
        <v>3445</v>
      </c>
      <c r="O2106" s="75" t="s">
        <v>3446</v>
      </c>
      <c r="R2106" s="74"/>
    </row>
    <row r="2107" spans="2:18" ht="36" hidden="1" customHeight="1" x14ac:dyDescent="0.25">
      <c r="B2107" s="84">
        <v>1821</v>
      </c>
      <c r="C2107" s="83" t="s">
        <v>31</v>
      </c>
      <c r="D2107" s="82" t="s">
        <v>3444</v>
      </c>
      <c r="E2107" s="81">
        <v>43985</v>
      </c>
      <c r="F2107" s="27">
        <f t="shared" ca="1" si="34"/>
        <v>488</v>
      </c>
      <c r="G2107" s="79"/>
      <c r="H2107" s="80"/>
      <c r="I2107" s="80" t="s">
        <v>278</v>
      </c>
      <c r="J2107" s="79"/>
      <c r="K2107" s="78"/>
      <c r="L2107" s="77">
        <v>43985</v>
      </c>
      <c r="M2107" s="68"/>
      <c r="N2107" s="76" t="s">
        <v>3445</v>
      </c>
      <c r="O2107" s="75" t="s">
        <v>3446</v>
      </c>
      <c r="R2107" s="74"/>
    </row>
    <row r="2108" spans="2:18" ht="36" hidden="1" customHeight="1" x14ac:dyDescent="0.25">
      <c r="B2108" s="84">
        <v>1821</v>
      </c>
      <c r="C2108" s="83" t="s">
        <v>23</v>
      </c>
      <c r="D2108" s="82" t="s">
        <v>58</v>
      </c>
      <c r="E2108" s="81">
        <v>44011</v>
      </c>
      <c r="F2108" s="27">
        <f t="shared" ca="1" si="34"/>
        <v>462</v>
      </c>
      <c r="G2108" s="79"/>
      <c r="H2108" s="80"/>
      <c r="I2108" s="80"/>
      <c r="J2108" s="79"/>
      <c r="K2108" s="78"/>
      <c r="L2108" s="77">
        <v>44012</v>
      </c>
      <c r="M2108" s="68"/>
      <c r="N2108" s="76" t="s">
        <v>1645</v>
      </c>
      <c r="O2108" s="75"/>
      <c r="R2108" s="74"/>
    </row>
    <row r="2109" spans="2:18" ht="36" hidden="1" customHeight="1" x14ac:dyDescent="0.25">
      <c r="B2109" s="84">
        <v>1821</v>
      </c>
      <c r="C2109" s="83" t="s">
        <v>20</v>
      </c>
      <c r="D2109" s="82" t="s">
        <v>3448</v>
      </c>
      <c r="E2109" s="81">
        <v>44028</v>
      </c>
      <c r="F2109" s="27">
        <f t="shared" ca="1" si="34"/>
        <v>445</v>
      </c>
      <c r="G2109" s="79"/>
      <c r="H2109" s="80"/>
      <c r="I2109" s="80"/>
      <c r="J2109" s="79"/>
      <c r="K2109" s="78"/>
      <c r="L2109" s="77">
        <v>44043</v>
      </c>
      <c r="M2109" s="68"/>
      <c r="N2109" s="76" t="s">
        <v>1645</v>
      </c>
      <c r="O2109" s="75" t="s">
        <v>3449</v>
      </c>
      <c r="R2109" s="74"/>
    </row>
    <row r="2110" spans="2:18" ht="36" hidden="1" customHeight="1" x14ac:dyDescent="0.25">
      <c r="B2110" s="84">
        <v>1821</v>
      </c>
      <c r="C2110" s="83" t="s">
        <v>23</v>
      </c>
      <c r="D2110" s="82" t="s">
        <v>4542</v>
      </c>
      <c r="E2110" s="81">
        <v>44083.699131944442</v>
      </c>
      <c r="F2110" s="27">
        <f t="shared" ca="1" si="34"/>
        <v>389.30086805555766</v>
      </c>
      <c r="G2110" s="79"/>
      <c r="H2110" s="80"/>
      <c r="I2110" s="120" t="s">
        <v>206</v>
      </c>
      <c r="J2110" s="79"/>
      <c r="K2110" s="78"/>
      <c r="L2110" s="77">
        <v>44084</v>
      </c>
      <c r="M2110" s="68"/>
      <c r="N2110" s="76" t="s">
        <v>937</v>
      </c>
      <c r="O2110" s="119" t="s">
        <v>4107</v>
      </c>
      <c r="R2110" s="74"/>
    </row>
    <row r="2111" spans="2:18" ht="36" hidden="1" customHeight="1" x14ac:dyDescent="0.25">
      <c r="B2111" s="84">
        <v>1821</v>
      </c>
      <c r="C2111" s="83" t="s">
        <v>23</v>
      </c>
      <c r="D2111" s="82" t="s">
        <v>4543</v>
      </c>
      <c r="E2111" s="81">
        <v>44084</v>
      </c>
      <c r="F2111" s="27">
        <f t="shared" ca="1" si="34"/>
        <v>389</v>
      </c>
      <c r="G2111" s="79"/>
      <c r="H2111" s="80"/>
      <c r="I2111" s="120" t="s">
        <v>206</v>
      </c>
      <c r="J2111" s="79"/>
      <c r="K2111" s="78"/>
      <c r="L2111" s="77">
        <v>44084</v>
      </c>
      <c r="M2111" s="68"/>
      <c r="N2111" s="76" t="s">
        <v>937</v>
      </c>
      <c r="O2111" s="119" t="s">
        <v>51</v>
      </c>
      <c r="R2111" s="74"/>
    </row>
    <row r="2112" spans="2:18" ht="36" hidden="1" customHeight="1" x14ac:dyDescent="0.25">
      <c r="B2112" s="84">
        <v>1822</v>
      </c>
      <c r="C2112" s="83" t="s">
        <v>40</v>
      </c>
      <c r="D2112" s="82" t="s">
        <v>3453</v>
      </c>
      <c r="E2112" s="81">
        <v>43840</v>
      </c>
      <c r="F2112" s="27">
        <f t="shared" ca="1" si="34"/>
        <v>633</v>
      </c>
      <c r="G2112" s="79"/>
      <c r="H2112" s="80"/>
      <c r="I2112" s="80"/>
      <c r="J2112" s="79"/>
      <c r="K2112" s="78"/>
      <c r="L2112" s="77">
        <v>43892</v>
      </c>
      <c r="M2112" s="68"/>
      <c r="N2112" s="76" t="s">
        <v>185</v>
      </c>
      <c r="O2112" s="75" t="s">
        <v>3454</v>
      </c>
      <c r="R2112" s="74"/>
    </row>
    <row r="2113" spans="2:18" ht="36" hidden="1" customHeight="1" x14ac:dyDescent="0.25">
      <c r="B2113" s="84">
        <v>1822</v>
      </c>
      <c r="C2113" s="83" t="s">
        <v>18</v>
      </c>
      <c r="D2113" s="82" t="s">
        <v>3450</v>
      </c>
      <c r="E2113" s="81">
        <v>43861</v>
      </c>
      <c r="F2113" s="27">
        <f t="shared" ca="1" si="34"/>
        <v>612</v>
      </c>
      <c r="G2113" s="79"/>
      <c r="H2113" s="80"/>
      <c r="I2113" s="80"/>
      <c r="J2113" s="79"/>
      <c r="K2113" s="78"/>
      <c r="L2113" s="77">
        <v>43865</v>
      </c>
      <c r="M2113" s="68"/>
      <c r="N2113" s="76" t="s">
        <v>3451</v>
      </c>
      <c r="O2113" s="75" t="s">
        <v>3452</v>
      </c>
      <c r="R2113" s="74"/>
    </row>
    <row r="2114" spans="2:18" ht="36" hidden="1" customHeight="1" x14ac:dyDescent="0.25">
      <c r="B2114" s="84">
        <v>1822</v>
      </c>
      <c r="C2114" s="83" t="s">
        <v>16</v>
      </c>
      <c r="D2114" s="82" t="s">
        <v>3455</v>
      </c>
      <c r="E2114" s="81">
        <v>43894</v>
      </c>
      <c r="F2114" s="27">
        <f t="shared" ca="1" si="34"/>
        <v>579</v>
      </c>
      <c r="G2114" s="79"/>
      <c r="H2114" s="80"/>
      <c r="I2114" s="80"/>
      <c r="J2114" s="79"/>
      <c r="K2114" s="78"/>
      <c r="L2114" s="77">
        <v>43896</v>
      </c>
      <c r="M2114" s="68"/>
      <c r="N2114" s="76" t="s">
        <v>3456</v>
      </c>
      <c r="O2114" s="75" t="s">
        <v>3457</v>
      </c>
      <c r="R2114" s="74"/>
    </row>
    <row r="2115" spans="2:18" ht="36" hidden="1" customHeight="1" x14ac:dyDescent="0.25">
      <c r="B2115" s="84">
        <v>1822</v>
      </c>
      <c r="C2115" s="83" t="s">
        <v>15</v>
      </c>
      <c r="D2115" s="82" t="s">
        <v>3458</v>
      </c>
      <c r="E2115" s="81">
        <v>43903</v>
      </c>
      <c r="F2115" s="27">
        <f t="shared" ca="1" si="34"/>
        <v>570</v>
      </c>
      <c r="G2115" s="79"/>
      <c r="H2115" s="80"/>
      <c r="I2115" s="80"/>
      <c r="J2115" s="79"/>
      <c r="K2115" s="78"/>
      <c r="L2115" s="77">
        <v>43928</v>
      </c>
      <c r="M2115" s="68"/>
      <c r="N2115" s="76" t="s">
        <v>3459</v>
      </c>
      <c r="O2115" s="75" t="s">
        <v>3460</v>
      </c>
      <c r="R2115" s="74"/>
    </row>
    <row r="2116" spans="2:18" ht="36" hidden="1" customHeight="1" x14ac:dyDescent="0.25">
      <c r="B2116" s="84">
        <v>1822</v>
      </c>
      <c r="C2116" s="83" t="s">
        <v>23</v>
      </c>
      <c r="D2116" s="82" t="s">
        <v>58</v>
      </c>
      <c r="E2116" s="81">
        <v>43908</v>
      </c>
      <c r="F2116" s="27">
        <f t="shared" ca="1" si="34"/>
        <v>565</v>
      </c>
      <c r="G2116" s="79"/>
      <c r="H2116" s="80"/>
      <c r="I2116" s="80"/>
      <c r="J2116" s="79"/>
      <c r="K2116" s="78"/>
      <c r="L2116" s="77">
        <v>43928</v>
      </c>
      <c r="M2116" s="68"/>
      <c r="N2116" s="76" t="s">
        <v>3459</v>
      </c>
      <c r="O2116" s="75" t="s">
        <v>3461</v>
      </c>
      <c r="R2116" s="74"/>
    </row>
    <row r="2117" spans="2:18" ht="36" hidden="1" customHeight="1" x14ac:dyDescent="0.25">
      <c r="B2117" s="84">
        <v>1822</v>
      </c>
      <c r="C2117" s="83" t="s">
        <v>19</v>
      </c>
      <c r="D2117" s="82" t="s">
        <v>3466</v>
      </c>
      <c r="E2117" s="81">
        <v>43921</v>
      </c>
      <c r="F2117" s="27">
        <f t="shared" ca="1" si="34"/>
        <v>552</v>
      </c>
      <c r="G2117" s="79"/>
      <c r="H2117" s="80"/>
      <c r="I2117" s="80"/>
      <c r="J2117" s="79"/>
      <c r="K2117" s="78"/>
      <c r="L2117" s="77">
        <v>43916</v>
      </c>
      <c r="M2117" s="68"/>
      <c r="N2117" s="76" t="s">
        <v>3459</v>
      </c>
      <c r="O2117" s="75" t="s">
        <v>2933</v>
      </c>
      <c r="R2117" s="74"/>
    </row>
    <row r="2118" spans="2:18" ht="36" hidden="1" customHeight="1" x14ac:dyDescent="0.25">
      <c r="B2118" s="84">
        <v>1822</v>
      </c>
      <c r="C2118" s="83" t="s">
        <v>40</v>
      </c>
      <c r="D2118" s="82" t="s">
        <v>3462</v>
      </c>
      <c r="E2118" s="81">
        <v>43922</v>
      </c>
      <c r="F2118" s="27">
        <f t="shared" ca="1" si="34"/>
        <v>551</v>
      </c>
      <c r="G2118" s="79"/>
      <c r="H2118" s="80"/>
      <c r="I2118" s="80"/>
      <c r="J2118" s="79"/>
      <c r="K2118" s="78"/>
      <c r="L2118" s="77">
        <v>43928</v>
      </c>
      <c r="M2118" s="68"/>
      <c r="N2118" s="76" t="s">
        <v>3459</v>
      </c>
      <c r="O2118" s="75" t="s">
        <v>3463</v>
      </c>
      <c r="R2118" s="74"/>
    </row>
    <row r="2119" spans="2:18" ht="36" hidden="1" customHeight="1" x14ac:dyDescent="0.25">
      <c r="B2119" s="84">
        <v>1822</v>
      </c>
      <c r="C2119" s="83" t="s">
        <v>18</v>
      </c>
      <c r="D2119" s="82" t="s">
        <v>3464</v>
      </c>
      <c r="E2119" s="81">
        <v>43930</v>
      </c>
      <c r="F2119" s="27">
        <f t="shared" ca="1" si="34"/>
        <v>543</v>
      </c>
      <c r="G2119" s="79"/>
      <c r="H2119" s="80"/>
      <c r="I2119" s="80"/>
      <c r="J2119" s="79"/>
      <c r="K2119" s="78"/>
      <c r="L2119" s="77">
        <v>43938</v>
      </c>
      <c r="M2119" s="68"/>
      <c r="N2119" s="76" t="s">
        <v>686</v>
      </c>
      <c r="O2119" s="75" t="s">
        <v>3465</v>
      </c>
      <c r="R2119" s="74"/>
    </row>
    <row r="2120" spans="2:18" ht="36" hidden="1" customHeight="1" x14ac:dyDescent="0.25">
      <c r="B2120" s="84">
        <v>1822</v>
      </c>
      <c r="C2120" s="83" t="s">
        <v>40</v>
      </c>
      <c r="D2120" s="82" t="s">
        <v>3467</v>
      </c>
      <c r="E2120" s="81">
        <v>43938</v>
      </c>
      <c r="F2120" s="27">
        <f t="shared" ref="F2120:F2151" ca="1" si="35">IF(E2120&lt;&gt;"",TODAY()-E2120,"")</f>
        <v>535</v>
      </c>
      <c r="G2120" s="79"/>
      <c r="H2120" s="80"/>
      <c r="I2120" s="80"/>
      <c r="J2120" s="79"/>
      <c r="K2120" s="78"/>
      <c r="L2120" s="77">
        <v>43951</v>
      </c>
      <c r="M2120" s="68"/>
      <c r="N2120" s="76" t="s">
        <v>688</v>
      </c>
      <c r="O2120" s="75" t="s">
        <v>540</v>
      </c>
      <c r="R2120" s="74"/>
    </row>
    <row r="2121" spans="2:18" ht="36" hidden="1" customHeight="1" x14ac:dyDescent="0.25">
      <c r="B2121" s="84">
        <v>1822</v>
      </c>
      <c r="C2121" s="83" t="s">
        <v>19</v>
      </c>
      <c r="D2121" s="82" t="s">
        <v>967</v>
      </c>
      <c r="E2121" s="81">
        <v>43938</v>
      </c>
      <c r="F2121" s="27">
        <f t="shared" ca="1" si="35"/>
        <v>535</v>
      </c>
      <c r="G2121" s="79"/>
      <c r="H2121" s="80"/>
      <c r="I2121" s="80"/>
      <c r="J2121" s="79"/>
      <c r="K2121" s="78"/>
      <c r="L2121" s="77">
        <v>43951</v>
      </c>
      <c r="M2121" s="68"/>
      <c r="N2121" s="76" t="s">
        <v>688</v>
      </c>
      <c r="O2121" s="75"/>
      <c r="R2121" s="74"/>
    </row>
    <row r="2122" spans="2:18" ht="36" hidden="1" customHeight="1" x14ac:dyDescent="0.25">
      <c r="B2122" s="84">
        <v>1822</v>
      </c>
      <c r="C2122" s="83" t="s">
        <v>33</v>
      </c>
      <c r="D2122" s="82" t="s">
        <v>3468</v>
      </c>
      <c r="E2122" s="81">
        <v>43987</v>
      </c>
      <c r="F2122" s="27">
        <f t="shared" ca="1" si="35"/>
        <v>486</v>
      </c>
      <c r="G2122" s="79"/>
      <c r="H2122" s="80"/>
      <c r="I2122" s="80"/>
      <c r="J2122" s="79"/>
      <c r="K2122" s="78"/>
      <c r="L2122" s="77">
        <v>43997</v>
      </c>
      <c r="M2122" s="68"/>
      <c r="N2122" s="76" t="s">
        <v>3469</v>
      </c>
      <c r="O2122" s="75"/>
      <c r="R2122" s="74"/>
    </row>
    <row r="2123" spans="2:18" ht="36" hidden="1" customHeight="1" x14ac:dyDescent="0.25">
      <c r="B2123" s="84">
        <v>1822</v>
      </c>
      <c r="C2123" s="83" t="s">
        <v>40</v>
      </c>
      <c r="D2123" s="82" t="s">
        <v>3666</v>
      </c>
      <c r="E2123" s="81">
        <v>43992</v>
      </c>
      <c r="F2123" s="27">
        <f t="shared" ca="1" si="35"/>
        <v>481</v>
      </c>
      <c r="G2123" s="79"/>
      <c r="H2123" s="80"/>
      <c r="I2123" s="80"/>
      <c r="J2123" s="79"/>
      <c r="K2123" s="78"/>
      <c r="L2123" s="77">
        <v>43997</v>
      </c>
      <c r="M2123" s="68"/>
      <c r="N2123" s="76" t="s">
        <v>3469</v>
      </c>
      <c r="O2123" s="75"/>
      <c r="R2123" s="74"/>
    </row>
    <row r="2124" spans="2:18" ht="36" hidden="1" customHeight="1" x14ac:dyDescent="0.25">
      <c r="B2124" s="84">
        <v>1822</v>
      </c>
      <c r="C2124" s="83" t="s">
        <v>19</v>
      </c>
      <c r="D2124" s="82" t="s">
        <v>3667</v>
      </c>
      <c r="E2124" s="81">
        <v>43994</v>
      </c>
      <c r="F2124" s="27">
        <f t="shared" ca="1" si="35"/>
        <v>479</v>
      </c>
      <c r="G2124" s="79"/>
      <c r="H2124" s="80"/>
      <c r="I2124" s="80"/>
      <c r="J2124" s="79"/>
      <c r="K2124" s="78"/>
      <c r="L2124" s="77">
        <v>43997</v>
      </c>
      <c r="M2124" s="68"/>
      <c r="N2124" s="76" t="s">
        <v>3469</v>
      </c>
      <c r="O2124" s="75"/>
      <c r="R2124" s="74"/>
    </row>
    <row r="2125" spans="2:18" ht="36" hidden="1" customHeight="1" x14ac:dyDescent="0.25">
      <c r="B2125" s="84">
        <v>1822</v>
      </c>
      <c r="C2125" s="83" t="s">
        <v>17</v>
      </c>
      <c r="D2125" s="82" t="s">
        <v>3668</v>
      </c>
      <c r="E2125" s="81">
        <v>44035</v>
      </c>
      <c r="F2125" s="27">
        <f t="shared" ca="1" si="35"/>
        <v>438</v>
      </c>
      <c r="G2125" s="79"/>
      <c r="H2125" s="80"/>
      <c r="I2125" s="80"/>
      <c r="J2125" s="79"/>
      <c r="K2125" s="78"/>
      <c r="L2125" s="77">
        <v>44036</v>
      </c>
      <c r="M2125" s="68"/>
      <c r="N2125" s="76" t="s">
        <v>185</v>
      </c>
      <c r="O2125" s="75" t="s">
        <v>3669</v>
      </c>
      <c r="R2125" s="74"/>
    </row>
    <row r="2126" spans="2:18" ht="36" hidden="1" customHeight="1" x14ac:dyDescent="0.25">
      <c r="B2126" s="84">
        <v>1822</v>
      </c>
      <c r="C2126" s="83" t="s">
        <v>15</v>
      </c>
      <c r="D2126" s="82" t="s">
        <v>1714</v>
      </c>
      <c r="E2126" s="81">
        <v>44035</v>
      </c>
      <c r="F2126" s="27">
        <f t="shared" ca="1" si="35"/>
        <v>438</v>
      </c>
      <c r="G2126" s="79"/>
      <c r="H2126" s="80"/>
      <c r="I2126" s="80"/>
      <c r="J2126" s="79"/>
      <c r="K2126" s="78"/>
      <c r="L2126" s="77">
        <v>44036</v>
      </c>
      <c r="M2126" s="68"/>
      <c r="N2126" s="76" t="s">
        <v>185</v>
      </c>
      <c r="O2126" s="75" t="s">
        <v>1281</v>
      </c>
      <c r="R2126" s="74"/>
    </row>
    <row r="2127" spans="2:18" ht="36" hidden="1" customHeight="1" x14ac:dyDescent="0.25">
      <c r="B2127" s="84">
        <v>1822</v>
      </c>
      <c r="C2127" s="83" t="s">
        <v>11</v>
      </c>
      <c r="D2127" s="82" t="s">
        <v>3670</v>
      </c>
      <c r="E2127" s="81">
        <v>44035</v>
      </c>
      <c r="F2127" s="27">
        <f t="shared" ca="1" si="35"/>
        <v>438</v>
      </c>
      <c r="G2127" s="79"/>
      <c r="H2127" s="80"/>
      <c r="I2127" s="80"/>
      <c r="J2127" s="79"/>
      <c r="K2127" s="78"/>
      <c r="L2127" s="77">
        <v>44036</v>
      </c>
      <c r="M2127" s="68"/>
      <c r="N2127" s="76" t="s">
        <v>185</v>
      </c>
      <c r="O2127" s="75" t="s">
        <v>3671</v>
      </c>
      <c r="R2127" s="74"/>
    </row>
    <row r="2128" spans="2:18" ht="36" hidden="1" customHeight="1" x14ac:dyDescent="0.25">
      <c r="B2128" s="84">
        <v>1822</v>
      </c>
      <c r="C2128" s="83" t="s">
        <v>40</v>
      </c>
      <c r="D2128" s="82" t="s">
        <v>2003</v>
      </c>
      <c r="E2128" s="81">
        <v>44041</v>
      </c>
      <c r="F2128" s="27">
        <f t="shared" ca="1" si="35"/>
        <v>432</v>
      </c>
      <c r="G2128" s="79"/>
      <c r="H2128" s="80"/>
      <c r="I2128" s="80"/>
      <c r="J2128" s="79"/>
      <c r="K2128" s="78"/>
      <c r="L2128" s="77">
        <v>44042</v>
      </c>
      <c r="M2128" s="68"/>
      <c r="N2128" s="76" t="s">
        <v>2019</v>
      </c>
      <c r="O2128" s="75"/>
      <c r="R2128" s="74"/>
    </row>
    <row r="2129" spans="2:18" ht="36" hidden="1" customHeight="1" x14ac:dyDescent="0.25">
      <c r="B2129" s="84">
        <v>1822</v>
      </c>
      <c r="C2129" s="83" t="s">
        <v>10</v>
      </c>
      <c r="D2129" s="82" t="s">
        <v>4280</v>
      </c>
      <c r="E2129" s="81">
        <v>44057</v>
      </c>
      <c r="F2129" s="27">
        <f t="shared" ca="1" si="35"/>
        <v>416</v>
      </c>
      <c r="G2129" s="79"/>
      <c r="H2129" s="80"/>
      <c r="I2129" s="80"/>
      <c r="J2129" s="79"/>
      <c r="K2129" s="78"/>
      <c r="L2129" s="77">
        <v>44061</v>
      </c>
      <c r="M2129" s="68"/>
      <c r="N2129" s="111" t="s">
        <v>4452</v>
      </c>
      <c r="O2129" s="76" t="s">
        <v>1087</v>
      </c>
      <c r="R2129" s="74"/>
    </row>
    <row r="2130" spans="2:18" ht="36" hidden="1" customHeight="1" x14ac:dyDescent="0.25">
      <c r="B2130" s="84">
        <v>1822</v>
      </c>
      <c r="C2130" s="83" t="s">
        <v>4424</v>
      </c>
      <c r="D2130" s="82" t="s">
        <v>4282</v>
      </c>
      <c r="E2130" s="81">
        <v>44057</v>
      </c>
      <c r="F2130" s="27">
        <f t="shared" ca="1" si="35"/>
        <v>416</v>
      </c>
      <c r="G2130" s="79"/>
      <c r="H2130" s="80"/>
      <c r="I2130" s="80"/>
      <c r="J2130" s="79"/>
      <c r="K2130" s="78"/>
      <c r="L2130" s="77">
        <v>44061</v>
      </c>
      <c r="M2130" s="68"/>
      <c r="N2130" s="111" t="s">
        <v>4281</v>
      </c>
      <c r="O2130" s="68" t="s">
        <v>4453</v>
      </c>
      <c r="R2130" s="74"/>
    </row>
    <row r="2131" spans="2:18" ht="36" hidden="1" customHeight="1" x14ac:dyDescent="0.25">
      <c r="B2131" s="84">
        <v>1822</v>
      </c>
      <c r="C2131" s="83" t="s">
        <v>4424</v>
      </c>
      <c r="D2131" s="82" t="s">
        <v>4283</v>
      </c>
      <c r="E2131" s="81">
        <v>44057</v>
      </c>
      <c r="F2131" s="27">
        <f t="shared" ca="1" si="35"/>
        <v>416</v>
      </c>
      <c r="G2131" s="79"/>
      <c r="H2131" s="80"/>
      <c r="I2131" s="80"/>
      <c r="J2131" s="79"/>
      <c r="K2131" s="78"/>
      <c r="L2131" s="77">
        <v>44061</v>
      </c>
      <c r="M2131" s="68"/>
      <c r="N2131" s="111" t="s">
        <v>4281</v>
      </c>
      <c r="O2131" s="68" t="s">
        <v>1589</v>
      </c>
      <c r="R2131" s="74"/>
    </row>
    <row r="2132" spans="2:18" ht="36" hidden="1" customHeight="1" x14ac:dyDescent="0.25">
      <c r="B2132" s="84">
        <v>1823</v>
      </c>
      <c r="C2132" s="83" t="s">
        <v>40</v>
      </c>
      <c r="D2132" s="82" t="s">
        <v>3453</v>
      </c>
      <c r="E2132" s="81">
        <v>43840</v>
      </c>
      <c r="F2132" s="27">
        <f t="shared" ca="1" si="35"/>
        <v>633</v>
      </c>
      <c r="G2132" s="79"/>
      <c r="H2132" s="80"/>
      <c r="I2132" s="80"/>
      <c r="J2132" s="79"/>
      <c r="K2132" s="78"/>
      <c r="L2132" s="77">
        <v>43842</v>
      </c>
      <c r="M2132" s="68"/>
      <c r="N2132" s="76" t="s">
        <v>185</v>
      </c>
      <c r="O2132" s="75"/>
      <c r="R2132" s="74"/>
    </row>
    <row r="2133" spans="2:18" ht="36" hidden="1" customHeight="1" x14ac:dyDescent="0.25">
      <c r="B2133" s="84">
        <v>1823</v>
      </c>
      <c r="C2133" s="83" t="s">
        <v>20</v>
      </c>
      <c r="D2133" s="82" t="s">
        <v>3672</v>
      </c>
      <c r="E2133" s="81">
        <v>43840</v>
      </c>
      <c r="F2133" s="27">
        <f t="shared" ca="1" si="35"/>
        <v>633</v>
      </c>
      <c r="G2133" s="79"/>
      <c r="H2133" s="80"/>
      <c r="I2133" s="80"/>
      <c r="J2133" s="79"/>
      <c r="K2133" s="78"/>
      <c r="L2133" s="77">
        <v>43842</v>
      </c>
      <c r="M2133" s="68"/>
      <c r="N2133" s="76" t="s">
        <v>3673</v>
      </c>
      <c r="O2133" s="75" t="s">
        <v>3674</v>
      </c>
      <c r="R2133" s="74"/>
    </row>
    <row r="2134" spans="2:18" ht="36" hidden="1" customHeight="1" x14ac:dyDescent="0.25">
      <c r="B2134" s="84">
        <v>1823</v>
      </c>
      <c r="C2134" s="83" t="s">
        <v>19</v>
      </c>
      <c r="D2134" s="82" t="s">
        <v>3675</v>
      </c>
      <c r="E2134" s="81">
        <v>43840</v>
      </c>
      <c r="F2134" s="27">
        <f t="shared" ca="1" si="35"/>
        <v>633</v>
      </c>
      <c r="G2134" s="79"/>
      <c r="H2134" s="80"/>
      <c r="I2134" s="80"/>
      <c r="J2134" s="79"/>
      <c r="K2134" s="78"/>
      <c r="L2134" s="77">
        <v>43842</v>
      </c>
      <c r="M2134" s="68"/>
      <c r="N2134" s="76" t="s">
        <v>3673</v>
      </c>
      <c r="O2134" s="75" t="s">
        <v>3676</v>
      </c>
      <c r="R2134" s="74"/>
    </row>
    <row r="2135" spans="2:18" ht="36" hidden="1" customHeight="1" x14ac:dyDescent="0.25">
      <c r="B2135" s="84">
        <v>1823</v>
      </c>
      <c r="C2135" s="83" t="s">
        <v>23</v>
      </c>
      <c r="D2135" s="82" t="s">
        <v>3677</v>
      </c>
      <c r="E2135" s="81">
        <v>43857</v>
      </c>
      <c r="F2135" s="27">
        <f t="shared" ca="1" si="35"/>
        <v>616</v>
      </c>
      <c r="G2135" s="79"/>
      <c r="H2135" s="80"/>
      <c r="I2135" s="80"/>
      <c r="J2135" s="79"/>
      <c r="K2135" s="78"/>
      <c r="L2135" s="77">
        <v>43857</v>
      </c>
      <c r="M2135" s="68"/>
      <c r="N2135" s="76"/>
      <c r="O2135" s="75" t="s">
        <v>3678</v>
      </c>
      <c r="R2135" s="74"/>
    </row>
    <row r="2136" spans="2:18" ht="36" hidden="1" customHeight="1" x14ac:dyDescent="0.25">
      <c r="B2136" s="84">
        <v>1823</v>
      </c>
      <c r="C2136" s="83" t="s">
        <v>40</v>
      </c>
      <c r="D2136" s="82" t="s">
        <v>3681</v>
      </c>
      <c r="E2136" s="81">
        <v>43857</v>
      </c>
      <c r="F2136" s="27">
        <f t="shared" ca="1" si="35"/>
        <v>616</v>
      </c>
      <c r="G2136" s="79"/>
      <c r="H2136" s="80"/>
      <c r="I2136" s="80"/>
      <c r="J2136" s="79"/>
      <c r="K2136" s="78"/>
      <c r="L2136" s="77">
        <v>43916</v>
      </c>
      <c r="M2136" s="68"/>
      <c r="N2136" s="76" t="s">
        <v>185</v>
      </c>
      <c r="O2136" s="75" t="s">
        <v>3682</v>
      </c>
      <c r="R2136" s="74"/>
    </row>
    <row r="2137" spans="2:18" ht="36" hidden="1" customHeight="1" x14ac:dyDescent="0.25">
      <c r="B2137" s="84">
        <v>1823</v>
      </c>
      <c r="C2137" s="83" t="s">
        <v>19</v>
      </c>
      <c r="D2137" s="82" t="s">
        <v>967</v>
      </c>
      <c r="E2137" s="81">
        <v>43867</v>
      </c>
      <c r="F2137" s="27">
        <f t="shared" ca="1" si="35"/>
        <v>606</v>
      </c>
      <c r="G2137" s="79"/>
      <c r="H2137" s="80"/>
      <c r="I2137" s="80"/>
      <c r="J2137" s="79"/>
      <c r="K2137" s="78"/>
      <c r="L2137" s="77">
        <v>43916</v>
      </c>
      <c r="M2137" s="68"/>
      <c r="N2137" s="76" t="s">
        <v>185</v>
      </c>
      <c r="O2137" s="75" t="s">
        <v>3683</v>
      </c>
      <c r="R2137" s="74"/>
    </row>
    <row r="2138" spans="2:18" ht="36" hidden="1" customHeight="1" x14ac:dyDescent="0.25">
      <c r="B2138" s="84">
        <v>1823</v>
      </c>
      <c r="C2138" s="83" t="s">
        <v>18</v>
      </c>
      <c r="D2138" s="82" t="s">
        <v>3679</v>
      </c>
      <c r="E2138" s="81">
        <v>43889</v>
      </c>
      <c r="F2138" s="27">
        <f t="shared" ca="1" si="35"/>
        <v>584</v>
      </c>
      <c r="G2138" s="79"/>
      <c r="H2138" s="80"/>
      <c r="I2138" s="80"/>
      <c r="J2138" s="79"/>
      <c r="K2138" s="78"/>
      <c r="L2138" s="77">
        <v>43892</v>
      </c>
      <c r="M2138" s="68"/>
      <c r="N2138" s="76" t="s">
        <v>1167</v>
      </c>
      <c r="O2138" s="75" t="s">
        <v>3680</v>
      </c>
      <c r="R2138" s="74"/>
    </row>
    <row r="2139" spans="2:18" ht="36" hidden="1" customHeight="1" x14ac:dyDescent="0.25">
      <c r="B2139" s="84">
        <v>1823</v>
      </c>
      <c r="C2139" s="83" t="s">
        <v>17</v>
      </c>
      <c r="D2139" s="82" t="s">
        <v>3694</v>
      </c>
      <c r="E2139" s="81">
        <v>43901</v>
      </c>
      <c r="F2139" s="27">
        <f t="shared" ca="1" si="35"/>
        <v>572</v>
      </c>
      <c r="G2139" s="79"/>
      <c r="H2139" s="80"/>
      <c r="I2139" s="80" t="s">
        <v>206</v>
      </c>
      <c r="J2139" s="79"/>
      <c r="K2139" s="78"/>
      <c r="L2139" s="77">
        <v>43964</v>
      </c>
      <c r="M2139" s="68"/>
      <c r="N2139" s="76" t="s">
        <v>3695</v>
      </c>
      <c r="O2139" s="75" t="s">
        <v>3696</v>
      </c>
      <c r="R2139" s="74"/>
    </row>
    <row r="2140" spans="2:18" ht="36" hidden="1" customHeight="1" x14ac:dyDescent="0.25">
      <c r="B2140" s="84">
        <v>1823</v>
      </c>
      <c r="C2140" s="83" t="s">
        <v>40</v>
      </c>
      <c r="D2140" s="82" t="s">
        <v>3684</v>
      </c>
      <c r="E2140" s="81">
        <v>43915</v>
      </c>
      <c r="F2140" s="27">
        <f t="shared" ca="1" si="35"/>
        <v>558</v>
      </c>
      <c r="G2140" s="79"/>
      <c r="H2140" s="80"/>
      <c r="I2140" s="80"/>
      <c r="J2140" s="79"/>
      <c r="K2140" s="78"/>
      <c r="L2140" s="77">
        <v>43916</v>
      </c>
      <c r="M2140" s="68"/>
      <c r="N2140" s="76" t="s">
        <v>185</v>
      </c>
      <c r="O2140" s="75" t="s">
        <v>3685</v>
      </c>
      <c r="R2140" s="74"/>
    </row>
    <row r="2141" spans="2:18" ht="36" hidden="1" customHeight="1" x14ac:dyDescent="0.25">
      <c r="B2141" s="84">
        <v>1823</v>
      </c>
      <c r="C2141" s="83" t="s">
        <v>23</v>
      </c>
      <c r="D2141" s="82" t="s">
        <v>3686</v>
      </c>
      <c r="E2141" s="81">
        <v>43916</v>
      </c>
      <c r="F2141" s="27">
        <f t="shared" ca="1" si="35"/>
        <v>557</v>
      </c>
      <c r="G2141" s="79"/>
      <c r="H2141" s="80"/>
      <c r="I2141" s="80"/>
      <c r="J2141" s="79"/>
      <c r="K2141" s="78"/>
      <c r="L2141" s="77">
        <v>43916</v>
      </c>
      <c r="M2141" s="68"/>
      <c r="N2141" s="76" t="s">
        <v>185</v>
      </c>
      <c r="O2141" s="75" t="s">
        <v>3687</v>
      </c>
      <c r="R2141" s="74"/>
    </row>
    <row r="2142" spans="2:18" ht="36" hidden="1" customHeight="1" x14ac:dyDescent="0.25">
      <c r="B2142" s="84">
        <v>1823</v>
      </c>
      <c r="C2142" s="83" t="s">
        <v>20</v>
      </c>
      <c r="D2142" s="82" t="s">
        <v>3688</v>
      </c>
      <c r="E2142" s="81">
        <v>43935</v>
      </c>
      <c r="F2142" s="27">
        <f t="shared" ca="1" si="35"/>
        <v>538</v>
      </c>
      <c r="G2142" s="79"/>
      <c r="H2142" s="80"/>
      <c r="I2142" s="80"/>
      <c r="J2142" s="79"/>
      <c r="K2142" s="78"/>
      <c r="L2142" s="77">
        <v>43936</v>
      </c>
      <c r="M2142" s="68"/>
      <c r="N2142" s="76" t="s">
        <v>185</v>
      </c>
      <c r="O2142" s="75" t="s">
        <v>3449</v>
      </c>
      <c r="R2142" s="74"/>
    </row>
    <row r="2143" spans="2:18" ht="36" hidden="1" customHeight="1" x14ac:dyDescent="0.25">
      <c r="B2143" s="84">
        <v>1823</v>
      </c>
      <c r="C2143" s="83" t="s">
        <v>40</v>
      </c>
      <c r="D2143" s="82" t="s">
        <v>3689</v>
      </c>
      <c r="E2143" s="81">
        <v>43935</v>
      </c>
      <c r="F2143" s="27">
        <f t="shared" ca="1" si="35"/>
        <v>538</v>
      </c>
      <c r="G2143" s="79"/>
      <c r="H2143" s="80"/>
      <c r="I2143" s="80"/>
      <c r="J2143" s="79"/>
      <c r="K2143" s="78"/>
      <c r="L2143" s="77">
        <v>43936</v>
      </c>
      <c r="M2143" s="68"/>
      <c r="N2143" s="76" t="s">
        <v>185</v>
      </c>
      <c r="O2143" s="75" t="s">
        <v>3690</v>
      </c>
      <c r="R2143" s="74"/>
    </row>
    <row r="2144" spans="2:18" ht="36" hidden="1" customHeight="1" x14ac:dyDescent="0.25">
      <c r="B2144" s="84">
        <v>1823</v>
      </c>
      <c r="C2144" s="83" t="s">
        <v>11</v>
      </c>
      <c r="D2144" s="82" t="s">
        <v>3691</v>
      </c>
      <c r="E2144" s="81">
        <v>43935</v>
      </c>
      <c r="F2144" s="27">
        <f t="shared" ca="1" si="35"/>
        <v>538</v>
      </c>
      <c r="G2144" s="79"/>
      <c r="H2144" s="80"/>
      <c r="I2144" s="80"/>
      <c r="J2144" s="79"/>
      <c r="K2144" s="78"/>
      <c r="L2144" s="77">
        <v>43936</v>
      </c>
      <c r="M2144" s="68"/>
      <c r="N2144" s="76" t="s">
        <v>185</v>
      </c>
      <c r="O2144" s="75" t="s">
        <v>2153</v>
      </c>
      <c r="R2144" s="74"/>
    </row>
    <row r="2145" spans="2:18" ht="36" hidden="1" customHeight="1" x14ac:dyDescent="0.25">
      <c r="B2145" s="84">
        <v>1823</v>
      </c>
      <c r="C2145" s="83" t="s">
        <v>11</v>
      </c>
      <c r="D2145" s="82" t="s">
        <v>3692</v>
      </c>
      <c r="E2145" s="81">
        <v>43945</v>
      </c>
      <c r="F2145" s="27">
        <f t="shared" ca="1" si="35"/>
        <v>528</v>
      </c>
      <c r="G2145" s="79"/>
      <c r="H2145" s="80"/>
      <c r="I2145" s="80" t="s">
        <v>206</v>
      </c>
      <c r="J2145" s="79"/>
      <c r="K2145" s="78"/>
      <c r="L2145" s="77">
        <v>43956</v>
      </c>
      <c r="M2145" s="68"/>
      <c r="N2145" s="76" t="s">
        <v>185</v>
      </c>
      <c r="O2145" s="75" t="s">
        <v>3693</v>
      </c>
      <c r="R2145" s="74"/>
    </row>
    <row r="2146" spans="2:18" ht="36" hidden="1" customHeight="1" x14ac:dyDescent="0.25">
      <c r="B2146" s="84">
        <v>1823</v>
      </c>
      <c r="C2146" s="83" t="s">
        <v>18</v>
      </c>
      <c r="D2146" s="82" t="s">
        <v>3697</v>
      </c>
      <c r="E2146" s="81">
        <v>43959</v>
      </c>
      <c r="F2146" s="27">
        <f t="shared" ca="1" si="35"/>
        <v>514</v>
      </c>
      <c r="G2146" s="79"/>
      <c r="H2146" s="80"/>
      <c r="I2146" s="80" t="s">
        <v>206</v>
      </c>
      <c r="J2146" s="79"/>
      <c r="K2146" s="78"/>
      <c r="L2146" s="77">
        <v>43964</v>
      </c>
      <c r="M2146" s="68"/>
      <c r="N2146" s="76" t="s">
        <v>3695</v>
      </c>
      <c r="O2146" s="75"/>
      <c r="R2146" s="74"/>
    </row>
    <row r="2147" spans="2:18" ht="36" hidden="1" customHeight="1" x14ac:dyDescent="0.25">
      <c r="B2147" s="84">
        <v>1823</v>
      </c>
      <c r="C2147" s="83" t="s">
        <v>20</v>
      </c>
      <c r="D2147" s="82" t="s">
        <v>3698</v>
      </c>
      <c r="E2147" s="81">
        <v>43959</v>
      </c>
      <c r="F2147" s="27">
        <f t="shared" ca="1" si="35"/>
        <v>514</v>
      </c>
      <c r="G2147" s="79"/>
      <c r="H2147" s="80"/>
      <c r="I2147" s="80" t="s">
        <v>206</v>
      </c>
      <c r="J2147" s="79"/>
      <c r="K2147" s="78"/>
      <c r="L2147" s="77">
        <v>43964</v>
      </c>
      <c r="M2147" s="68"/>
      <c r="N2147" s="76" t="s">
        <v>3695</v>
      </c>
      <c r="O2147" s="75" t="s">
        <v>3699</v>
      </c>
      <c r="R2147" s="74"/>
    </row>
    <row r="2148" spans="2:18" ht="36" hidden="1" customHeight="1" x14ac:dyDescent="0.25">
      <c r="B2148" s="84">
        <v>1823</v>
      </c>
      <c r="C2148" s="83" t="s">
        <v>18</v>
      </c>
      <c r="D2148" s="82" t="s">
        <v>3700</v>
      </c>
      <c r="E2148" s="81">
        <v>43973</v>
      </c>
      <c r="F2148" s="27">
        <f t="shared" ca="1" si="35"/>
        <v>500</v>
      </c>
      <c r="G2148" s="79"/>
      <c r="H2148" s="80"/>
      <c r="I2148" s="80" t="s">
        <v>206</v>
      </c>
      <c r="J2148" s="79"/>
      <c r="K2148" s="78"/>
      <c r="L2148" s="77">
        <v>43978</v>
      </c>
      <c r="M2148" s="68"/>
      <c r="N2148" s="76" t="s">
        <v>185</v>
      </c>
      <c r="O2148" s="75" t="s">
        <v>3701</v>
      </c>
      <c r="R2148" s="74"/>
    </row>
    <row r="2149" spans="2:18" ht="36" hidden="1" customHeight="1" x14ac:dyDescent="0.25">
      <c r="B2149" s="84">
        <v>1823</v>
      </c>
      <c r="C2149" s="83" t="s">
        <v>40</v>
      </c>
      <c r="D2149" s="82" t="s">
        <v>1607</v>
      </c>
      <c r="E2149" s="81">
        <v>43973</v>
      </c>
      <c r="F2149" s="27">
        <f t="shared" ca="1" si="35"/>
        <v>500</v>
      </c>
      <c r="G2149" s="79"/>
      <c r="H2149" s="80"/>
      <c r="I2149" s="80" t="s">
        <v>206</v>
      </c>
      <c r="J2149" s="79"/>
      <c r="K2149" s="78"/>
      <c r="L2149" s="77">
        <v>43986</v>
      </c>
      <c r="M2149" s="68"/>
      <c r="N2149" s="76" t="s">
        <v>686</v>
      </c>
      <c r="O2149" s="75" t="s">
        <v>3702</v>
      </c>
      <c r="R2149" s="74"/>
    </row>
    <row r="2150" spans="2:18" ht="36" hidden="1" customHeight="1" x14ac:dyDescent="0.25">
      <c r="B2150" s="84">
        <v>1823</v>
      </c>
      <c r="C2150" s="83" t="s">
        <v>15</v>
      </c>
      <c r="D2150" s="82" t="s">
        <v>3855</v>
      </c>
      <c r="E2150" s="81">
        <v>43980</v>
      </c>
      <c r="F2150" s="27">
        <f t="shared" ca="1" si="35"/>
        <v>493</v>
      </c>
      <c r="G2150" s="79"/>
      <c r="H2150" s="80"/>
      <c r="I2150" s="80" t="s">
        <v>206</v>
      </c>
      <c r="J2150" s="79"/>
      <c r="K2150" s="78"/>
      <c r="L2150" s="77">
        <v>43986</v>
      </c>
      <c r="M2150" s="68"/>
      <c r="N2150" s="76" t="s">
        <v>686</v>
      </c>
      <c r="O2150" s="75" t="s">
        <v>3856</v>
      </c>
      <c r="R2150" s="74"/>
    </row>
    <row r="2151" spans="2:18" ht="36" hidden="1" customHeight="1" x14ac:dyDescent="0.25">
      <c r="B2151" s="84">
        <v>1823</v>
      </c>
      <c r="C2151" s="83" t="s">
        <v>11</v>
      </c>
      <c r="D2151" s="82" t="s">
        <v>3857</v>
      </c>
      <c r="E2151" s="81">
        <v>43985</v>
      </c>
      <c r="F2151" s="27">
        <f t="shared" ca="1" si="35"/>
        <v>488</v>
      </c>
      <c r="G2151" s="79"/>
      <c r="H2151" s="80"/>
      <c r="I2151" s="80" t="s">
        <v>206</v>
      </c>
      <c r="J2151" s="79"/>
      <c r="K2151" s="78"/>
      <c r="L2151" s="77">
        <v>43986</v>
      </c>
      <c r="M2151" s="68"/>
      <c r="N2151" s="76" t="s">
        <v>686</v>
      </c>
      <c r="O2151" s="75" t="s">
        <v>3858</v>
      </c>
      <c r="R2151" s="74"/>
    </row>
    <row r="2152" spans="2:18" ht="36" hidden="1" customHeight="1" x14ac:dyDescent="0.25">
      <c r="B2152" s="84">
        <v>1823</v>
      </c>
      <c r="C2152" s="83" t="s">
        <v>20</v>
      </c>
      <c r="D2152" s="82" t="s">
        <v>3859</v>
      </c>
      <c r="E2152" s="81">
        <v>43985</v>
      </c>
      <c r="F2152" s="27">
        <f t="shared" ref="F2152:F2183" ca="1" si="36">IF(E2152&lt;&gt;"",TODAY()-E2152,"")</f>
        <v>488</v>
      </c>
      <c r="G2152" s="79"/>
      <c r="H2152" s="80"/>
      <c r="I2152" s="80" t="s">
        <v>206</v>
      </c>
      <c r="J2152" s="79"/>
      <c r="K2152" s="78"/>
      <c r="L2152" s="77">
        <v>43986</v>
      </c>
      <c r="M2152" s="68"/>
      <c r="N2152" s="76" t="s">
        <v>686</v>
      </c>
      <c r="O2152" s="75" t="s">
        <v>3860</v>
      </c>
      <c r="R2152" s="74"/>
    </row>
    <row r="2153" spans="2:18" ht="36" hidden="1" customHeight="1" x14ac:dyDescent="0.25">
      <c r="B2153" s="84">
        <v>1823</v>
      </c>
      <c r="C2153" s="83" t="s">
        <v>9</v>
      </c>
      <c r="D2153" s="82" t="s">
        <v>3861</v>
      </c>
      <c r="E2153" s="81">
        <v>43992</v>
      </c>
      <c r="F2153" s="27">
        <f t="shared" ca="1" si="36"/>
        <v>481</v>
      </c>
      <c r="G2153" s="79"/>
      <c r="H2153" s="80"/>
      <c r="I2153" s="80"/>
      <c r="J2153" s="79"/>
      <c r="K2153" s="78"/>
      <c r="L2153" s="77">
        <v>44000</v>
      </c>
      <c r="M2153" s="68"/>
      <c r="N2153" s="76"/>
      <c r="O2153" s="75"/>
      <c r="R2153" s="74"/>
    </row>
    <row r="2154" spans="2:18" ht="36" hidden="1" customHeight="1" x14ac:dyDescent="0.25">
      <c r="B2154" s="84">
        <v>1823</v>
      </c>
      <c r="C2154" s="83" t="s">
        <v>23</v>
      </c>
      <c r="D2154" s="82" t="s">
        <v>3862</v>
      </c>
      <c r="E2154" s="81">
        <v>43997</v>
      </c>
      <c r="F2154" s="27">
        <f t="shared" ca="1" si="36"/>
        <v>476</v>
      </c>
      <c r="G2154" s="79"/>
      <c r="H2154" s="80"/>
      <c r="I2154" s="80"/>
      <c r="J2154" s="79"/>
      <c r="K2154" s="78"/>
      <c r="L2154" s="77">
        <v>44000</v>
      </c>
      <c r="M2154" s="68"/>
      <c r="N2154" s="76"/>
      <c r="O2154" s="75"/>
      <c r="R2154" s="74"/>
    </row>
    <row r="2155" spans="2:18" ht="36" hidden="1" customHeight="1" x14ac:dyDescent="0.25">
      <c r="B2155" s="84">
        <v>1824</v>
      </c>
      <c r="C2155" s="83" t="s">
        <v>38</v>
      </c>
      <c r="D2155" s="82" t="s">
        <v>3863</v>
      </c>
      <c r="E2155" s="81">
        <v>43833</v>
      </c>
      <c r="F2155" s="27">
        <f t="shared" ca="1" si="36"/>
        <v>640</v>
      </c>
      <c r="G2155" s="79"/>
      <c r="H2155" s="80"/>
      <c r="I2155" s="80"/>
      <c r="J2155" s="79"/>
      <c r="K2155" s="78"/>
      <c r="L2155" s="77">
        <v>43833</v>
      </c>
      <c r="M2155" s="68"/>
      <c r="N2155" s="76" t="s">
        <v>2487</v>
      </c>
      <c r="O2155" s="75"/>
      <c r="R2155" s="74"/>
    </row>
    <row r="2156" spans="2:18" ht="36" hidden="1" customHeight="1" x14ac:dyDescent="0.25">
      <c r="B2156" s="84">
        <v>1824</v>
      </c>
      <c r="C2156" s="83" t="s">
        <v>19</v>
      </c>
      <c r="D2156" s="82" t="s">
        <v>967</v>
      </c>
      <c r="E2156" s="81">
        <v>43840</v>
      </c>
      <c r="F2156" s="27">
        <f t="shared" ca="1" si="36"/>
        <v>633</v>
      </c>
      <c r="G2156" s="79"/>
      <c r="H2156" s="80"/>
      <c r="I2156" s="80"/>
      <c r="J2156" s="79"/>
      <c r="K2156" s="78"/>
      <c r="L2156" s="77">
        <v>43837</v>
      </c>
      <c r="M2156" s="68"/>
      <c r="N2156" s="76" t="s">
        <v>185</v>
      </c>
      <c r="O2156" s="75" t="s">
        <v>3864</v>
      </c>
      <c r="R2156" s="74"/>
    </row>
    <row r="2157" spans="2:18" ht="36" hidden="1" customHeight="1" x14ac:dyDescent="0.25">
      <c r="B2157" s="84">
        <v>1824</v>
      </c>
      <c r="C2157" s="83" t="s">
        <v>40</v>
      </c>
      <c r="D2157" s="82" t="s">
        <v>3865</v>
      </c>
      <c r="E2157" s="81">
        <v>43840</v>
      </c>
      <c r="F2157" s="27">
        <f t="shared" ca="1" si="36"/>
        <v>633</v>
      </c>
      <c r="G2157" s="79"/>
      <c r="H2157" s="80"/>
      <c r="I2157" s="80"/>
      <c r="J2157" s="79"/>
      <c r="K2157" s="78"/>
      <c r="L2157" s="77">
        <v>43838</v>
      </c>
      <c r="M2157" s="68"/>
      <c r="N2157" s="76"/>
      <c r="O2157" s="75" t="s">
        <v>3866</v>
      </c>
      <c r="R2157" s="74"/>
    </row>
    <row r="2158" spans="2:18" ht="36" hidden="1" customHeight="1" x14ac:dyDescent="0.25">
      <c r="B2158" s="84">
        <v>1824</v>
      </c>
      <c r="C2158" s="83" t="s">
        <v>40</v>
      </c>
      <c r="D2158" s="82" t="s">
        <v>2489</v>
      </c>
      <c r="E2158" s="81">
        <v>43840</v>
      </c>
      <c r="F2158" s="27">
        <f t="shared" ca="1" si="36"/>
        <v>633</v>
      </c>
      <c r="G2158" s="79"/>
      <c r="H2158" s="80"/>
      <c r="I2158" s="80"/>
      <c r="J2158" s="79"/>
      <c r="K2158" s="78"/>
      <c r="L2158" s="77">
        <v>43838</v>
      </c>
      <c r="M2158" s="68"/>
      <c r="N2158" s="76" t="s">
        <v>3867</v>
      </c>
      <c r="O2158" s="75"/>
      <c r="R2158" s="74"/>
    </row>
    <row r="2159" spans="2:18" ht="36" hidden="1" customHeight="1" x14ac:dyDescent="0.25">
      <c r="B2159" s="84">
        <v>1824</v>
      </c>
      <c r="C2159" s="83" t="s">
        <v>12</v>
      </c>
      <c r="D2159" s="82" t="s">
        <v>3868</v>
      </c>
      <c r="E2159" s="81">
        <v>43840</v>
      </c>
      <c r="F2159" s="27">
        <f t="shared" ca="1" si="36"/>
        <v>633</v>
      </c>
      <c r="G2159" s="79"/>
      <c r="H2159" s="80"/>
      <c r="I2159" s="80"/>
      <c r="J2159" s="79"/>
      <c r="K2159" s="78"/>
      <c r="L2159" s="77">
        <v>43838</v>
      </c>
      <c r="M2159" s="68"/>
      <c r="N2159" s="76"/>
      <c r="O2159" s="75" t="s">
        <v>3869</v>
      </c>
      <c r="R2159" s="74"/>
    </row>
    <row r="2160" spans="2:18" ht="36" hidden="1" customHeight="1" x14ac:dyDescent="0.25">
      <c r="B2160" s="84">
        <v>1824</v>
      </c>
      <c r="C2160" s="83" t="s">
        <v>39</v>
      </c>
      <c r="D2160" s="82" t="s">
        <v>3870</v>
      </c>
      <c r="E2160" s="81">
        <v>43840</v>
      </c>
      <c r="F2160" s="27">
        <f t="shared" ca="1" si="36"/>
        <v>633</v>
      </c>
      <c r="G2160" s="79"/>
      <c r="H2160" s="80"/>
      <c r="I2160" s="80"/>
      <c r="J2160" s="79"/>
      <c r="K2160" s="78"/>
      <c r="L2160" s="77">
        <v>43842</v>
      </c>
      <c r="M2160" s="68"/>
      <c r="N2160" s="76" t="s">
        <v>185</v>
      </c>
      <c r="O2160" s="75" t="s">
        <v>3871</v>
      </c>
      <c r="R2160" s="74"/>
    </row>
    <row r="2161" spans="2:18" ht="36" hidden="1" customHeight="1" x14ac:dyDescent="0.25">
      <c r="B2161" s="84">
        <v>1824</v>
      </c>
      <c r="C2161" s="83" t="s">
        <v>20</v>
      </c>
      <c r="D2161" s="82" t="s">
        <v>3872</v>
      </c>
      <c r="E2161" s="81">
        <v>43847</v>
      </c>
      <c r="F2161" s="27">
        <f t="shared" ca="1" si="36"/>
        <v>626</v>
      </c>
      <c r="G2161" s="79"/>
      <c r="H2161" s="80"/>
      <c r="I2161" s="80"/>
      <c r="J2161" s="79"/>
      <c r="K2161" s="78"/>
      <c r="L2161" s="77">
        <v>43850</v>
      </c>
      <c r="M2161" s="68"/>
      <c r="N2161" s="76" t="s">
        <v>3873</v>
      </c>
      <c r="O2161" s="75"/>
      <c r="R2161" s="74"/>
    </row>
    <row r="2162" spans="2:18" ht="36" hidden="1" customHeight="1" x14ac:dyDescent="0.25">
      <c r="B2162" s="84">
        <v>1824</v>
      </c>
      <c r="C2162" s="83" t="s">
        <v>17</v>
      </c>
      <c r="D2162" s="82" t="s">
        <v>4022</v>
      </c>
      <c r="E2162" s="81">
        <v>43847</v>
      </c>
      <c r="F2162" s="27">
        <f t="shared" ca="1" si="36"/>
        <v>626</v>
      </c>
      <c r="G2162" s="79"/>
      <c r="H2162" s="80"/>
      <c r="I2162" s="80"/>
      <c r="J2162" s="79"/>
      <c r="K2162" s="78"/>
      <c r="L2162" s="77">
        <v>43889</v>
      </c>
      <c r="M2162" s="68"/>
      <c r="N2162" s="76" t="s">
        <v>2244</v>
      </c>
      <c r="O2162" s="75" t="s">
        <v>4023</v>
      </c>
      <c r="R2162" s="74"/>
    </row>
    <row r="2163" spans="2:18" ht="36" hidden="1" customHeight="1" x14ac:dyDescent="0.25">
      <c r="B2163" s="84">
        <v>1824</v>
      </c>
      <c r="C2163" s="83" t="s">
        <v>40</v>
      </c>
      <c r="D2163" s="82" t="s">
        <v>3874</v>
      </c>
      <c r="E2163" s="81">
        <v>43854</v>
      </c>
      <c r="F2163" s="27">
        <f t="shared" ca="1" si="36"/>
        <v>619</v>
      </c>
      <c r="G2163" s="79"/>
      <c r="H2163" s="80"/>
      <c r="I2163" s="80"/>
      <c r="J2163" s="79"/>
      <c r="K2163" s="78"/>
      <c r="L2163" s="77">
        <v>43855</v>
      </c>
      <c r="M2163" s="68"/>
      <c r="N2163" s="76" t="s">
        <v>3875</v>
      </c>
      <c r="O2163" s="75" t="s">
        <v>3876</v>
      </c>
      <c r="R2163" s="74"/>
    </row>
    <row r="2164" spans="2:18" ht="36" hidden="1" customHeight="1" x14ac:dyDescent="0.25">
      <c r="B2164" s="84">
        <v>1824</v>
      </c>
      <c r="C2164" s="83" t="s">
        <v>23</v>
      </c>
      <c r="D2164" s="82" t="s">
        <v>346</v>
      </c>
      <c r="E2164" s="81">
        <v>43854</v>
      </c>
      <c r="F2164" s="27">
        <f t="shared" ca="1" si="36"/>
        <v>619</v>
      </c>
      <c r="G2164" s="79"/>
      <c r="H2164" s="80"/>
      <c r="I2164" s="80"/>
      <c r="J2164" s="79"/>
      <c r="K2164" s="78"/>
      <c r="L2164" s="77">
        <v>43857</v>
      </c>
      <c r="M2164" s="68"/>
      <c r="N2164" s="76" t="s">
        <v>185</v>
      </c>
      <c r="O2164" s="75"/>
      <c r="R2164" s="74"/>
    </row>
    <row r="2165" spans="2:18" ht="36" hidden="1" customHeight="1" x14ac:dyDescent="0.25">
      <c r="B2165" s="84">
        <v>1824</v>
      </c>
      <c r="C2165" s="83" t="s">
        <v>23</v>
      </c>
      <c r="D2165" s="82" t="s">
        <v>1815</v>
      </c>
      <c r="E2165" s="81">
        <v>43871</v>
      </c>
      <c r="F2165" s="27">
        <f t="shared" ca="1" si="36"/>
        <v>602</v>
      </c>
      <c r="G2165" s="79"/>
      <c r="H2165" s="80"/>
      <c r="I2165" s="80"/>
      <c r="J2165" s="79"/>
      <c r="K2165" s="78"/>
      <c r="L2165" s="77">
        <v>43875</v>
      </c>
      <c r="M2165" s="68"/>
      <c r="N2165" s="76" t="s">
        <v>2917</v>
      </c>
      <c r="O2165" s="75"/>
      <c r="R2165" s="74"/>
    </row>
    <row r="2166" spans="2:18" ht="36" hidden="1" customHeight="1" x14ac:dyDescent="0.25">
      <c r="B2166" s="84">
        <v>1824</v>
      </c>
      <c r="C2166" s="83" t="s">
        <v>1082</v>
      </c>
      <c r="D2166" s="82" t="s">
        <v>4024</v>
      </c>
      <c r="E2166" s="81">
        <v>43874</v>
      </c>
      <c r="F2166" s="27">
        <f t="shared" ca="1" si="36"/>
        <v>599</v>
      </c>
      <c r="G2166" s="79"/>
      <c r="H2166" s="80"/>
      <c r="I2166" s="80"/>
      <c r="J2166" s="79"/>
      <c r="K2166" s="78"/>
      <c r="L2166" s="77">
        <v>43889</v>
      </c>
      <c r="M2166" s="68"/>
      <c r="N2166" s="76" t="s">
        <v>2244</v>
      </c>
      <c r="O2166" s="75" t="s">
        <v>4025</v>
      </c>
      <c r="R2166" s="74"/>
    </row>
    <row r="2167" spans="2:18" ht="36" hidden="1" customHeight="1" x14ac:dyDescent="0.25">
      <c r="B2167" s="84">
        <v>1824</v>
      </c>
      <c r="C2167" s="83" t="s">
        <v>11</v>
      </c>
      <c r="D2167" s="82" t="s">
        <v>4026</v>
      </c>
      <c r="E2167" s="81">
        <v>43882</v>
      </c>
      <c r="F2167" s="27">
        <f t="shared" ca="1" si="36"/>
        <v>591</v>
      </c>
      <c r="G2167" s="79"/>
      <c r="H2167" s="80"/>
      <c r="I2167" s="80"/>
      <c r="J2167" s="79"/>
      <c r="K2167" s="78"/>
      <c r="L2167" s="77">
        <v>43889</v>
      </c>
      <c r="M2167" s="68"/>
      <c r="N2167" s="76" t="s">
        <v>2244</v>
      </c>
      <c r="O2167" s="75" t="s">
        <v>4027</v>
      </c>
      <c r="R2167" s="74"/>
    </row>
    <row r="2168" spans="2:18" ht="36" hidden="1" customHeight="1" x14ac:dyDescent="0.25">
      <c r="B2168" s="84">
        <v>1824</v>
      </c>
      <c r="C2168" s="83" t="s">
        <v>23</v>
      </c>
      <c r="D2168" s="82" t="s">
        <v>309</v>
      </c>
      <c r="E2168" s="81">
        <v>43886</v>
      </c>
      <c r="F2168" s="27">
        <f t="shared" ca="1" si="36"/>
        <v>587</v>
      </c>
      <c r="G2168" s="79"/>
      <c r="H2168" s="80"/>
      <c r="I2168" s="80"/>
      <c r="J2168" s="79"/>
      <c r="K2168" s="78"/>
      <c r="L2168" s="77">
        <v>43889</v>
      </c>
      <c r="M2168" s="68"/>
      <c r="N2168" s="76" t="s">
        <v>2244</v>
      </c>
      <c r="O2168" s="75" t="s">
        <v>154</v>
      </c>
      <c r="R2168" s="74"/>
    </row>
    <row r="2169" spans="2:18" ht="36" hidden="1" customHeight="1" x14ac:dyDescent="0.25">
      <c r="B2169" s="84">
        <v>1824</v>
      </c>
      <c r="C2169" s="83" t="s">
        <v>16</v>
      </c>
      <c r="D2169" s="82" t="s">
        <v>4028</v>
      </c>
      <c r="E2169" s="81">
        <v>43886</v>
      </c>
      <c r="F2169" s="27">
        <f t="shared" ca="1" si="36"/>
        <v>587</v>
      </c>
      <c r="G2169" s="79"/>
      <c r="H2169" s="80"/>
      <c r="I2169" s="80"/>
      <c r="J2169" s="79"/>
      <c r="K2169" s="78"/>
      <c r="L2169" s="77">
        <v>43889</v>
      </c>
      <c r="M2169" s="68"/>
      <c r="N2169" s="76" t="s">
        <v>2244</v>
      </c>
      <c r="O2169" s="75" t="s">
        <v>4029</v>
      </c>
      <c r="R2169" s="74"/>
    </row>
    <row r="2170" spans="2:18" ht="36" hidden="1" customHeight="1" x14ac:dyDescent="0.25">
      <c r="B2170" s="84">
        <v>1824</v>
      </c>
      <c r="C2170" s="83" t="s">
        <v>16</v>
      </c>
      <c r="D2170" s="82" t="s">
        <v>4030</v>
      </c>
      <c r="E2170" s="81">
        <v>43886</v>
      </c>
      <c r="F2170" s="27">
        <f t="shared" ca="1" si="36"/>
        <v>587</v>
      </c>
      <c r="G2170" s="79"/>
      <c r="H2170" s="80"/>
      <c r="I2170" s="80"/>
      <c r="J2170" s="79"/>
      <c r="K2170" s="78"/>
      <c r="L2170" s="77">
        <v>43889</v>
      </c>
      <c r="M2170" s="68"/>
      <c r="N2170" s="76" t="s">
        <v>2244</v>
      </c>
      <c r="O2170" s="75" t="s">
        <v>4031</v>
      </c>
      <c r="R2170" s="74"/>
    </row>
    <row r="2171" spans="2:18" ht="36" hidden="1" customHeight="1" x14ac:dyDescent="0.25">
      <c r="B2171" s="84">
        <v>1824</v>
      </c>
      <c r="C2171" s="83" t="s">
        <v>40</v>
      </c>
      <c r="D2171" s="82" t="s">
        <v>4032</v>
      </c>
      <c r="E2171" s="81">
        <v>43886</v>
      </c>
      <c r="F2171" s="27">
        <f t="shared" ca="1" si="36"/>
        <v>587</v>
      </c>
      <c r="G2171" s="79"/>
      <c r="H2171" s="80"/>
      <c r="I2171" s="80"/>
      <c r="J2171" s="79"/>
      <c r="K2171" s="78"/>
      <c r="L2171" s="77">
        <v>43889</v>
      </c>
      <c r="M2171" s="68"/>
      <c r="N2171" s="76" t="s">
        <v>2244</v>
      </c>
      <c r="O2171" s="75" t="s">
        <v>4033</v>
      </c>
      <c r="R2171" s="74"/>
    </row>
    <row r="2172" spans="2:18" ht="36" hidden="1" customHeight="1" x14ac:dyDescent="0.25">
      <c r="B2172" s="84">
        <v>1824</v>
      </c>
      <c r="C2172" s="83" t="s">
        <v>16</v>
      </c>
      <c r="D2172" s="82" t="s">
        <v>4034</v>
      </c>
      <c r="E2172" s="81">
        <v>43886</v>
      </c>
      <c r="F2172" s="27">
        <f t="shared" ca="1" si="36"/>
        <v>587</v>
      </c>
      <c r="G2172" s="79"/>
      <c r="H2172" s="80"/>
      <c r="I2172" s="80"/>
      <c r="J2172" s="79"/>
      <c r="K2172" s="78"/>
      <c r="L2172" s="77">
        <v>43889</v>
      </c>
      <c r="M2172" s="68"/>
      <c r="N2172" s="76" t="s">
        <v>2244</v>
      </c>
      <c r="O2172" s="75" t="s">
        <v>130</v>
      </c>
      <c r="R2172" s="74"/>
    </row>
    <row r="2173" spans="2:18" ht="36" hidden="1" customHeight="1" x14ac:dyDescent="0.25">
      <c r="B2173" s="84">
        <v>1824</v>
      </c>
      <c r="C2173" s="83" t="s">
        <v>16</v>
      </c>
      <c r="D2173" s="82" t="s">
        <v>4038</v>
      </c>
      <c r="E2173" s="81">
        <v>43901</v>
      </c>
      <c r="F2173" s="27">
        <f t="shared" ca="1" si="36"/>
        <v>572</v>
      </c>
      <c r="G2173" s="79"/>
      <c r="H2173" s="80"/>
      <c r="I2173" s="80"/>
      <c r="J2173" s="79"/>
      <c r="K2173" s="78"/>
      <c r="L2173" s="77">
        <v>43922</v>
      </c>
      <c r="M2173" s="68"/>
      <c r="N2173" s="76" t="s">
        <v>686</v>
      </c>
      <c r="O2173" s="75" t="s">
        <v>130</v>
      </c>
      <c r="R2173" s="74"/>
    </row>
    <row r="2174" spans="2:18" ht="36" hidden="1" customHeight="1" x14ac:dyDescent="0.25">
      <c r="B2174" s="84">
        <v>1824</v>
      </c>
      <c r="C2174" s="83" t="s">
        <v>23</v>
      </c>
      <c r="D2174" s="82" t="s">
        <v>346</v>
      </c>
      <c r="E2174" s="81">
        <v>43902</v>
      </c>
      <c r="F2174" s="27">
        <f t="shared" ca="1" si="36"/>
        <v>571</v>
      </c>
      <c r="G2174" s="79"/>
      <c r="H2174" s="80"/>
      <c r="I2174" s="80"/>
      <c r="J2174" s="79"/>
      <c r="K2174" s="78"/>
      <c r="L2174" s="77">
        <v>43916</v>
      </c>
      <c r="M2174" s="68"/>
      <c r="N2174" s="76" t="s">
        <v>185</v>
      </c>
      <c r="O2174" s="75" t="s">
        <v>4035</v>
      </c>
      <c r="R2174" s="74"/>
    </row>
    <row r="2175" spans="2:18" ht="36" hidden="1" customHeight="1" x14ac:dyDescent="0.25">
      <c r="B2175" s="84">
        <v>1824</v>
      </c>
      <c r="C2175" s="83" t="s">
        <v>11</v>
      </c>
      <c r="D2175" s="82" t="s">
        <v>4037</v>
      </c>
      <c r="E2175" s="81">
        <v>43908</v>
      </c>
      <c r="F2175" s="27">
        <f t="shared" ca="1" si="36"/>
        <v>565</v>
      </c>
      <c r="G2175" s="79"/>
      <c r="H2175" s="80"/>
      <c r="I2175" s="80"/>
      <c r="J2175" s="79"/>
      <c r="K2175" s="78"/>
      <c r="L2175" s="77">
        <v>43920</v>
      </c>
      <c r="M2175" s="68"/>
      <c r="N2175" s="76" t="s">
        <v>829</v>
      </c>
      <c r="O2175" s="75" t="s">
        <v>1873</v>
      </c>
      <c r="R2175" s="74"/>
    </row>
    <row r="2176" spans="2:18" ht="36" hidden="1" customHeight="1" x14ac:dyDescent="0.25">
      <c r="B2176" s="84">
        <v>1824</v>
      </c>
      <c r="C2176" s="83" t="s">
        <v>11</v>
      </c>
      <c r="D2176" s="82" t="s">
        <v>4039</v>
      </c>
      <c r="E2176" s="81">
        <v>43909</v>
      </c>
      <c r="F2176" s="27">
        <f t="shared" ca="1" si="36"/>
        <v>564</v>
      </c>
      <c r="G2176" s="79"/>
      <c r="H2176" s="80"/>
      <c r="I2176" s="80"/>
      <c r="J2176" s="79"/>
      <c r="K2176" s="78"/>
      <c r="L2176" s="77">
        <v>43922</v>
      </c>
      <c r="M2176" s="68"/>
      <c r="N2176" s="76" t="s">
        <v>686</v>
      </c>
      <c r="O2176" s="75" t="s">
        <v>4040</v>
      </c>
      <c r="R2176" s="74"/>
    </row>
    <row r="2177" spans="2:18" ht="36" hidden="1" customHeight="1" x14ac:dyDescent="0.25">
      <c r="B2177" s="84">
        <v>1824</v>
      </c>
      <c r="C2177" s="83" t="s">
        <v>23</v>
      </c>
      <c r="D2177" s="82" t="s">
        <v>4036</v>
      </c>
      <c r="E2177" s="81">
        <v>43916</v>
      </c>
      <c r="F2177" s="27">
        <f t="shared" ca="1" si="36"/>
        <v>557</v>
      </c>
      <c r="G2177" s="79"/>
      <c r="H2177" s="80"/>
      <c r="I2177" s="80"/>
      <c r="J2177" s="79"/>
      <c r="K2177" s="78"/>
      <c r="L2177" s="77">
        <v>43916</v>
      </c>
      <c r="M2177" s="68"/>
      <c r="N2177" s="76" t="s">
        <v>185</v>
      </c>
      <c r="O2177" s="75" t="s">
        <v>55</v>
      </c>
      <c r="R2177" s="74"/>
    </row>
    <row r="2178" spans="2:18" ht="36" hidden="1" customHeight="1" x14ac:dyDescent="0.25">
      <c r="B2178" s="84">
        <v>1824</v>
      </c>
      <c r="C2178" s="83" t="s">
        <v>40</v>
      </c>
      <c r="D2178" s="82" t="s">
        <v>4041</v>
      </c>
      <c r="E2178" s="81">
        <v>43935</v>
      </c>
      <c r="F2178" s="27">
        <f t="shared" ca="1" si="36"/>
        <v>538</v>
      </c>
      <c r="G2178" s="79"/>
      <c r="H2178" s="80"/>
      <c r="I2178" s="80"/>
      <c r="J2178" s="79"/>
      <c r="K2178" s="78"/>
      <c r="L2178" s="77">
        <v>43948</v>
      </c>
      <c r="M2178" s="68"/>
      <c r="N2178" s="76" t="s">
        <v>185</v>
      </c>
      <c r="O2178" s="75" t="s">
        <v>4042</v>
      </c>
      <c r="R2178" s="74"/>
    </row>
    <row r="2179" spans="2:18" ht="36" hidden="1" customHeight="1" x14ac:dyDescent="0.25">
      <c r="B2179" s="84">
        <v>1824</v>
      </c>
      <c r="C2179" s="83" t="s">
        <v>40</v>
      </c>
      <c r="D2179" s="82" t="s">
        <v>4043</v>
      </c>
      <c r="E2179" s="81">
        <v>43964</v>
      </c>
      <c r="F2179" s="27">
        <f t="shared" ca="1" si="36"/>
        <v>509</v>
      </c>
      <c r="G2179" s="79"/>
      <c r="H2179" s="80"/>
      <c r="I2179" s="80" t="s">
        <v>206</v>
      </c>
      <c r="J2179" s="79"/>
      <c r="K2179" s="78"/>
      <c r="L2179" s="77">
        <v>43973</v>
      </c>
      <c r="M2179" s="68"/>
      <c r="N2179" s="76" t="s">
        <v>185</v>
      </c>
      <c r="O2179" s="75" t="s">
        <v>4044</v>
      </c>
      <c r="R2179" s="74"/>
    </row>
    <row r="2180" spans="2:18" ht="36" hidden="1" customHeight="1" x14ac:dyDescent="0.25">
      <c r="B2180" s="84">
        <v>1824</v>
      </c>
      <c r="C2180" s="83" t="s">
        <v>23</v>
      </c>
      <c r="D2180" s="82" t="s">
        <v>4045</v>
      </c>
      <c r="E2180" s="81">
        <v>43997</v>
      </c>
      <c r="F2180" s="27">
        <f t="shared" ca="1" si="36"/>
        <v>476</v>
      </c>
      <c r="G2180" s="79"/>
      <c r="H2180" s="80"/>
      <c r="I2180" s="80"/>
      <c r="J2180" s="79"/>
      <c r="K2180" s="78"/>
      <c r="L2180" s="77">
        <v>44002</v>
      </c>
      <c r="M2180" s="68"/>
      <c r="N2180" s="76"/>
      <c r="O2180" s="75"/>
      <c r="R2180" s="74"/>
    </row>
    <row r="2181" spans="2:18" ht="36" hidden="1" customHeight="1" x14ac:dyDescent="0.25">
      <c r="B2181" s="84">
        <v>1824</v>
      </c>
      <c r="C2181" s="83" t="s">
        <v>24</v>
      </c>
      <c r="D2181" s="82" t="s">
        <v>4046</v>
      </c>
      <c r="E2181" s="81">
        <v>44000</v>
      </c>
      <c r="F2181" s="27">
        <f t="shared" ca="1" si="36"/>
        <v>473</v>
      </c>
      <c r="G2181" s="79"/>
      <c r="H2181" s="80"/>
      <c r="I2181" s="80"/>
      <c r="J2181" s="79"/>
      <c r="K2181" s="78"/>
      <c r="L2181" s="77">
        <v>44002</v>
      </c>
      <c r="M2181" s="68"/>
      <c r="N2181" s="76"/>
      <c r="O2181" s="75"/>
      <c r="R2181" s="74"/>
    </row>
    <row r="2182" spans="2:18" ht="36" hidden="1" customHeight="1" x14ac:dyDescent="0.25">
      <c r="B2182" s="84">
        <v>1824</v>
      </c>
      <c r="C2182" s="83" t="s">
        <v>23</v>
      </c>
      <c r="D2182" s="82" t="s">
        <v>4047</v>
      </c>
      <c r="E2182" s="81">
        <v>44004</v>
      </c>
      <c r="F2182" s="27">
        <f t="shared" ca="1" si="36"/>
        <v>469</v>
      </c>
      <c r="G2182" s="79"/>
      <c r="H2182" s="80"/>
      <c r="I2182" s="80"/>
      <c r="J2182" s="79"/>
      <c r="K2182" s="78"/>
      <c r="L2182" s="77">
        <v>44015</v>
      </c>
      <c r="M2182" s="68"/>
      <c r="N2182" s="76" t="s">
        <v>686</v>
      </c>
      <c r="O2182" s="75" t="s">
        <v>55</v>
      </c>
      <c r="R2182" s="74"/>
    </row>
    <row r="2183" spans="2:18" ht="36" hidden="1" customHeight="1" x14ac:dyDescent="0.25">
      <c r="B2183" s="84">
        <v>1824</v>
      </c>
      <c r="C2183" s="83" t="s">
        <v>40</v>
      </c>
      <c r="D2183" s="82" t="s">
        <v>4048</v>
      </c>
      <c r="E2183" s="81">
        <v>44004</v>
      </c>
      <c r="F2183" s="27">
        <f t="shared" ca="1" si="36"/>
        <v>469</v>
      </c>
      <c r="G2183" s="79"/>
      <c r="H2183" s="80"/>
      <c r="I2183" s="80"/>
      <c r="J2183" s="79"/>
      <c r="K2183" s="78"/>
      <c r="L2183" s="77">
        <v>44015</v>
      </c>
      <c r="M2183" s="68"/>
      <c r="N2183" s="76" t="s">
        <v>686</v>
      </c>
      <c r="O2183" s="75" t="s">
        <v>57</v>
      </c>
      <c r="R2183" s="74"/>
    </row>
    <row r="2184" spans="2:18" ht="36" hidden="1" customHeight="1" x14ac:dyDescent="0.25">
      <c r="B2184" s="84">
        <v>1824</v>
      </c>
      <c r="C2184" s="83" t="s">
        <v>19</v>
      </c>
      <c r="D2184" s="82" t="s">
        <v>4049</v>
      </c>
      <c r="E2184" s="81">
        <v>44029</v>
      </c>
      <c r="F2184" s="27">
        <f t="shared" ref="F2184:F2209" ca="1" si="37">IF(E2184&lt;&gt;"",TODAY()-E2184,"")</f>
        <v>444</v>
      </c>
      <c r="G2184" s="79"/>
      <c r="H2184" s="80"/>
      <c r="I2184" s="80"/>
      <c r="J2184" s="79"/>
      <c r="K2184" s="78"/>
      <c r="L2184" s="77">
        <v>44034</v>
      </c>
      <c r="M2184" s="68"/>
      <c r="N2184" s="76" t="s">
        <v>686</v>
      </c>
      <c r="O2184" s="75" t="s">
        <v>1575</v>
      </c>
      <c r="R2184" s="74"/>
    </row>
    <row r="2185" spans="2:18" ht="36" hidden="1" customHeight="1" x14ac:dyDescent="0.25">
      <c r="B2185" s="84">
        <v>1824</v>
      </c>
      <c r="C2185" s="83" t="s">
        <v>11</v>
      </c>
      <c r="D2185" s="82" t="s">
        <v>4050</v>
      </c>
      <c r="E2185" s="81">
        <v>44033</v>
      </c>
      <c r="F2185" s="27">
        <f t="shared" ca="1" si="37"/>
        <v>440</v>
      </c>
      <c r="G2185" s="79"/>
      <c r="H2185" s="80"/>
      <c r="I2185" s="80"/>
      <c r="J2185" s="79"/>
      <c r="K2185" s="78"/>
      <c r="L2185" s="77">
        <v>44034</v>
      </c>
      <c r="M2185" s="68"/>
      <c r="N2185" s="76" t="s">
        <v>686</v>
      </c>
      <c r="O2185" s="75" t="s">
        <v>4051</v>
      </c>
      <c r="R2185" s="74"/>
    </row>
    <row r="2186" spans="2:18" ht="36" hidden="1" customHeight="1" x14ac:dyDescent="0.25">
      <c r="B2186" s="84">
        <v>1824</v>
      </c>
      <c r="C2186" s="83" t="s">
        <v>11</v>
      </c>
      <c r="D2186" s="82" t="s">
        <v>4052</v>
      </c>
      <c r="E2186" s="81">
        <v>44036</v>
      </c>
      <c r="F2186" s="27">
        <f t="shared" ca="1" si="37"/>
        <v>437</v>
      </c>
      <c r="G2186" s="79"/>
      <c r="H2186" s="80"/>
      <c r="I2186" s="80"/>
      <c r="J2186" s="79"/>
      <c r="K2186" s="78"/>
      <c r="L2186" s="77">
        <v>44036</v>
      </c>
      <c r="M2186" s="68"/>
      <c r="N2186" s="76" t="s">
        <v>185</v>
      </c>
      <c r="O2186" s="75" t="s">
        <v>4053</v>
      </c>
      <c r="R2186" s="74"/>
    </row>
    <row r="2187" spans="2:18" ht="36" hidden="1" customHeight="1" x14ac:dyDescent="0.25">
      <c r="B2187" s="84">
        <v>1824</v>
      </c>
      <c r="C2187" s="83" t="s">
        <v>11</v>
      </c>
      <c r="D2187" s="82" t="s">
        <v>4054</v>
      </c>
      <c r="E2187" s="81">
        <v>44040</v>
      </c>
      <c r="F2187" s="27">
        <f t="shared" ca="1" si="37"/>
        <v>433</v>
      </c>
      <c r="G2187" s="79"/>
      <c r="H2187" s="80"/>
      <c r="I2187" s="80"/>
      <c r="J2187" s="79"/>
      <c r="K2187" s="78"/>
      <c r="L2187" s="77">
        <v>44042</v>
      </c>
      <c r="M2187" s="68"/>
      <c r="N2187" s="76" t="s">
        <v>2019</v>
      </c>
      <c r="O2187" s="75" t="s">
        <v>4055</v>
      </c>
      <c r="R2187" s="74"/>
    </row>
    <row r="2188" spans="2:18" ht="36" hidden="1" customHeight="1" x14ac:dyDescent="0.25">
      <c r="B2188" s="84">
        <v>1824</v>
      </c>
      <c r="C2188" s="83" t="s">
        <v>12</v>
      </c>
      <c r="D2188" s="82" t="s">
        <v>3135</v>
      </c>
      <c r="E2188" s="81">
        <v>44041</v>
      </c>
      <c r="F2188" s="27">
        <f t="shared" ca="1" si="37"/>
        <v>432</v>
      </c>
      <c r="G2188" s="79"/>
      <c r="H2188" s="80"/>
      <c r="I2188" s="80"/>
      <c r="J2188" s="79"/>
      <c r="K2188" s="78"/>
      <c r="L2188" s="77">
        <v>44042</v>
      </c>
      <c r="M2188" s="68"/>
      <c r="N2188" s="76"/>
      <c r="O2188" s="75" t="s">
        <v>4056</v>
      </c>
      <c r="R2188" s="74"/>
    </row>
    <row r="2189" spans="2:18" ht="36" hidden="1" customHeight="1" x14ac:dyDescent="0.25">
      <c r="B2189" s="84">
        <v>1824</v>
      </c>
      <c r="C2189" s="83" t="s">
        <v>16</v>
      </c>
      <c r="D2189" s="82" t="s">
        <v>2910</v>
      </c>
      <c r="E2189" s="81">
        <v>44049</v>
      </c>
      <c r="F2189" s="27">
        <f t="shared" ca="1" si="37"/>
        <v>424</v>
      </c>
      <c r="G2189" s="79"/>
      <c r="H2189" s="80"/>
      <c r="I2189" s="80"/>
      <c r="J2189" s="79"/>
      <c r="K2189" s="78"/>
      <c r="L2189" s="77">
        <v>44055</v>
      </c>
      <c r="M2189" s="68"/>
      <c r="N2189" s="76" t="s">
        <v>937</v>
      </c>
      <c r="O2189" s="75" t="s">
        <v>2911</v>
      </c>
      <c r="R2189" s="74"/>
    </row>
    <row r="2190" spans="2:18" ht="36" hidden="1" customHeight="1" x14ac:dyDescent="0.25">
      <c r="B2190" s="84">
        <v>1825</v>
      </c>
      <c r="C2190" s="83" t="s">
        <v>12</v>
      </c>
      <c r="D2190" s="82" t="s">
        <v>2193</v>
      </c>
      <c r="E2190" s="81">
        <v>43840</v>
      </c>
      <c r="F2190" s="27">
        <f t="shared" ca="1" si="37"/>
        <v>633</v>
      </c>
      <c r="G2190" s="79"/>
      <c r="H2190" s="80"/>
      <c r="I2190" s="80"/>
      <c r="J2190" s="79"/>
      <c r="K2190" s="78"/>
      <c r="L2190" s="77">
        <v>43842</v>
      </c>
      <c r="M2190" s="68"/>
      <c r="N2190" s="76" t="s">
        <v>185</v>
      </c>
      <c r="O2190" s="75" t="s">
        <v>2194</v>
      </c>
      <c r="R2190" s="74"/>
    </row>
    <row r="2191" spans="2:18" ht="36" hidden="1" customHeight="1" x14ac:dyDescent="0.25">
      <c r="B2191" s="84">
        <v>1825</v>
      </c>
      <c r="C2191" s="83" t="s">
        <v>40</v>
      </c>
      <c r="D2191" s="82" t="s">
        <v>4057</v>
      </c>
      <c r="E2191" s="81">
        <v>43840</v>
      </c>
      <c r="F2191" s="27">
        <f t="shared" ca="1" si="37"/>
        <v>633</v>
      </c>
      <c r="G2191" s="79"/>
      <c r="H2191" s="80"/>
      <c r="I2191" s="80"/>
      <c r="J2191" s="79"/>
      <c r="K2191" s="78"/>
      <c r="L2191" s="77">
        <v>43875</v>
      </c>
      <c r="M2191" s="68"/>
      <c r="N2191" s="76" t="s">
        <v>998</v>
      </c>
      <c r="O2191" s="75" t="s">
        <v>2216</v>
      </c>
      <c r="R2191" s="74"/>
    </row>
    <row r="2192" spans="2:18" ht="36" hidden="1" customHeight="1" x14ac:dyDescent="0.25">
      <c r="B2192" s="84">
        <v>1825</v>
      </c>
      <c r="C2192" s="83" t="s">
        <v>17</v>
      </c>
      <c r="D2192" s="82" t="s">
        <v>1627</v>
      </c>
      <c r="E2192" s="81">
        <v>43843</v>
      </c>
      <c r="F2192" s="27">
        <f t="shared" ca="1" si="37"/>
        <v>630</v>
      </c>
      <c r="G2192" s="79"/>
      <c r="H2192" s="80"/>
      <c r="I2192" s="80"/>
      <c r="J2192" s="79"/>
      <c r="K2192" s="78"/>
      <c r="L2192" s="77">
        <v>43875</v>
      </c>
      <c r="M2192" s="68"/>
      <c r="N2192" s="76" t="s">
        <v>998</v>
      </c>
      <c r="O2192" s="75" t="s">
        <v>4058</v>
      </c>
      <c r="R2192" s="74"/>
    </row>
    <row r="2193" spans="2:18" ht="36" hidden="1" customHeight="1" x14ac:dyDescent="0.25">
      <c r="B2193" s="84">
        <v>1825</v>
      </c>
      <c r="C2193" s="83" t="s">
        <v>12</v>
      </c>
      <c r="D2193" s="82" t="s">
        <v>4059</v>
      </c>
      <c r="E2193" s="81">
        <v>43871</v>
      </c>
      <c r="F2193" s="27">
        <f t="shared" ca="1" si="37"/>
        <v>602</v>
      </c>
      <c r="G2193" s="79"/>
      <c r="H2193" s="80"/>
      <c r="I2193" s="80"/>
      <c r="J2193" s="79"/>
      <c r="K2193" s="78"/>
      <c r="L2193" s="77">
        <v>43875</v>
      </c>
      <c r="M2193" s="68"/>
      <c r="N2193" s="76" t="s">
        <v>998</v>
      </c>
      <c r="O2193" s="75" t="s">
        <v>2373</v>
      </c>
      <c r="R2193" s="74"/>
    </row>
    <row r="2194" spans="2:18" ht="36" hidden="1" customHeight="1" x14ac:dyDescent="0.25">
      <c r="B2194" s="84">
        <v>1825</v>
      </c>
      <c r="C2194" s="83" t="s">
        <v>11</v>
      </c>
      <c r="D2194" s="82" t="s">
        <v>4026</v>
      </c>
      <c r="E2194" s="81">
        <v>43882</v>
      </c>
      <c r="F2194" s="27">
        <f t="shared" ca="1" si="37"/>
        <v>591</v>
      </c>
      <c r="G2194" s="79"/>
      <c r="H2194" s="80"/>
      <c r="I2194" s="80"/>
      <c r="J2194" s="79"/>
      <c r="K2194" s="78"/>
      <c r="L2194" s="77">
        <v>43915</v>
      </c>
      <c r="M2194" s="68"/>
      <c r="N2194" s="76" t="s">
        <v>4060</v>
      </c>
      <c r="O2194" s="75" t="s">
        <v>4061</v>
      </c>
      <c r="R2194" s="74"/>
    </row>
    <row r="2195" spans="2:18" ht="36" hidden="1" customHeight="1" x14ac:dyDescent="0.25">
      <c r="B2195" s="84">
        <v>1825</v>
      </c>
      <c r="C2195" s="83" t="s">
        <v>17</v>
      </c>
      <c r="D2195" s="82" t="s">
        <v>4062</v>
      </c>
      <c r="E2195" s="81">
        <v>43882</v>
      </c>
      <c r="F2195" s="27">
        <f t="shared" ca="1" si="37"/>
        <v>591</v>
      </c>
      <c r="G2195" s="79"/>
      <c r="H2195" s="80"/>
      <c r="I2195" s="80"/>
      <c r="J2195" s="79"/>
      <c r="K2195" s="78"/>
      <c r="L2195" s="77">
        <v>43915</v>
      </c>
      <c r="M2195" s="68"/>
      <c r="N2195" s="76" t="s">
        <v>4060</v>
      </c>
      <c r="O2195" s="75" t="s">
        <v>4063</v>
      </c>
      <c r="R2195" s="74"/>
    </row>
    <row r="2196" spans="2:18" ht="36" hidden="1" customHeight="1" x14ac:dyDescent="0.25">
      <c r="B2196" s="84">
        <v>1825</v>
      </c>
      <c r="C2196" s="83" t="s">
        <v>27</v>
      </c>
      <c r="D2196" s="82" t="s">
        <v>4064</v>
      </c>
      <c r="E2196" s="81">
        <v>43885</v>
      </c>
      <c r="F2196" s="27">
        <f t="shared" ca="1" si="37"/>
        <v>588</v>
      </c>
      <c r="G2196" s="79"/>
      <c r="H2196" s="80"/>
      <c r="I2196" s="80"/>
      <c r="J2196" s="79"/>
      <c r="K2196" s="78"/>
      <c r="L2196" s="77">
        <v>43915</v>
      </c>
      <c r="M2196" s="68"/>
      <c r="N2196" s="76" t="s">
        <v>4060</v>
      </c>
      <c r="O2196" s="75" t="s">
        <v>4065</v>
      </c>
      <c r="R2196" s="74"/>
    </row>
    <row r="2197" spans="2:18" ht="36" hidden="1" customHeight="1" x14ac:dyDescent="0.25">
      <c r="B2197" s="84">
        <v>1825</v>
      </c>
      <c r="C2197" s="83" t="s">
        <v>17</v>
      </c>
      <c r="D2197" s="82" t="s">
        <v>4066</v>
      </c>
      <c r="E2197" s="81">
        <v>43885</v>
      </c>
      <c r="F2197" s="27">
        <f t="shared" ca="1" si="37"/>
        <v>588</v>
      </c>
      <c r="G2197" s="79"/>
      <c r="H2197" s="80"/>
      <c r="I2197" s="80"/>
      <c r="J2197" s="79"/>
      <c r="K2197" s="78"/>
      <c r="L2197" s="77">
        <v>43915</v>
      </c>
      <c r="M2197" s="68"/>
      <c r="N2197" s="76" t="s">
        <v>4060</v>
      </c>
      <c r="O2197" s="75" t="s">
        <v>4067</v>
      </c>
      <c r="R2197" s="74"/>
    </row>
    <row r="2198" spans="2:18" ht="36" hidden="1" customHeight="1" x14ac:dyDescent="0.25">
      <c r="B2198" s="84">
        <v>1825</v>
      </c>
      <c r="C2198" s="83" t="s">
        <v>20</v>
      </c>
      <c r="D2198" s="82" t="s">
        <v>4068</v>
      </c>
      <c r="E2198" s="81">
        <v>43894</v>
      </c>
      <c r="F2198" s="27">
        <f t="shared" ca="1" si="37"/>
        <v>579</v>
      </c>
      <c r="G2198" s="79"/>
      <c r="H2198" s="80"/>
      <c r="I2198" s="80"/>
      <c r="J2198" s="79"/>
      <c r="K2198" s="78"/>
      <c r="L2198" s="77">
        <v>43915</v>
      </c>
      <c r="M2198" s="68"/>
      <c r="N2198" s="76" t="s">
        <v>4060</v>
      </c>
      <c r="O2198" s="75" t="s">
        <v>4069</v>
      </c>
      <c r="R2198" s="74"/>
    </row>
    <row r="2199" spans="2:18" ht="36" hidden="1" customHeight="1" x14ac:dyDescent="0.25">
      <c r="B2199" s="84">
        <v>1825</v>
      </c>
      <c r="C2199" s="83" t="s">
        <v>17</v>
      </c>
      <c r="D2199" s="82" t="s">
        <v>4070</v>
      </c>
      <c r="E2199" s="81">
        <v>43930</v>
      </c>
      <c r="F2199" s="27">
        <f t="shared" ca="1" si="37"/>
        <v>543</v>
      </c>
      <c r="G2199" s="79"/>
      <c r="H2199" s="80"/>
      <c r="I2199" s="80"/>
      <c r="J2199" s="79"/>
      <c r="K2199" s="78"/>
      <c r="L2199" s="77">
        <v>43938</v>
      </c>
      <c r="M2199" s="68"/>
      <c r="N2199" s="76" t="s">
        <v>686</v>
      </c>
      <c r="O2199" s="75"/>
      <c r="R2199" s="74"/>
    </row>
    <row r="2200" spans="2:18" ht="36" hidden="1" customHeight="1" x14ac:dyDescent="0.25">
      <c r="B2200" s="84">
        <v>1825</v>
      </c>
      <c r="C2200" s="83" t="s">
        <v>23</v>
      </c>
      <c r="D2200" s="82" t="s">
        <v>4071</v>
      </c>
      <c r="E2200" s="81">
        <v>43962</v>
      </c>
      <c r="F2200" s="27">
        <f t="shared" ca="1" si="37"/>
        <v>511</v>
      </c>
      <c r="G2200" s="79"/>
      <c r="H2200" s="80"/>
      <c r="I2200" s="80" t="s">
        <v>206</v>
      </c>
      <c r="J2200" s="79"/>
      <c r="K2200" s="78"/>
      <c r="L2200" s="77">
        <v>43980</v>
      </c>
      <c r="M2200" s="68"/>
      <c r="N2200" s="76"/>
      <c r="O2200" s="75" t="s">
        <v>4072</v>
      </c>
      <c r="R2200" s="74"/>
    </row>
    <row r="2201" spans="2:18" ht="36" hidden="1" customHeight="1" x14ac:dyDescent="0.25">
      <c r="B2201" s="84">
        <v>1825</v>
      </c>
      <c r="C2201" s="83" t="s">
        <v>19</v>
      </c>
      <c r="D2201" s="82" t="s">
        <v>967</v>
      </c>
      <c r="E2201" s="81">
        <v>43973</v>
      </c>
      <c r="F2201" s="27">
        <f t="shared" ca="1" si="37"/>
        <v>500</v>
      </c>
      <c r="G2201" s="79"/>
      <c r="H2201" s="80"/>
      <c r="I2201" s="80" t="s">
        <v>206</v>
      </c>
      <c r="J2201" s="79"/>
      <c r="K2201" s="78"/>
      <c r="L2201" s="77">
        <v>43980</v>
      </c>
      <c r="M2201" s="68"/>
      <c r="N2201" s="76"/>
      <c r="O2201" s="75" t="s">
        <v>4073</v>
      </c>
      <c r="R2201" s="74"/>
    </row>
    <row r="2202" spans="2:18" ht="36" hidden="1" customHeight="1" x14ac:dyDescent="0.25">
      <c r="B2202" s="84">
        <v>1825</v>
      </c>
      <c r="C2202" s="83" t="s">
        <v>17</v>
      </c>
      <c r="D2202" s="82" t="s">
        <v>4074</v>
      </c>
      <c r="E2202" s="81">
        <v>43986</v>
      </c>
      <c r="F2202" s="27">
        <f t="shared" ca="1" si="37"/>
        <v>487</v>
      </c>
      <c r="G2202" s="79"/>
      <c r="H2202" s="80"/>
      <c r="I2202" s="80"/>
      <c r="J2202" s="79"/>
      <c r="K2202" s="78"/>
      <c r="L2202" s="77">
        <v>44022</v>
      </c>
      <c r="M2202" s="68"/>
      <c r="N2202" s="76" t="s">
        <v>4075</v>
      </c>
      <c r="O2202" s="75"/>
      <c r="R2202" s="74"/>
    </row>
    <row r="2203" spans="2:18" ht="36" hidden="1" customHeight="1" x14ac:dyDescent="0.25">
      <c r="B2203" s="84">
        <v>1825</v>
      </c>
      <c r="C2203" s="83" t="s">
        <v>15</v>
      </c>
      <c r="D2203" s="82" t="s">
        <v>4076</v>
      </c>
      <c r="E2203" s="81">
        <v>44018</v>
      </c>
      <c r="F2203" s="27">
        <f t="shared" ca="1" si="37"/>
        <v>455</v>
      </c>
      <c r="G2203" s="79"/>
      <c r="H2203" s="80"/>
      <c r="I2203" s="80"/>
      <c r="J2203" s="79"/>
      <c r="K2203" s="78"/>
      <c r="L2203" s="77">
        <v>44022</v>
      </c>
      <c r="M2203" s="68"/>
      <c r="N2203" s="76" t="s">
        <v>4075</v>
      </c>
      <c r="O2203" s="75"/>
      <c r="R2203" s="74"/>
    </row>
    <row r="2204" spans="2:18" ht="36" hidden="1" customHeight="1" x14ac:dyDescent="0.25">
      <c r="B2204" s="84">
        <v>1825</v>
      </c>
      <c r="C2204" s="83" t="s">
        <v>31</v>
      </c>
      <c r="D2204" s="82" t="s">
        <v>4077</v>
      </c>
      <c r="E2204" s="81">
        <v>44020</v>
      </c>
      <c r="F2204" s="27">
        <f t="shared" ca="1" si="37"/>
        <v>453</v>
      </c>
      <c r="G2204" s="79"/>
      <c r="H2204" s="80"/>
      <c r="I2204" s="80"/>
      <c r="J2204" s="79"/>
      <c r="K2204" s="78"/>
      <c r="L2204" s="77">
        <v>44040</v>
      </c>
      <c r="M2204" s="68"/>
      <c r="N2204" s="76" t="s">
        <v>4078</v>
      </c>
      <c r="O2204" s="75" t="s">
        <v>4079</v>
      </c>
      <c r="R2204" s="74"/>
    </row>
    <row r="2205" spans="2:18" ht="36" hidden="1" customHeight="1" x14ac:dyDescent="0.25">
      <c r="B2205" s="84">
        <v>1825</v>
      </c>
      <c r="C2205" s="83" t="s">
        <v>40</v>
      </c>
      <c r="D2205" s="82" t="s">
        <v>4080</v>
      </c>
      <c r="E2205" s="81">
        <v>44026</v>
      </c>
      <c r="F2205" s="27">
        <f t="shared" ca="1" si="37"/>
        <v>447</v>
      </c>
      <c r="G2205" s="79"/>
      <c r="H2205" s="80"/>
      <c r="I2205" s="80"/>
      <c r="J2205" s="79"/>
      <c r="K2205" s="78"/>
      <c r="L2205" s="77">
        <v>44040</v>
      </c>
      <c r="M2205" s="68"/>
      <c r="N2205" s="76" t="s">
        <v>4078</v>
      </c>
      <c r="O2205" s="75" t="s">
        <v>4081</v>
      </c>
      <c r="R2205" s="74"/>
    </row>
    <row r="2206" spans="2:18" ht="36" hidden="1" customHeight="1" x14ac:dyDescent="0.25">
      <c r="B2206" s="84">
        <v>1825</v>
      </c>
      <c r="C2206" s="83" t="s">
        <v>11</v>
      </c>
      <c r="D2206" s="82" t="s">
        <v>4082</v>
      </c>
      <c r="E2206" s="81">
        <v>44026</v>
      </c>
      <c r="F2206" s="27">
        <f t="shared" ca="1" si="37"/>
        <v>447</v>
      </c>
      <c r="G2206" s="79"/>
      <c r="H2206" s="80"/>
      <c r="I2206" s="80"/>
      <c r="J2206" s="79"/>
      <c r="K2206" s="78"/>
      <c r="L2206" s="77">
        <v>44040</v>
      </c>
      <c r="M2206" s="68"/>
      <c r="N2206" s="76" t="s">
        <v>4078</v>
      </c>
      <c r="O2206" s="75" t="s">
        <v>4083</v>
      </c>
      <c r="R2206" s="74"/>
    </row>
    <row r="2207" spans="2:18" ht="36" hidden="1" customHeight="1" x14ac:dyDescent="0.25">
      <c r="B2207" s="84">
        <v>1825</v>
      </c>
      <c r="C2207" s="83" t="s">
        <v>40</v>
      </c>
      <c r="D2207" s="82" t="s">
        <v>4084</v>
      </c>
      <c r="E2207" s="81">
        <v>44041</v>
      </c>
      <c r="F2207" s="27">
        <f t="shared" ca="1" si="37"/>
        <v>432</v>
      </c>
      <c r="G2207" s="79"/>
      <c r="H2207" s="80"/>
      <c r="I2207" s="80"/>
      <c r="J2207" s="79"/>
      <c r="K2207" s="78"/>
      <c r="L2207" s="77">
        <v>44043</v>
      </c>
      <c r="M2207" s="68"/>
      <c r="N2207" s="76" t="s">
        <v>1645</v>
      </c>
      <c r="O2207" s="75" t="s">
        <v>540</v>
      </c>
      <c r="R2207" s="74"/>
    </row>
    <row r="2208" spans="2:18" ht="36" hidden="1" customHeight="1" x14ac:dyDescent="0.25">
      <c r="B2208" s="84">
        <v>1825</v>
      </c>
      <c r="C2208" s="83" t="s">
        <v>4085</v>
      </c>
      <c r="D2208" s="82" t="s">
        <v>4086</v>
      </c>
      <c r="E2208" s="81">
        <v>44048</v>
      </c>
      <c r="F2208" s="27">
        <f t="shared" ca="1" si="37"/>
        <v>425</v>
      </c>
      <c r="G2208" s="79"/>
      <c r="H2208" s="80"/>
      <c r="I2208" s="80"/>
      <c r="J2208" s="79"/>
      <c r="K2208" s="78"/>
      <c r="L2208" s="77">
        <v>44055</v>
      </c>
      <c r="M2208" s="68"/>
      <c r="N2208" s="76" t="s">
        <v>937</v>
      </c>
      <c r="O2208" s="75"/>
      <c r="R2208" s="74"/>
    </row>
    <row r="2209" spans="2:18" ht="36" hidden="1" customHeight="1" x14ac:dyDescent="0.25">
      <c r="B2209" s="84">
        <v>1825</v>
      </c>
      <c r="C2209" s="83" t="s">
        <v>16</v>
      </c>
      <c r="D2209" s="82" t="s">
        <v>4087</v>
      </c>
      <c r="E2209" s="81">
        <v>44054</v>
      </c>
      <c r="F2209" s="27">
        <f t="shared" ca="1" si="37"/>
        <v>419</v>
      </c>
      <c r="G2209" s="79"/>
      <c r="H2209" s="80"/>
      <c r="I2209" s="80"/>
      <c r="J2209" s="79"/>
      <c r="K2209" s="78"/>
      <c r="L2209" s="77">
        <v>44055</v>
      </c>
      <c r="M2209" s="68"/>
      <c r="N2209" s="76" t="s">
        <v>2041</v>
      </c>
      <c r="O2209" s="75" t="s">
        <v>4088</v>
      </c>
      <c r="R2209" s="74"/>
    </row>
    <row r="2210" spans="2:18" ht="36" hidden="1" customHeight="1" x14ac:dyDescent="0.25">
      <c r="B2210" s="84">
        <v>1825</v>
      </c>
      <c r="C2210" s="83" t="s">
        <v>19</v>
      </c>
      <c r="D2210" s="82" t="s">
        <v>967</v>
      </c>
      <c r="E2210" s="81">
        <v>44074.356620370374</v>
      </c>
      <c r="F2210" s="27"/>
      <c r="G2210" s="79"/>
      <c r="H2210" s="80"/>
      <c r="I2210" s="120" t="s">
        <v>206</v>
      </c>
      <c r="J2210" s="79"/>
      <c r="K2210" s="78"/>
      <c r="L2210" s="77">
        <v>44074</v>
      </c>
      <c r="M2210" s="68"/>
      <c r="N2210" s="76"/>
      <c r="O2210" s="119"/>
      <c r="R2210" s="74"/>
    </row>
    <row r="2211" spans="2:18" ht="36" hidden="1" customHeight="1" x14ac:dyDescent="0.25">
      <c r="B2211" s="84">
        <v>1826</v>
      </c>
      <c r="C2211" s="83" t="s">
        <v>4085</v>
      </c>
      <c r="D2211" s="82" t="s">
        <v>4092</v>
      </c>
      <c r="E2211" s="81">
        <v>43836</v>
      </c>
      <c r="F2211" s="27">
        <f t="shared" ref="F2211:F2242" ca="1" si="38">IF(E2211&lt;&gt;"",TODAY()-E2211,"")</f>
        <v>637</v>
      </c>
      <c r="G2211" s="79"/>
      <c r="H2211" s="80"/>
      <c r="I2211" s="80"/>
      <c r="J2211" s="79"/>
      <c r="K2211" s="78"/>
      <c r="L2211" s="77">
        <v>43845</v>
      </c>
      <c r="M2211" s="68"/>
      <c r="N2211" s="76" t="s">
        <v>185</v>
      </c>
      <c r="O2211" s="75" t="s">
        <v>2253</v>
      </c>
      <c r="R2211" s="74"/>
    </row>
    <row r="2212" spans="2:18" ht="36" hidden="1" customHeight="1" x14ac:dyDescent="0.25">
      <c r="B2212" s="84">
        <v>1826</v>
      </c>
      <c r="C2212" s="83" t="s">
        <v>40</v>
      </c>
      <c r="D2212" s="82" t="s">
        <v>4089</v>
      </c>
      <c r="E2212" s="81">
        <v>43840</v>
      </c>
      <c r="F2212" s="27">
        <f t="shared" ca="1" si="38"/>
        <v>633</v>
      </c>
      <c r="G2212" s="79"/>
      <c r="H2212" s="80"/>
      <c r="I2212" s="80"/>
      <c r="J2212" s="79"/>
      <c r="K2212" s="78"/>
      <c r="L2212" s="77">
        <v>43836</v>
      </c>
      <c r="M2212" s="68"/>
      <c r="N2212" s="76" t="s">
        <v>185</v>
      </c>
      <c r="O2212" s="75" t="s">
        <v>4090</v>
      </c>
      <c r="R2212" s="74"/>
    </row>
    <row r="2213" spans="2:18" ht="36" hidden="1" customHeight="1" x14ac:dyDescent="0.25">
      <c r="B2213" s="84">
        <v>1826</v>
      </c>
      <c r="C2213" s="83" t="s">
        <v>19</v>
      </c>
      <c r="D2213" s="82" t="s">
        <v>967</v>
      </c>
      <c r="E2213" s="81">
        <v>43840</v>
      </c>
      <c r="F2213" s="27">
        <f t="shared" ca="1" si="38"/>
        <v>633</v>
      </c>
      <c r="G2213" s="79"/>
      <c r="H2213" s="80"/>
      <c r="I2213" s="80"/>
      <c r="J2213" s="79"/>
      <c r="K2213" s="78"/>
      <c r="L2213" s="77">
        <v>43836</v>
      </c>
      <c r="M2213" s="68"/>
      <c r="N2213" s="76" t="s">
        <v>185</v>
      </c>
      <c r="O2213" s="75" t="s">
        <v>4091</v>
      </c>
      <c r="R2213" s="74"/>
    </row>
    <row r="2214" spans="2:18" ht="36" hidden="1" customHeight="1" x14ac:dyDescent="0.25">
      <c r="B2214" s="84">
        <v>1826</v>
      </c>
      <c r="C2214" s="83" t="s">
        <v>40</v>
      </c>
      <c r="D2214" s="82" t="s">
        <v>3453</v>
      </c>
      <c r="E2214" s="81">
        <v>43840</v>
      </c>
      <c r="F2214" s="27">
        <f t="shared" ca="1" si="38"/>
        <v>633</v>
      </c>
      <c r="G2214" s="79"/>
      <c r="H2214" s="80"/>
      <c r="I2214" s="80"/>
      <c r="J2214" s="79"/>
      <c r="K2214" s="78"/>
      <c r="L2214" s="77">
        <v>43888</v>
      </c>
      <c r="M2214" s="68"/>
      <c r="N2214" s="76" t="s">
        <v>4094</v>
      </c>
      <c r="O2214" s="75"/>
      <c r="R2214" s="74"/>
    </row>
    <row r="2215" spans="2:18" ht="36" hidden="1" customHeight="1" x14ac:dyDescent="0.25">
      <c r="B2215" s="84">
        <v>1826</v>
      </c>
      <c r="C2215" s="83" t="s">
        <v>30</v>
      </c>
      <c r="D2215" s="82" t="s">
        <v>2835</v>
      </c>
      <c r="E2215" s="81">
        <v>43854</v>
      </c>
      <c r="F2215" s="27">
        <f t="shared" ca="1" si="38"/>
        <v>619</v>
      </c>
      <c r="G2215" s="79"/>
      <c r="H2215" s="80"/>
      <c r="I2215" s="80"/>
      <c r="J2215" s="79"/>
      <c r="K2215" s="78"/>
      <c r="L2215" s="77">
        <v>43871</v>
      </c>
      <c r="M2215" s="68"/>
      <c r="N2215" s="76" t="s">
        <v>185</v>
      </c>
      <c r="O2215" s="75" t="s">
        <v>4093</v>
      </c>
      <c r="R2215" s="74"/>
    </row>
    <row r="2216" spans="2:18" ht="36" hidden="1" customHeight="1" x14ac:dyDescent="0.25">
      <c r="B2216" s="84">
        <v>1826</v>
      </c>
      <c r="C2216" s="83" t="s">
        <v>20</v>
      </c>
      <c r="D2216" s="82" t="s">
        <v>4096</v>
      </c>
      <c r="E2216" s="81">
        <v>43873</v>
      </c>
      <c r="F2216" s="27">
        <f t="shared" ca="1" si="38"/>
        <v>600</v>
      </c>
      <c r="G2216" s="79"/>
      <c r="H2216" s="80"/>
      <c r="I2216" s="80"/>
      <c r="J2216" s="79"/>
      <c r="K2216" s="78"/>
      <c r="L2216" s="77">
        <v>43888</v>
      </c>
      <c r="M2216" s="68"/>
      <c r="N2216" s="76" t="s">
        <v>4094</v>
      </c>
      <c r="O2216" s="75" t="s">
        <v>4097</v>
      </c>
      <c r="R2216" s="74"/>
    </row>
    <row r="2217" spans="2:18" ht="36" hidden="1" customHeight="1" x14ac:dyDescent="0.25">
      <c r="B2217" s="84">
        <v>1826</v>
      </c>
      <c r="C2217" s="83" t="s">
        <v>19</v>
      </c>
      <c r="D2217" s="82" t="s">
        <v>967</v>
      </c>
      <c r="E2217" s="81">
        <v>43873</v>
      </c>
      <c r="F2217" s="27">
        <f t="shared" ca="1" si="38"/>
        <v>600</v>
      </c>
      <c r="G2217" s="79"/>
      <c r="H2217" s="80"/>
      <c r="I2217" s="80"/>
      <c r="J2217" s="79"/>
      <c r="K2217" s="78"/>
      <c r="L2217" s="77">
        <v>43888</v>
      </c>
      <c r="M2217" s="68"/>
      <c r="N2217" s="76" t="s">
        <v>4094</v>
      </c>
      <c r="O2217" s="75" t="s">
        <v>4097</v>
      </c>
      <c r="R2217" s="74"/>
    </row>
    <row r="2218" spans="2:18" ht="36" hidden="1" customHeight="1" x14ac:dyDescent="0.25">
      <c r="B2218" s="84">
        <v>1826</v>
      </c>
      <c r="C2218" s="83" t="s">
        <v>11</v>
      </c>
      <c r="D2218" s="82" t="s">
        <v>1649</v>
      </c>
      <c r="E2218" s="81">
        <v>43875</v>
      </c>
      <c r="F2218" s="27">
        <f t="shared" ca="1" si="38"/>
        <v>598</v>
      </c>
      <c r="G2218" s="79"/>
      <c r="H2218" s="80"/>
      <c r="I2218" s="80"/>
      <c r="J2218" s="79"/>
      <c r="K2218" s="78"/>
      <c r="L2218" s="77">
        <v>43888</v>
      </c>
      <c r="M2218" s="68"/>
      <c r="N2218" s="76" t="s">
        <v>4094</v>
      </c>
      <c r="O2218" s="75" t="s">
        <v>4095</v>
      </c>
      <c r="R2218" s="74"/>
    </row>
    <row r="2219" spans="2:18" ht="36" hidden="1" customHeight="1" x14ac:dyDescent="0.25">
      <c r="B2219" s="84">
        <v>1826</v>
      </c>
      <c r="C2219" s="83" t="s">
        <v>12</v>
      </c>
      <c r="D2219" s="82" t="s">
        <v>4098</v>
      </c>
      <c r="E2219" s="81">
        <v>43893</v>
      </c>
      <c r="F2219" s="27">
        <f t="shared" ca="1" si="38"/>
        <v>580</v>
      </c>
      <c r="G2219" s="79"/>
      <c r="H2219" s="80"/>
      <c r="I2219" s="80"/>
      <c r="J2219" s="79"/>
      <c r="K2219" s="78"/>
      <c r="L2219" s="77">
        <v>43892</v>
      </c>
      <c r="M2219" s="68"/>
      <c r="N2219" s="76" t="s">
        <v>703</v>
      </c>
      <c r="O2219" s="75"/>
      <c r="R2219" s="74"/>
    </row>
    <row r="2220" spans="2:18" ht="36" hidden="1" customHeight="1" x14ac:dyDescent="0.25">
      <c r="B2220" s="84">
        <v>1826</v>
      </c>
      <c r="C2220" s="83" t="s">
        <v>37</v>
      </c>
      <c r="D2220" s="82" t="s">
        <v>4099</v>
      </c>
      <c r="E2220" s="81">
        <v>43895</v>
      </c>
      <c r="F2220" s="27">
        <f t="shared" ca="1" si="38"/>
        <v>578</v>
      </c>
      <c r="G2220" s="79"/>
      <c r="H2220" s="80"/>
      <c r="I2220" s="80"/>
      <c r="J2220" s="79"/>
      <c r="K2220" s="78"/>
      <c r="L2220" s="77">
        <v>43899</v>
      </c>
      <c r="M2220" s="68"/>
      <c r="N2220" s="76" t="s">
        <v>4100</v>
      </c>
      <c r="O2220" s="75"/>
      <c r="R2220" s="74"/>
    </row>
    <row r="2221" spans="2:18" ht="36" hidden="1" customHeight="1" x14ac:dyDescent="0.25">
      <c r="B2221" s="84">
        <v>1826</v>
      </c>
      <c r="C2221" s="83" t="s">
        <v>21</v>
      </c>
      <c r="D2221" s="82" t="s">
        <v>4101</v>
      </c>
      <c r="E2221" s="81">
        <v>43916</v>
      </c>
      <c r="F2221" s="27">
        <f t="shared" ca="1" si="38"/>
        <v>557</v>
      </c>
      <c r="G2221" s="79"/>
      <c r="H2221" s="80"/>
      <c r="I2221" s="80"/>
      <c r="J2221" s="79"/>
      <c r="K2221" s="78"/>
      <c r="L2221" s="77">
        <v>43937</v>
      </c>
      <c r="M2221" s="68"/>
      <c r="N2221" s="76" t="s">
        <v>4102</v>
      </c>
      <c r="O2221" s="75" t="s">
        <v>4103</v>
      </c>
      <c r="R2221" s="74"/>
    </row>
    <row r="2222" spans="2:18" ht="36" hidden="1" customHeight="1" x14ac:dyDescent="0.25">
      <c r="B2222" s="84">
        <v>1826</v>
      </c>
      <c r="C2222" s="83" t="s">
        <v>40</v>
      </c>
      <c r="D2222" s="82" t="s">
        <v>4104</v>
      </c>
      <c r="E2222" s="81">
        <v>43945</v>
      </c>
      <c r="F2222" s="27">
        <f t="shared" ca="1" si="38"/>
        <v>528</v>
      </c>
      <c r="G2222" s="79"/>
      <c r="H2222" s="80"/>
      <c r="I2222" s="80" t="s">
        <v>206</v>
      </c>
      <c r="J2222" s="79"/>
      <c r="K2222" s="78"/>
      <c r="L2222" s="77">
        <v>43951</v>
      </c>
      <c r="M2222" s="68"/>
      <c r="N2222" s="76" t="s">
        <v>686</v>
      </c>
      <c r="O2222" s="75" t="s">
        <v>4105</v>
      </c>
      <c r="R2222" s="74"/>
    </row>
    <row r="2223" spans="2:18" ht="36" hidden="1" customHeight="1" x14ac:dyDescent="0.25">
      <c r="B2223" s="84">
        <v>1826</v>
      </c>
      <c r="C2223" s="83" t="s">
        <v>23</v>
      </c>
      <c r="D2223" s="82" t="s">
        <v>4106</v>
      </c>
      <c r="E2223" s="81">
        <v>43977</v>
      </c>
      <c r="F2223" s="27">
        <f t="shared" ca="1" si="38"/>
        <v>496</v>
      </c>
      <c r="G2223" s="79"/>
      <c r="H2223" s="80"/>
      <c r="I2223" s="80" t="s">
        <v>206</v>
      </c>
      <c r="J2223" s="79"/>
      <c r="K2223" s="78"/>
      <c r="L2223" s="77">
        <v>43978</v>
      </c>
      <c r="M2223" s="68"/>
      <c r="N2223" s="76" t="s">
        <v>1645</v>
      </c>
      <c r="O2223" s="75" t="s">
        <v>4107</v>
      </c>
      <c r="R2223" s="74"/>
    </row>
    <row r="2224" spans="2:18" ht="36" hidden="1" customHeight="1" x14ac:dyDescent="0.25">
      <c r="B2224" s="84">
        <v>1826</v>
      </c>
      <c r="C2224" s="83" t="s">
        <v>23</v>
      </c>
      <c r="D2224" s="82" t="s">
        <v>4108</v>
      </c>
      <c r="E2224" s="81">
        <v>43977</v>
      </c>
      <c r="F2224" s="27">
        <f t="shared" ca="1" si="38"/>
        <v>496</v>
      </c>
      <c r="G2224" s="79"/>
      <c r="H2224" s="80"/>
      <c r="I2224" s="80" t="s">
        <v>206</v>
      </c>
      <c r="J2224" s="79"/>
      <c r="K2224" s="78"/>
      <c r="L2224" s="77">
        <v>43978</v>
      </c>
      <c r="M2224" s="68"/>
      <c r="N2224" s="76" t="s">
        <v>1645</v>
      </c>
      <c r="O2224" s="75" t="s">
        <v>1179</v>
      </c>
      <c r="R2224" s="74"/>
    </row>
    <row r="2225" spans="2:18" ht="36" hidden="1" customHeight="1" x14ac:dyDescent="0.25">
      <c r="B2225" s="84">
        <v>1826</v>
      </c>
      <c r="C2225" s="83" t="s">
        <v>11</v>
      </c>
      <c r="D2225" s="82" t="s">
        <v>4109</v>
      </c>
      <c r="E2225" s="81">
        <v>44006</v>
      </c>
      <c r="F2225" s="27">
        <f t="shared" ca="1" si="38"/>
        <v>467</v>
      </c>
      <c r="G2225" s="79"/>
      <c r="H2225" s="80"/>
      <c r="I2225" s="80"/>
      <c r="J2225" s="79"/>
      <c r="K2225" s="78"/>
      <c r="L2225" s="77">
        <v>44009</v>
      </c>
      <c r="M2225" s="68"/>
      <c r="N2225" s="76" t="s">
        <v>686</v>
      </c>
      <c r="O2225" s="75"/>
      <c r="R2225" s="74"/>
    </row>
    <row r="2226" spans="2:18" ht="36" hidden="1" customHeight="1" x14ac:dyDescent="0.25">
      <c r="B2226" s="84">
        <v>1826</v>
      </c>
      <c r="C2226" s="83" t="s">
        <v>19</v>
      </c>
      <c r="D2226" s="82" t="s">
        <v>4110</v>
      </c>
      <c r="E2226" s="81">
        <v>44012</v>
      </c>
      <c r="F2226" s="27">
        <f t="shared" ca="1" si="38"/>
        <v>461</v>
      </c>
      <c r="G2226" s="79"/>
      <c r="H2226" s="80"/>
      <c r="I2226" s="80"/>
      <c r="J2226" s="79"/>
      <c r="K2226" s="78"/>
      <c r="L2226" s="77">
        <v>44014</v>
      </c>
      <c r="M2226" s="68"/>
      <c r="N2226" s="76" t="s">
        <v>686</v>
      </c>
      <c r="O2226" s="75" t="s">
        <v>4111</v>
      </c>
      <c r="R2226" s="74"/>
    </row>
    <row r="2227" spans="2:18" ht="36" hidden="1" customHeight="1" x14ac:dyDescent="0.25">
      <c r="B2227" s="84">
        <v>1826</v>
      </c>
      <c r="C2227" s="83" t="s">
        <v>19</v>
      </c>
      <c r="D2227" s="82" t="s">
        <v>4112</v>
      </c>
      <c r="E2227" s="81">
        <v>44012</v>
      </c>
      <c r="F2227" s="27">
        <f t="shared" ca="1" si="38"/>
        <v>461</v>
      </c>
      <c r="G2227" s="79"/>
      <c r="H2227" s="80"/>
      <c r="I2227" s="80"/>
      <c r="J2227" s="79"/>
      <c r="K2227" s="78"/>
      <c r="L2227" s="77">
        <v>44014</v>
      </c>
      <c r="M2227" s="68"/>
      <c r="N2227" s="76" t="s">
        <v>686</v>
      </c>
      <c r="O2227" s="75" t="s">
        <v>4113</v>
      </c>
      <c r="R2227" s="74"/>
    </row>
    <row r="2228" spans="2:18" ht="36" hidden="1" customHeight="1" x14ac:dyDescent="0.25">
      <c r="B2228" s="84">
        <v>1826</v>
      </c>
      <c r="C2228" s="83" t="s">
        <v>11</v>
      </c>
      <c r="D2228" s="82" t="s">
        <v>4114</v>
      </c>
      <c r="E2228" s="81">
        <v>44020</v>
      </c>
      <c r="F2228" s="27">
        <f t="shared" ca="1" si="38"/>
        <v>453</v>
      </c>
      <c r="G2228" s="79"/>
      <c r="H2228" s="80"/>
      <c r="I2228" s="80"/>
      <c r="J2228" s="79"/>
      <c r="K2228" s="78"/>
      <c r="L2228" s="77">
        <v>44025</v>
      </c>
      <c r="M2228" s="68"/>
      <c r="N2228" s="76" t="s">
        <v>937</v>
      </c>
      <c r="O2228" s="75" t="s">
        <v>4105</v>
      </c>
      <c r="R2228" s="74"/>
    </row>
    <row r="2229" spans="2:18" ht="36" hidden="1" customHeight="1" x14ac:dyDescent="0.25">
      <c r="B2229" s="84">
        <v>1826</v>
      </c>
      <c r="C2229" s="83" t="s">
        <v>16</v>
      </c>
      <c r="D2229" s="82" t="s">
        <v>4115</v>
      </c>
      <c r="E2229" s="81">
        <v>44042</v>
      </c>
      <c r="F2229" s="27">
        <f t="shared" ca="1" si="38"/>
        <v>431</v>
      </c>
      <c r="G2229" s="79"/>
      <c r="H2229" s="80"/>
      <c r="I2229" s="80"/>
      <c r="J2229" s="79"/>
      <c r="K2229" s="78"/>
      <c r="L2229" s="77">
        <v>44055</v>
      </c>
      <c r="M2229" s="68"/>
      <c r="N2229" s="76" t="s">
        <v>686</v>
      </c>
      <c r="O2229" s="75" t="s">
        <v>4116</v>
      </c>
      <c r="R2229" s="74"/>
    </row>
    <row r="2230" spans="2:18" ht="36" hidden="1" customHeight="1" x14ac:dyDescent="0.25">
      <c r="B2230" s="84">
        <v>1827</v>
      </c>
      <c r="C2230" s="83" t="s">
        <v>19</v>
      </c>
      <c r="D2230" s="82" t="s">
        <v>4117</v>
      </c>
      <c r="E2230" s="81">
        <v>43811</v>
      </c>
      <c r="F2230" s="27">
        <f t="shared" ca="1" si="38"/>
        <v>662</v>
      </c>
      <c r="G2230" s="79"/>
      <c r="H2230" s="80"/>
      <c r="I2230" s="80"/>
      <c r="J2230" s="79"/>
      <c r="K2230" s="78"/>
      <c r="L2230" s="77">
        <v>43836</v>
      </c>
      <c r="M2230" s="68"/>
      <c r="N2230" s="76" t="s">
        <v>185</v>
      </c>
      <c r="O2230" s="75" t="s">
        <v>4118</v>
      </c>
      <c r="R2230" s="74"/>
    </row>
    <row r="2231" spans="2:18" ht="36" hidden="1" customHeight="1" x14ac:dyDescent="0.25">
      <c r="B2231" s="84">
        <v>1827</v>
      </c>
      <c r="C2231" s="83" t="s">
        <v>40</v>
      </c>
      <c r="D2231" s="82" t="s">
        <v>4123</v>
      </c>
      <c r="E2231" s="81">
        <v>43837</v>
      </c>
      <c r="F2231" s="27">
        <f t="shared" ca="1" si="38"/>
        <v>636</v>
      </c>
      <c r="G2231" s="79"/>
      <c r="H2231" s="80"/>
      <c r="I2231" s="80"/>
      <c r="J2231" s="79"/>
      <c r="K2231" s="78"/>
      <c r="L2231" s="77">
        <v>43854</v>
      </c>
      <c r="M2231" s="68"/>
      <c r="N2231" s="76" t="s">
        <v>829</v>
      </c>
      <c r="O2231" s="75" t="s">
        <v>4124</v>
      </c>
      <c r="R2231" s="74"/>
    </row>
    <row r="2232" spans="2:18" ht="36" hidden="1" customHeight="1" x14ac:dyDescent="0.25">
      <c r="B2232" s="84">
        <v>1827</v>
      </c>
      <c r="C2232" s="83" t="s">
        <v>40</v>
      </c>
      <c r="D2232" s="82" t="s">
        <v>4140</v>
      </c>
      <c r="E2232" s="81">
        <v>43840</v>
      </c>
      <c r="F2232" s="27">
        <f t="shared" ca="1" si="38"/>
        <v>633</v>
      </c>
      <c r="G2232" s="79"/>
      <c r="H2232" s="80"/>
      <c r="I2232" s="80"/>
      <c r="J2232" s="79"/>
      <c r="K2232" s="78"/>
      <c r="L2232" s="77">
        <v>43925</v>
      </c>
      <c r="M2232" s="68"/>
      <c r="N2232" s="76" t="s">
        <v>4141</v>
      </c>
      <c r="O2232" s="75" t="s">
        <v>4142</v>
      </c>
      <c r="R2232" s="74"/>
    </row>
    <row r="2233" spans="2:18" ht="36" hidden="1" customHeight="1" x14ac:dyDescent="0.25">
      <c r="B2233" s="84">
        <v>1827</v>
      </c>
      <c r="C2233" s="83" t="s">
        <v>23</v>
      </c>
      <c r="D2233" s="82" t="s">
        <v>4119</v>
      </c>
      <c r="E2233" s="81">
        <v>43844</v>
      </c>
      <c r="F2233" s="27">
        <f t="shared" ca="1" si="38"/>
        <v>629</v>
      </c>
      <c r="G2233" s="79"/>
      <c r="H2233" s="80"/>
      <c r="I2233" s="80"/>
      <c r="J2233" s="79"/>
      <c r="K2233" s="78"/>
      <c r="L2233" s="77">
        <v>43845</v>
      </c>
      <c r="M2233" s="68"/>
      <c r="N2233" s="76" t="s">
        <v>185</v>
      </c>
      <c r="O2233" s="75" t="s">
        <v>4120</v>
      </c>
      <c r="R2233" s="74"/>
    </row>
    <row r="2234" spans="2:18" ht="36" hidden="1" customHeight="1" x14ac:dyDescent="0.25">
      <c r="B2234" s="84">
        <v>1827</v>
      </c>
      <c r="C2234" s="83" t="s">
        <v>23</v>
      </c>
      <c r="D2234" s="82" t="s">
        <v>4121</v>
      </c>
      <c r="E2234" s="81">
        <v>43844</v>
      </c>
      <c r="F2234" s="27">
        <f t="shared" ca="1" si="38"/>
        <v>629</v>
      </c>
      <c r="G2234" s="79"/>
      <c r="H2234" s="80"/>
      <c r="I2234" s="80"/>
      <c r="J2234" s="79"/>
      <c r="K2234" s="78"/>
      <c r="L2234" s="77">
        <v>43845</v>
      </c>
      <c r="M2234" s="68"/>
      <c r="N2234" s="76" t="s">
        <v>185</v>
      </c>
      <c r="O2234" s="75" t="s">
        <v>4122</v>
      </c>
      <c r="R2234" s="74"/>
    </row>
    <row r="2235" spans="2:18" ht="36" hidden="1" customHeight="1" x14ac:dyDescent="0.25">
      <c r="B2235" s="84">
        <v>1827</v>
      </c>
      <c r="C2235" s="83" t="s">
        <v>16</v>
      </c>
      <c r="D2235" s="82" t="s">
        <v>4125</v>
      </c>
      <c r="E2235" s="81">
        <v>43857</v>
      </c>
      <c r="F2235" s="27">
        <f t="shared" ca="1" si="38"/>
        <v>616</v>
      </c>
      <c r="G2235" s="79"/>
      <c r="H2235" s="80"/>
      <c r="I2235" s="80"/>
      <c r="J2235" s="79"/>
      <c r="K2235" s="78"/>
      <c r="L2235" s="77">
        <v>43858</v>
      </c>
      <c r="M2235" s="68"/>
      <c r="N2235" s="76" t="s">
        <v>185</v>
      </c>
      <c r="O2235" s="75"/>
      <c r="R2235" s="74"/>
    </row>
    <row r="2236" spans="2:18" ht="36" hidden="1" customHeight="1" x14ac:dyDescent="0.25">
      <c r="B2236" s="84">
        <v>1827</v>
      </c>
      <c r="C2236" s="83" t="s">
        <v>23</v>
      </c>
      <c r="D2236" s="82" t="s">
        <v>458</v>
      </c>
      <c r="E2236" s="81">
        <v>43857</v>
      </c>
      <c r="F2236" s="27">
        <f t="shared" ca="1" si="38"/>
        <v>616</v>
      </c>
      <c r="G2236" s="79"/>
      <c r="H2236" s="80"/>
      <c r="I2236" s="80"/>
      <c r="J2236" s="79"/>
      <c r="K2236" s="78"/>
      <c r="L2236" s="77">
        <v>43875</v>
      </c>
      <c r="M2236" s="68"/>
      <c r="N2236" s="76" t="s">
        <v>2917</v>
      </c>
      <c r="O2236" s="75"/>
      <c r="R2236" s="74"/>
    </row>
    <row r="2237" spans="2:18" ht="36" hidden="1" customHeight="1" x14ac:dyDescent="0.25">
      <c r="B2237" s="84">
        <v>1827</v>
      </c>
      <c r="C2237" s="83" t="s">
        <v>23</v>
      </c>
      <c r="D2237" s="82" t="s">
        <v>4126</v>
      </c>
      <c r="E2237" s="81">
        <v>43861</v>
      </c>
      <c r="F2237" s="27">
        <f t="shared" ca="1" si="38"/>
        <v>612</v>
      </c>
      <c r="G2237" s="79"/>
      <c r="H2237" s="80"/>
      <c r="I2237" s="80"/>
      <c r="J2237" s="79"/>
      <c r="K2237" s="78"/>
      <c r="L2237" s="77">
        <v>43875</v>
      </c>
      <c r="M2237" s="68"/>
      <c r="N2237" s="76" t="s">
        <v>2917</v>
      </c>
      <c r="O2237" s="75"/>
      <c r="R2237" s="74"/>
    </row>
    <row r="2238" spans="2:18" ht="36" hidden="1" customHeight="1" x14ac:dyDescent="0.25">
      <c r="B2238" s="84">
        <v>1827</v>
      </c>
      <c r="C2238" s="83" t="s">
        <v>23</v>
      </c>
      <c r="D2238" s="82" t="s">
        <v>4130</v>
      </c>
      <c r="E2238" s="81">
        <v>43873</v>
      </c>
      <c r="F2238" s="27">
        <f t="shared" ca="1" si="38"/>
        <v>600</v>
      </c>
      <c r="G2238" s="79"/>
      <c r="H2238" s="80"/>
      <c r="I2238" s="80"/>
      <c r="J2238" s="79"/>
      <c r="K2238" s="78"/>
      <c r="L2238" s="77">
        <v>43887</v>
      </c>
      <c r="M2238" s="68"/>
      <c r="N2238" s="76" t="s">
        <v>185</v>
      </c>
      <c r="O2238" s="75" t="s">
        <v>55</v>
      </c>
      <c r="R2238" s="74"/>
    </row>
    <row r="2239" spans="2:18" ht="36" hidden="1" customHeight="1" x14ac:dyDescent="0.25">
      <c r="B2239" s="84">
        <v>1827</v>
      </c>
      <c r="C2239" s="83" t="s">
        <v>27</v>
      </c>
      <c r="D2239" s="82" t="s">
        <v>4127</v>
      </c>
      <c r="E2239" s="81">
        <v>43879</v>
      </c>
      <c r="F2239" s="27">
        <f t="shared" ca="1" si="38"/>
        <v>594</v>
      </c>
      <c r="G2239" s="79"/>
      <c r="H2239" s="80"/>
      <c r="I2239" s="80"/>
      <c r="J2239" s="79"/>
      <c r="K2239" s="78"/>
      <c r="L2239" s="77">
        <v>43879</v>
      </c>
      <c r="M2239" s="68"/>
      <c r="N2239" s="76" t="s">
        <v>4128</v>
      </c>
      <c r="O2239" s="75" t="s">
        <v>4129</v>
      </c>
      <c r="R2239" s="74"/>
    </row>
    <row r="2240" spans="2:18" ht="36" hidden="1" customHeight="1" x14ac:dyDescent="0.25">
      <c r="B2240" s="84">
        <v>1827</v>
      </c>
      <c r="C2240" s="83" t="s">
        <v>23</v>
      </c>
      <c r="D2240" s="82" t="s">
        <v>4131</v>
      </c>
      <c r="E2240" s="81">
        <v>43881</v>
      </c>
      <c r="F2240" s="27">
        <f t="shared" ca="1" si="38"/>
        <v>592</v>
      </c>
      <c r="G2240" s="79"/>
      <c r="H2240" s="80"/>
      <c r="I2240" s="80"/>
      <c r="J2240" s="79"/>
      <c r="K2240" s="78"/>
      <c r="L2240" s="77">
        <v>43887</v>
      </c>
      <c r="M2240" s="68"/>
      <c r="N2240" s="76" t="s">
        <v>185</v>
      </c>
      <c r="O2240" s="75" t="s">
        <v>4132</v>
      </c>
      <c r="R2240" s="74"/>
    </row>
    <row r="2241" spans="2:18" ht="36" hidden="1" customHeight="1" x14ac:dyDescent="0.25">
      <c r="B2241" s="84">
        <v>1827</v>
      </c>
      <c r="C2241" s="83" t="s">
        <v>23</v>
      </c>
      <c r="D2241" s="82" t="s">
        <v>4133</v>
      </c>
      <c r="E2241" s="81">
        <v>43889</v>
      </c>
      <c r="F2241" s="27">
        <f t="shared" ca="1" si="38"/>
        <v>584</v>
      </c>
      <c r="G2241" s="79"/>
      <c r="H2241" s="80"/>
      <c r="I2241" s="80"/>
      <c r="J2241" s="79"/>
      <c r="K2241" s="78"/>
      <c r="L2241" s="77">
        <v>43893</v>
      </c>
      <c r="M2241" s="68"/>
      <c r="N2241" s="76" t="s">
        <v>703</v>
      </c>
      <c r="O2241" s="75" t="s">
        <v>57</v>
      </c>
      <c r="R2241" s="74"/>
    </row>
    <row r="2242" spans="2:18" ht="36" hidden="1" customHeight="1" x14ac:dyDescent="0.25">
      <c r="B2242" s="84">
        <v>1827</v>
      </c>
      <c r="C2242" s="83" t="s">
        <v>23</v>
      </c>
      <c r="D2242" s="82" t="s">
        <v>2608</v>
      </c>
      <c r="E2242" s="81">
        <v>43889</v>
      </c>
      <c r="F2242" s="27">
        <f t="shared" ca="1" si="38"/>
        <v>584</v>
      </c>
      <c r="G2242" s="79"/>
      <c r="H2242" s="80"/>
      <c r="I2242" s="80"/>
      <c r="J2242" s="79"/>
      <c r="K2242" s="78"/>
      <c r="L2242" s="77">
        <v>43916</v>
      </c>
      <c r="M2242" s="68"/>
      <c r="N2242" s="76" t="s">
        <v>185</v>
      </c>
      <c r="O2242" s="75" t="s">
        <v>4134</v>
      </c>
      <c r="R2242" s="74"/>
    </row>
    <row r="2243" spans="2:18" ht="36" hidden="1" customHeight="1" x14ac:dyDescent="0.25">
      <c r="B2243" s="84">
        <v>1827</v>
      </c>
      <c r="C2243" s="83" t="s">
        <v>23</v>
      </c>
      <c r="D2243" s="82" t="s">
        <v>346</v>
      </c>
      <c r="E2243" s="81">
        <v>43894</v>
      </c>
      <c r="F2243" s="27">
        <f t="shared" ref="F2243:F2259" ca="1" si="39">IF(E2243&lt;&gt;"",TODAY()-E2243,"")</f>
        <v>579</v>
      </c>
      <c r="G2243" s="79"/>
      <c r="H2243" s="80"/>
      <c r="I2243" s="80"/>
      <c r="J2243" s="79"/>
      <c r="K2243" s="78"/>
      <c r="L2243" s="77">
        <v>43916</v>
      </c>
      <c r="M2243" s="68"/>
      <c r="N2243" s="76" t="s">
        <v>185</v>
      </c>
      <c r="O2243" s="75" t="s">
        <v>1270</v>
      </c>
      <c r="R2243" s="74"/>
    </row>
    <row r="2244" spans="2:18" ht="36" hidden="1" customHeight="1" x14ac:dyDescent="0.25">
      <c r="B2244" s="84">
        <v>1827</v>
      </c>
      <c r="C2244" s="83" t="s">
        <v>16</v>
      </c>
      <c r="D2244" s="82" t="s">
        <v>4135</v>
      </c>
      <c r="E2244" s="81">
        <v>43903</v>
      </c>
      <c r="F2244" s="27">
        <f t="shared" ca="1" si="39"/>
        <v>570</v>
      </c>
      <c r="G2244" s="79"/>
      <c r="H2244" s="80"/>
      <c r="I2244" s="80"/>
      <c r="J2244" s="79"/>
      <c r="K2244" s="78"/>
      <c r="L2244" s="77">
        <v>43916</v>
      </c>
      <c r="M2244" s="68"/>
      <c r="N2244" s="76" t="s">
        <v>185</v>
      </c>
      <c r="O2244" s="75" t="s">
        <v>4136</v>
      </c>
      <c r="R2244" s="74"/>
    </row>
    <row r="2245" spans="2:18" ht="36" hidden="1" customHeight="1" x14ac:dyDescent="0.25">
      <c r="B2245" s="84">
        <v>1827</v>
      </c>
      <c r="C2245" s="83" t="s">
        <v>23</v>
      </c>
      <c r="D2245" s="82" t="s">
        <v>347</v>
      </c>
      <c r="E2245" s="81">
        <v>43913</v>
      </c>
      <c r="F2245" s="27">
        <f t="shared" ca="1" si="39"/>
        <v>560</v>
      </c>
      <c r="G2245" s="79"/>
      <c r="H2245" s="80"/>
      <c r="I2245" s="80"/>
      <c r="J2245" s="79"/>
      <c r="K2245" s="78"/>
      <c r="L2245" s="77">
        <v>43916</v>
      </c>
      <c r="M2245" s="68"/>
      <c r="N2245" s="76" t="s">
        <v>185</v>
      </c>
      <c r="O2245" s="75" t="s">
        <v>4137</v>
      </c>
      <c r="R2245" s="74"/>
    </row>
    <row r="2246" spans="2:18" ht="36" hidden="1" customHeight="1" x14ac:dyDescent="0.25">
      <c r="B2246" s="84">
        <v>1827</v>
      </c>
      <c r="C2246" s="83" t="s">
        <v>23</v>
      </c>
      <c r="D2246" s="82" t="s">
        <v>4138</v>
      </c>
      <c r="E2246" s="81">
        <v>43917</v>
      </c>
      <c r="F2246" s="27">
        <f t="shared" ca="1" si="39"/>
        <v>556</v>
      </c>
      <c r="G2246" s="79"/>
      <c r="H2246" s="80"/>
      <c r="I2246" s="80"/>
      <c r="J2246" s="79"/>
      <c r="K2246" s="78"/>
      <c r="L2246" s="77">
        <v>43920</v>
      </c>
      <c r="M2246" s="68"/>
      <c r="N2246" s="76" t="s">
        <v>185</v>
      </c>
      <c r="O2246" s="75" t="s">
        <v>55</v>
      </c>
      <c r="R2246" s="74"/>
    </row>
    <row r="2247" spans="2:18" ht="36" hidden="1" customHeight="1" x14ac:dyDescent="0.25">
      <c r="B2247" s="84">
        <v>1827</v>
      </c>
      <c r="C2247" s="83" t="s">
        <v>31</v>
      </c>
      <c r="D2247" s="82" t="s">
        <v>4139</v>
      </c>
      <c r="E2247" s="81">
        <v>43920</v>
      </c>
      <c r="F2247" s="27">
        <f t="shared" ca="1" si="39"/>
        <v>553</v>
      </c>
      <c r="G2247" s="79"/>
      <c r="H2247" s="80"/>
      <c r="I2247" s="80"/>
      <c r="J2247" s="79"/>
      <c r="K2247" s="78"/>
      <c r="L2247" s="77">
        <v>43920</v>
      </c>
      <c r="M2247" s="68"/>
      <c r="N2247" s="76" t="s">
        <v>185</v>
      </c>
      <c r="O2247" s="75" t="s">
        <v>2373</v>
      </c>
      <c r="R2247" s="74"/>
    </row>
    <row r="2248" spans="2:18" ht="36" hidden="1" customHeight="1" x14ac:dyDescent="0.25">
      <c r="B2248" s="84">
        <v>1827</v>
      </c>
      <c r="C2248" s="83" t="s">
        <v>31</v>
      </c>
      <c r="D2248" s="82" t="s">
        <v>137</v>
      </c>
      <c r="E2248" s="81">
        <v>43929</v>
      </c>
      <c r="F2248" s="27">
        <f t="shared" ca="1" si="39"/>
        <v>544</v>
      </c>
      <c r="G2248" s="79"/>
      <c r="H2248" s="80"/>
      <c r="I2248" s="80"/>
      <c r="J2248" s="79"/>
      <c r="K2248" s="78"/>
      <c r="L2248" s="77">
        <v>43930</v>
      </c>
      <c r="M2248" s="68"/>
      <c r="N2248" s="76"/>
      <c r="O2248" s="75" t="s">
        <v>4143</v>
      </c>
      <c r="R2248" s="74"/>
    </row>
    <row r="2249" spans="2:18" ht="36" hidden="1" customHeight="1" x14ac:dyDescent="0.25">
      <c r="B2249" s="84">
        <v>1827</v>
      </c>
      <c r="C2249" s="83" t="s">
        <v>23</v>
      </c>
      <c r="D2249" s="82" t="s">
        <v>4144</v>
      </c>
      <c r="E2249" s="81">
        <v>43935</v>
      </c>
      <c r="F2249" s="27">
        <f t="shared" ca="1" si="39"/>
        <v>538</v>
      </c>
      <c r="G2249" s="79"/>
      <c r="H2249" s="80"/>
      <c r="I2249" s="80"/>
      <c r="J2249" s="79"/>
      <c r="K2249" s="78"/>
      <c r="L2249" s="77">
        <v>43948</v>
      </c>
      <c r="M2249" s="68"/>
      <c r="N2249" s="76" t="s">
        <v>185</v>
      </c>
      <c r="O2249" s="75" t="s">
        <v>55</v>
      </c>
      <c r="R2249" s="74"/>
    </row>
    <row r="2250" spans="2:18" ht="36" hidden="1" customHeight="1" x14ac:dyDescent="0.25">
      <c r="B2250" s="84">
        <v>1827</v>
      </c>
      <c r="C2250" s="83" t="s">
        <v>23</v>
      </c>
      <c r="D2250" s="82" t="s">
        <v>458</v>
      </c>
      <c r="E2250" s="81">
        <v>43938</v>
      </c>
      <c r="F2250" s="27">
        <f t="shared" ca="1" si="39"/>
        <v>535</v>
      </c>
      <c r="G2250" s="79"/>
      <c r="H2250" s="80"/>
      <c r="I2250" s="80"/>
      <c r="J2250" s="79"/>
      <c r="K2250" s="78"/>
      <c r="L2250" s="77">
        <v>43948</v>
      </c>
      <c r="M2250" s="68"/>
      <c r="N2250" s="76" t="s">
        <v>185</v>
      </c>
      <c r="O2250" s="75" t="s">
        <v>55</v>
      </c>
      <c r="R2250" s="74"/>
    </row>
    <row r="2251" spans="2:18" ht="36" hidden="1" customHeight="1" x14ac:dyDescent="0.25">
      <c r="B2251" s="84">
        <v>1827</v>
      </c>
      <c r="C2251" s="83" t="s">
        <v>11</v>
      </c>
      <c r="D2251" s="82" t="s">
        <v>4145</v>
      </c>
      <c r="E2251" s="81">
        <v>43970</v>
      </c>
      <c r="F2251" s="27">
        <f t="shared" ca="1" si="39"/>
        <v>503</v>
      </c>
      <c r="G2251" s="79"/>
      <c r="H2251" s="80"/>
      <c r="I2251" s="80" t="s">
        <v>206</v>
      </c>
      <c r="J2251" s="79"/>
      <c r="K2251" s="78"/>
      <c r="L2251" s="77">
        <v>43978</v>
      </c>
      <c r="M2251" s="68"/>
      <c r="N2251" s="76" t="s">
        <v>185</v>
      </c>
      <c r="O2251" s="75" t="s">
        <v>4146</v>
      </c>
      <c r="R2251" s="74"/>
    </row>
    <row r="2252" spans="2:18" ht="36" hidden="1" customHeight="1" x14ac:dyDescent="0.25">
      <c r="B2252" s="84">
        <v>1827</v>
      </c>
      <c r="C2252" s="83" t="s">
        <v>39</v>
      </c>
      <c r="D2252" s="82" t="s">
        <v>4147</v>
      </c>
      <c r="E2252" s="81">
        <v>44008</v>
      </c>
      <c r="F2252" s="27">
        <f t="shared" ca="1" si="39"/>
        <v>465</v>
      </c>
      <c r="G2252" s="79"/>
      <c r="H2252" s="80"/>
      <c r="I2252" s="80"/>
      <c r="J2252" s="79"/>
      <c r="K2252" s="78"/>
      <c r="L2252" s="77">
        <v>44025</v>
      </c>
      <c r="M2252" s="68"/>
      <c r="N2252" s="76" t="s">
        <v>937</v>
      </c>
      <c r="O2252" s="75" t="s">
        <v>3186</v>
      </c>
      <c r="R2252" s="74"/>
    </row>
    <row r="2253" spans="2:18" ht="36" hidden="1" customHeight="1" x14ac:dyDescent="0.25">
      <c r="B2253" s="84">
        <v>1827</v>
      </c>
      <c r="C2253" s="83" t="s">
        <v>11</v>
      </c>
      <c r="D2253" s="82" t="s">
        <v>4148</v>
      </c>
      <c r="E2253" s="81">
        <v>44022</v>
      </c>
      <c r="F2253" s="27">
        <f t="shared" ca="1" si="39"/>
        <v>451</v>
      </c>
      <c r="G2253" s="79"/>
      <c r="H2253" s="80"/>
      <c r="I2253" s="80"/>
      <c r="J2253" s="79"/>
      <c r="K2253" s="78"/>
      <c r="L2253" s="77">
        <v>44025</v>
      </c>
      <c r="M2253" s="68"/>
      <c r="N2253" s="76" t="s">
        <v>937</v>
      </c>
      <c r="O2253" s="75" t="s">
        <v>4105</v>
      </c>
      <c r="R2253" s="74"/>
    </row>
    <row r="2254" spans="2:18" ht="36" hidden="1" customHeight="1" x14ac:dyDescent="0.25">
      <c r="B2254" s="84">
        <v>1827</v>
      </c>
      <c r="C2254" s="83" t="s">
        <v>19</v>
      </c>
      <c r="D2254" s="82" t="s">
        <v>4149</v>
      </c>
      <c r="E2254" s="81">
        <v>44022</v>
      </c>
      <c r="F2254" s="27">
        <f t="shared" ca="1" si="39"/>
        <v>451</v>
      </c>
      <c r="G2254" s="79"/>
      <c r="H2254" s="80"/>
      <c r="I2254" s="80"/>
      <c r="J2254" s="79"/>
      <c r="K2254" s="78"/>
      <c r="L2254" s="77">
        <v>44025</v>
      </c>
      <c r="M2254" s="68"/>
      <c r="N2254" s="76" t="s">
        <v>937</v>
      </c>
      <c r="O2254" s="75" t="s">
        <v>4150</v>
      </c>
      <c r="R2254" s="74"/>
    </row>
    <row r="2255" spans="2:18" ht="36" hidden="1" customHeight="1" x14ac:dyDescent="0.25">
      <c r="B2255" s="84">
        <v>1827</v>
      </c>
      <c r="C2255" s="83" t="s">
        <v>37</v>
      </c>
      <c r="D2255" s="82" t="s">
        <v>4151</v>
      </c>
      <c r="E2255" s="81">
        <v>44029</v>
      </c>
      <c r="F2255" s="27">
        <f t="shared" ca="1" si="39"/>
        <v>444</v>
      </c>
      <c r="G2255" s="79"/>
      <c r="H2255" s="80"/>
      <c r="I2255" s="80"/>
      <c r="J2255" s="79"/>
      <c r="K2255" s="78"/>
      <c r="L2255" s="77">
        <v>44035</v>
      </c>
      <c r="M2255" s="68"/>
      <c r="N2255" s="76" t="s">
        <v>185</v>
      </c>
      <c r="O2255" s="75" t="s">
        <v>4152</v>
      </c>
      <c r="R2255" s="74"/>
    </row>
    <row r="2256" spans="2:18" ht="36" hidden="1" customHeight="1" x14ac:dyDescent="0.25">
      <c r="B2256" s="84">
        <v>1827</v>
      </c>
      <c r="C2256" s="83" t="s">
        <v>37</v>
      </c>
      <c r="D2256" s="82" t="s">
        <v>4153</v>
      </c>
      <c r="E2256" s="81">
        <v>44029</v>
      </c>
      <c r="F2256" s="27">
        <f t="shared" ca="1" si="39"/>
        <v>444</v>
      </c>
      <c r="G2256" s="79"/>
      <c r="H2256" s="80"/>
      <c r="I2256" s="80"/>
      <c r="J2256" s="79"/>
      <c r="K2256" s="78"/>
      <c r="L2256" s="77">
        <v>44035</v>
      </c>
      <c r="M2256" s="68"/>
      <c r="N2256" s="76" t="s">
        <v>185</v>
      </c>
      <c r="O2256" s="75" t="s">
        <v>4154</v>
      </c>
      <c r="R2256" s="74"/>
    </row>
    <row r="2257" spans="2:18" ht="36" hidden="1" customHeight="1" x14ac:dyDescent="0.25">
      <c r="B2257" s="84">
        <v>1827</v>
      </c>
      <c r="C2257" s="83" t="s">
        <v>11</v>
      </c>
      <c r="D2257" s="82" t="s">
        <v>4155</v>
      </c>
      <c r="E2257" s="81">
        <v>44036</v>
      </c>
      <c r="F2257" s="27">
        <f t="shared" ca="1" si="39"/>
        <v>437</v>
      </c>
      <c r="G2257" s="79"/>
      <c r="H2257" s="80"/>
      <c r="I2257" s="80"/>
      <c r="J2257" s="79"/>
      <c r="K2257" s="78"/>
      <c r="L2257" s="77">
        <v>44043</v>
      </c>
      <c r="M2257" s="68"/>
      <c r="N2257" s="76" t="s">
        <v>1645</v>
      </c>
      <c r="O2257" s="75" t="s">
        <v>361</v>
      </c>
      <c r="R2257" s="74"/>
    </row>
    <row r="2258" spans="2:18" ht="36" hidden="1" customHeight="1" x14ac:dyDescent="0.25">
      <c r="B2258" s="84">
        <v>1827</v>
      </c>
      <c r="C2258" s="83" t="s">
        <v>16</v>
      </c>
      <c r="D2258" s="82" t="s">
        <v>4156</v>
      </c>
      <c r="E2258" s="81">
        <v>44040</v>
      </c>
      <c r="F2258" s="27">
        <f t="shared" ca="1" si="39"/>
        <v>433</v>
      </c>
      <c r="G2258" s="79"/>
      <c r="H2258" s="80"/>
      <c r="I2258" s="80"/>
      <c r="J2258" s="79"/>
      <c r="K2258" s="78"/>
      <c r="L2258" s="77">
        <v>44055</v>
      </c>
      <c r="M2258" s="68"/>
      <c r="N2258" s="76" t="s">
        <v>686</v>
      </c>
      <c r="O2258" s="75" t="s">
        <v>2911</v>
      </c>
      <c r="R2258" s="74"/>
    </row>
    <row r="2259" spans="2:18" ht="36" hidden="1" customHeight="1" x14ac:dyDescent="0.25">
      <c r="B2259" s="84">
        <v>1827</v>
      </c>
      <c r="C2259" s="83" t="s">
        <v>4434</v>
      </c>
      <c r="D2259" s="82" t="s">
        <v>3259</v>
      </c>
      <c r="E2259" s="81">
        <v>44068</v>
      </c>
      <c r="F2259" s="27">
        <f t="shared" ca="1" si="39"/>
        <v>405</v>
      </c>
      <c r="G2259" s="79"/>
      <c r="H2259" s="80"/>
      <c r="I2259" s="80"/>
      <c r="J2259" s="79"/>
      <c r="K2259" s="78"/>
      <c r="L2259" s="77">
        <v>44082</v>
      </c>
      <c r="M2259" s="68" t="s">
        <v>4443</v>
      </c>
      <c r="N2259" s="76" t="s">
        <v>4535</v>
      </c>
      <c r="O2259" s="75"/>
      <c r="R2259" s="74"/>
    </row>
    <row r="2260" spans="2:18" ht="36" hidden="1" customHeight="1" x14ac:dyDescent="0.25">
      <c r="B2260" s="84">
        <v>1827</v>
      </c>
      <c r="C2260" s="83" t="s">
        <v>11</v>
      </c>
      <c r="D2260" s="82" t="s">
        <v>4526</v>
      </c>
      <c r="E2260" s="81">
        <v>44078</v>
      </c>
      <c r="F2260" s="27"/>
      <c r="G2260" s="79"/>
      <c r="H2260" s="80"/>
      <c r="I2260" s="122"/>
      <c r="J2260" s="79"/>
      <c r="K2260" s="78"/>
      <c r="L2260" s="77">
        <v>44082</v>
      </c>
      <c r="M2260" s="68"/>
      <c r="N2260" s="76" t="s">
        <v>4535</v>
      </c>
      <c r="O2260" s="119"/>
      <c r="R2260" s="74"/>
    </row>
    <row r="2261" spans="2:18" ht="36" hidden="1" customHeight="1" x14ac:dyDescent="0.25">
      <c r="B2261" s="84">
        <v>1827</v>
      </c>
      <c r="C2261" s="83" t="s">
        <v>11</v>
      </c>
      <c r="D2261" s="82" t="s">
        <v>4527</v>
      </c>
      <c r="E2261" s="81">
        <v>44078</v>
      </c>
      <c r="F2261" s="27"/>
      <c r="G2261" s="79"/>
      <c r="H2261" s="80"/>
      <c r="I2261" s="122"/>
      <c r="J2261" s="79"/>
      <c r="K2261" s="78"/>
      <c r="L2261" s="77">
        <v>44082</v>
      </c>
      <c r="M2261" s="68"/>
      <c r="N2261" s="76" t="s">
        <v>4535</v>
      </c>
      <c r="O2261" s="119"/>
      <c r="R2261" s="74"/>
    </row>
    <row r="2262" spans="2:18" ht="36" hidden="1" customHeight="1" x14ac:dyDescent="0.25">
      <c r="B2262" s="84">
        <v>1827</v>
      </c>
      <c r="C2262" s="83" t="s">
        <v>20</v>
      </c>
      <c r="D2262" s="82" t="s">
        <v>4528</v>
      </c>
      <c r="E2262" s="81">
        <v>44078</v>
      </c>
      <c r="F2262" s="27"/>
      <c r="G2262" s="79"/>
      <c r="H2262" s="80"/>
      <c r="I2262" s="122"/>
      <c r="J2262" s="79"/>
      <c r="K2262" s="78"/>
      <c r="L2262" s="77">
        <v>44082</v>
      </c>
      <c r="M2262" s="68"/>
      <c r="N2262" s="76" t="s">
        <v>4535</v>
      </c>
      <c r="O2262" s="119"/>
      <c r="R2262" s="74"/>
    </row>
    <row r="2263" spans="2:18" ht="36" hidden="1" customHeight="1" x14ac:dyDescent="0.25">
      <c r="B2263" s="84">
        <v>1827</v>
      </c>
      <c r="C2263" s="83" t="s">
        <v>18</v>
      </c>
      <c r="D2263" s="82" t="s">
        <v>4529</v>
      </c>
      <c r="E2263" s="81">
        <v>44078</v>
      </c>
      <c r="F2263" s="27"/>
      <c r="G2263" s="79"/>
      <c r="H2263" s="80"/>
      <c r="I2263" s="122"/>
      <c r="J2263" s="79"/>
      <c r="K2263" s="78"/>
      <c r="L2263" s="77">
        <v>44082</v>
      </c>
      <c r="M2263" s="68"/>
      <c r="N2263" s="76" t="s">
        <v>4535</v>
      </c>
      <c r="O2263" s="119"/>
      <c r="R2263" s="74"/>
    </row>
    <row r="2264" spans="2:18" ht="36" hidden="1" customHeight="1" x14ac:dyDescent="0.25">
      <c r="B2264" s="84">
        <v>1828</v>
      </c>
      <c r="C2264" s="83" t="s">
        <v>40</v>
      </c>
      <c r="D2264" s="82" t="s">
        <v>4157</v>
      </c>
      <c r="E2264" s="81">
        <v>43777</v>
      </c>
      <c r="F2264" s="27">
        <f t="shared" ref="F2264:F2302" ca="1" si="40">IF(E2264&lt;&gt;"",TODAY()-E2264,"")</f>
        <v>696</v>
      </c>
      <c r="G2264" s="79"/>
      <c r="H2264" s="80"/>
      <c r="I2264" s="80"/>
      <c r="J2264" s="79"/>
      <c r="K2264" s="78"/>
      <c r="L2264" s="77">
        <v>43840</v>
      </c>
      <c r="M2264" s="68"/>
      <c r="N2264" s="76" t="s">
        <v>686</v>
      </c>
      <c r="O2264" s="75" t="s">
        <v>4158</v>
      </c>
      <c r="R2264" s="74"/>
    </row>
    <row r="2265" spans="2:18" ht="36" hidden="1" customHeight="1" x14ac:dyDescent="0.25">
      <c r="B2265" s="84">
        <v>1828</v>
      </c>
      <c r="C2265" s="83" t="s">
        <v>19</v>
      </c>
      <c r="D2265" s="82" t="s">
        <v>4159</v>
      </c>
      <c r="E2265" s="81">
        <v>43787</v>
      </c>
      <c r="F2265" s="27">
        <f t="shared" ca="1" si="40"/>
        <v>686</v>
      </c>
      <c r="G2265" s="79"/>
      <c r="H2265" s="80"/>
      <c r="I2265" s="80"/>
      <c r="J2265" s="79"/>
      <c r="K2265" s="78"/>
      <c r="L2265" s="77">
        <v>43840</v>
      </c>
      <c r="M2265" s="68"/>
      <c r="N2265" s="76" t="s">
        <v>686</v>
      </c>
      <c r="O2265" s="75" t="s">
        <v>4160</v>
      </c>
      <c r="R2265" s="74"/>
    </row>
    <row r="2266" spans="2:18" ht="36" hidden="1" customHeight="1" x14ac:dyDescent="0.25">
      <c r="B2266" s="84">
        <v>1828</v>
      </c>
      <c r="C2266" s="83" t="s">
        <v>35</v>
      </c>
      <c r="D2266" s="82" t="s">
        <v>4170</v>
      </c>
      <c r="E2266" s="81">
        <v>43791</v>
      </c>
      <c r="F2266" s="27">
        <f t="shared" ca="1" si="40"/>
        <v>682</v>
      </c>
      <c r="G2266" s="79"/>
      <c r="H2266" s="80"/>
      <c r="I2266" s="80"/>
      <c r="J2266" s="79"/>
      <c r="K2266" s="78"/>
      <c r="L2266" s="77">
        <v>43854</v>
      </c>
      <c r="M2266" s="68"/>
      <c r="N2266" s="76" t="s">
        <v>4171</v>
      </c>
      <c r="O2266" s="75" t="s">
        <v>4172</v>
      </c>
      <c r="R2266" s="74"/>
    </row>
    <row r="2267" spans="2:18" ht="36" hidden="1" customHeight="1" x14ac:dyDescent="0.25">
      <c r="B2267" s="84">
        <v>1828</v>
      </c>
      <c r="C2267" s="83" t="s">
        <v>23</v>
      </c>
      <c r="D2267" s="82" t="s">
        <v>4163</v>
      </c>
      <c r="E2267" s="81">
        <v>43832</v>
      </c>
      <c r="F2267" s="27">
        <f t="shared" ca="1" si="40"/>
        <v>641</v>
      </c>
      <c r="G2267" s="79"/>
      <c r="H2267" s="80"/>
      <c r="I2267" s="80"/>
      <c r="J2267" s="79"/>
      <c r="K2267" s="78"/>
      <c r="L2267" s="77">
        <v>43840</v>
      </c>
      <c r="M2267" s="68"/>
      <c r="N2267" s="76" t="s">
        <v>686</v>
      </c>
      <c r="O2267" s="75" t="s">
        <v>4164</v>
      </c>
      <c r="R2267" s="74"/>
    </row>
    <row r="2268" spans="2:18" ht="36" hidden="1" customHeight="1" x14ac:dyDescent="0.25">
      <c r="B2268" s="84">
        <v>1828</v>
      </c>
      <c r="C2268" s="83" t="s">
        <v>62</v>
      </c>
      <c r="D2268" s="82" t="s">
        <v>4165</v>
      </c>
      <c r="E2268" s="81">
        <v>43832</v>
      </c>
      <c r="F2268" s="27">
        <f t="shared" ca="1" si="40"/>
        <v>641</v>
      </c>
      <c r="G2268" s="79"/>
      <c r="H2268" s="80"/>
      <c r="I2268" s="80"/>
      <c r="J2268" s="79"/>
      <c r="K2268" s="78"/>
      <c r="L2268" s="77">
        <v>43840</v>
      </c>
      <c r="M2268" s="68"/>
      <c r="N2268" s="76" t="s">
        <v>686</v>
      </c>
      <c r="O2268" s="75" t="s">
        <v>154</v>
      </c>
      <c r="R2268" s="74"/>
    </row>
    <row r="2269" spans="2:18" ht="36" hidden="1" customHeight="1" x14ac:dyDescent="0.25">
      <c r="B2269" s="84">
        <v>1828</v>
      </c>
      <c r="C2269" s="83" t="s">
        <v>17</v>
      </c>
      <c r="D2269" s="82" t="s">
        <v>4166</v>
      </c>
      <c r="E2269" s="81">
        <v>43836</v>
      </c>
      <c r="F2269" s="27">
        <f t="shared" ca="1" si="40"/>
        <v>637</v>
      </c>
      <c r="G2269" s="79"/>
      <c r="H2269" s="80"/>
      <c r="I2269" s="80"/>
      <c r="J2269" s="79"/>
      <c r="K2269" s="78"/>
      <c r="L2269" s="77">
        <v>43840</v>
      </c>
      <c r="M2269" s="68"/>
      <c r="N2269" s="76" t="s">
        <v>686</v>
      </c>
      <c r="O2269" s="75" t="s">
        <v>4167</v>
      </c>
      <c r="R2269" s="74"/>
    </row>
    <row r="2270" spans="2:18" ht="36" hidden="1" customHeight="1" x14ac:dyDescent="0.25">
      <c r="B2270" s="84">
        <v>1828</v>
      </c>
      <c r="C2270" s="83" t="s">
        <v>40</v>
      </c>
      <c r="D2270" s="82" t="s">
        <v>4161</v>
      </c>
      <c r="E2270" s="81">
        <v>43838</v>
      </c>
      <c r="F2270" s="27">
        <f t="shared" ca="1" si="40"/>
        <v>635</v>
      </c>
      <c r="G2270" s="79"/>
      <c r="H2270" s="80"/>
      <c r="I2270" s="80"/>
      <c r="J2270" s="79"/>
      <c r="K2270" s="78"/>
      <c r="L2270" s="77">
        <v>43840</v>
      </c>
      <c r="M2270" s="68"/>
      <c r="N2270" s="76" t="s">
        <v>686</v>
      </c>
      <c r="O2270" s="75" t="s">
        <v>4162</v>
      </c>
      <c r="R2270" s="74"/>
    </row>
    <row r="2271" spans="2:18" ht="36" hidden="1" customHeight="1" x14ac:dyDescent="0.25">
      <c r="B2271" s="84">
        <v>1828</v>
      </c>
      <c r="C2271" s="83" t="s">
        <v>23</v>
      </c>
      <c r="D2271" s="82" t="s">
        <v>58</v>
      </c>
      <c r="E2271" s="81">
        <v>43838</v>
      </c>
      <c r="F2271" s="27">
        <f t="shared" ca="1" si="40"/>
        <v>635</v>
      </c>
      <c r="G2271" s="79"/>
      <c r="H2271" s="80"/>
      <c r="I2271" s="80"/>
      <c r="J2271" s="79"/>
      <c r="K2271" s="78"/>
      <c r="L2271" s="77">
        <v>43840</v>
      </c>
      <c r="M2271" s="68"/>
      <c r="N2271" s="76" t="s">
        <v>686</v>
      </c>
      <c r="O2271" s="75" t="s">
        <v>3622</v>
      </c>
      <c r="R2271" s="74"/>
    </row>
    <row r="2272" spans="2:18" ht="36" hidden="1" customHeight="1" x14ac:dyDescent="0.25">
      <c r="B2272" s="84">
        <v>1828</v>
      </c>
      <c r="C2272" s="83" t="s">
        <v>20</v>
      </c>
      <c r="D2272" s="82" t="s">
        <v>4168</v>
      </c>
      <c r="E2272" s="81">
        <v>43843</v>
      </c>
      <c r="F2272" s="27">
        <f t="shared" ca="1" si="40"/>
        <v>630</v>
      </c>
      <c r="G2272" s="79"/>
      <c r="H2272" s="80"/>
      <c r="I2272" s="80"/>
      <c r="J2272" s="79"/>
      <c r="K2272" s="78"/>
      <c r="L2272" s="77">
        <v>43843</v>
      </c>
      <c r="M2272" s="68"/>
      <c r="N2272" s="76" t="s">
        <v>2182</v>
      </c>
      <c r="O2272" s="75"/>
      <c r="R2272" s="74"/>
    </row>
    <row r="2273" spans="2:18" ht="36" hidden="1" customHeight="1" x14ac:dyDescent="0.25">
      <c r="B2273" s="84">
        <v>1828</v>
      </c>
      <c r="C2273" s="83" t="s">
        <v>10</v>
      </c>
      <c r="D2273" s="82" t="s">
        <v>4169</v>
      </c>
      <c r="E2273" s="81">
        <v>43844</v>
      </c>
      <c r="F2273" s="27">
        <f t="shared" ca="1" si="40"/>
        <v>629</v>
      </c>
      <c r="G2273" s="79"/>
      <c r="H2273" s="80"/>
      <c r="I2273" s="80"/>
      <c r="J2273" s="79"/>
      <c r="K2273" s="78"/>
      <c r="L2273" s="77">
        <v>43845</v>
      </c>
      <c r="M2273" s="68"/>
      <c r="N2273" s="76" t="s">
        <v>185</v>
      </c>
      <c r="O2273" s="75" t="s">
        <v>1087</v>
      </c>
      <c r="R2273" s="74"/>
    </row>
    <row r="2274" spans="2:18" ht="36" hidden="1" customHeight="1" x14ac:dyDescent="0.25">
      <c r="B2274" s="84">
        <v>1828</v>
      </c>
      <c r="C2274" s="83" t="s">
        <v>1786</v>
      </c>
      <c r="D2274" s="82" t="s">
        <v>346</v>
      </c>
      <c r="E2274" s="81">
        <v>43847</v>
      </c>
      <c r="F2274" s="27">
        <f t="shared" ca="1" si="40"/>
        <v>626</v>
      </c>
      <c r="G2274" s="79"/>
      <c r="H2274" s="80"/>
      <c r="I2274" s="80"/>
      <c r="J2274" s="79"/>
      <c r="K2274" s="78"/>
      <c r="L2274" s="77">
        <v>43857</v>
      </c>
      <c r="M2274" s="68"/>
      <c r="N2274" s="76" t="s">
        <v>185</v>
      </c>
      <c r="O2274" s="75"/>
      <c r="R2274" s="74"/>
    </row>
    <row r="2275" spans="2:18" ht="36" hidden="1" customHeight="1" x14ac:dyDescent="0.25">
      <c r="B2275" s="84">
        <v>1828</v>
      </c>
      <c r="C2275" s="83" t="s">
        <v>12</v>
      </c>
      <c r="D2275" s="82" t="s">
        <v>4175</v>
      </c>
      <c r="E2275" s="81">
        <v>43853</v>
      </c>
      <c r="F2275" s="27">
        <f t="shared" ca="1" si="40"/>
        <v>620</v>
      </c>
      <c r="G2275" s="79"/>
      <c r="H2275" s="80"/>
      <c r="I2275" s="80"/>
      <c r="J2275" s="79"/>
      <c r="K2275" s="78"/>
      <c r="L2275" s="77">
        <v>43857</v>
      </c>
      <c r="M2275" s="68"/>
      <c r="N2275" s="76" t="s">
        <v>185</v>
      </c>
      <c r="O2275" s="75" t="s">
        <v>4176</v>
      </c>
      <c r="R2275" s="74"/>
    </row>
    <row r="2276" spans="2:18" ht="36" hidden="1" customHeight="1" x14ac:dyDescent="0.25">
      <c r="B2276" s="84">
        <v>1828</v>
      </c>
      <c r="C2276" s="83" t="s">
        <v>35</v>
      </c>
      <c r="D2276" s="82" t="s">
        <v>4173</v>
      </c>
      <c r="E2276" s="81">
        <v>43854</v>
      </c>
      <c r="F2276" s="27">
        <f t="shared" ca="1" si="40"/>
        <v>619</v>
      </c>
      <c r="G2276" s="79"/>
      <c r="H2276" s="80"/>
      <c r="I2276" s="80"/>
      <c r="J2276" s="79"/>
      <c r="K2276" s="78"/>
      <c r="L2276" s="77">
        <v>43854</v>
      </c>
      <c r="M2276" s="68"/>
      <c r="N2276" s="76" t="s">
        <v>4174</v>
      </c>
      <c r="O2276" s="75"/>
      <c r="R2276" s="74"/>
    </row>
    <row r="2277" spans="2:18" ht="36" hidden="1" customHeight="1" x14ac:dyDescent="0.25">
      <c r="B2277" s="84">
        <v>1828</v>
      </c>
      <c r="C2277" s="83" t="s">
        <v>35</v>
      </c>
      <c r="D2277" s="82" t="s">
        <v>974</v>
      </c>
      <c r="E2277" s="81">
        <v>43857</v>
      </c>
      <c r="F2277" s="27">
        <f t="shared" ca="1" si="40"/>
        <v>616</v>
      </c>
      <c r="G2277" s="79"/>
      <c r="H2277" s="80"/>
      <c r="I2277" s="80"/>
      <c r="J2277" s="79"/>
      <c r="K2277" s="78"/>
      <c r="L2277" s="77">
        <v>43857</v>
      </c>
      <c r="M2277" s="68"/>
      <c r="N2277" s="76" t="s">
        <v>185</v>
      </c>
      <c r="O2277" s="75"/>
      <c r="R2277" s="74"/>
    </row>
    <row r="2278" spans="2:18" ht="36" hidden="1" customHeight="1" x14ac:dyDescent="0.25">
      <c r="B2278" s="84">
        <v>1828</v>
      </c>
      <c r="C2278" s="83" t="s">
        <v>12</v>
      </c>
      <c r="D2278" s="82" t="s">
        <v>4177</v>
      </c>
      <c r="E2278" s="81">
        <v>43857</v>
      </c>
      <c r="F2278" s="27">
        <f t="shared" ca="1" si="40"/>
        <v>616</v>
      </c>
      <c r="G2278" s="79"/>
      <c r="H2278" s="80"/>
      <c r="I2278" s="80"/>
      <c r="J2278" s="79"/>
      <c r="K2278" s="78"/>
      <c r="L2278" s="77">
        <v>43858</v>
      </c>
      <c r="M2278" s="68"/>
      <c r="N2278" s="76" t="s">
        <v>185</v>
      </c>
      <c r="O2278" s="75" t="s">
        <v>4178</v>
      </c>
      <c r="R2278" s="74"/>
    </row>
    <row r="2279" spans="2:18" ht="36" hidden="1" customHeight="1" x14ac:dyDescent="0.25">
      <c r="B2279" s="84">
        <v>1828</v>
      </c>
      <c r="C2279" s="83" t="s">
        <v>23</v>
      </c>
      <c r="D2279" s="82" t="s">
        <v>4184</v>
      </c>
      <c r="E2279" s="81">
        <v>43857</v>
      </c>
      <c r="F2279" s="27">
        <f t="shared" ca="1" si="40"/>
        <v>616</v>
      </c>
      <c r="G2279" s="79"/>
      <c r="H2279" s="80"/>
      <c r="I2279" s="80"/>
      <c r="J2279" s="79"/>
      <c r="K2279" s="78"/>
      <c r="L2279" s="77">
        <v>43896</v>
      </c>
      <c r="M2279" s="68"/>
      <c r="N2279" s="76" t="s">
        <v>4185</v>
      </c>
      <c r="O2279" s="75" t="s">
        <v>4186</v>
      </c>
      <c r="R2279" s="74"/>
    </row>
    <row r="2280" spans="2:18" ht="36" hidden="1" customHeight="1" x14ac:dyDescent="0.25">
      <c r="B2280" s="84">
        <v>1828</v>
      </c>
      <c r="C2280" s="83" t="s">
        <v>23</v>
      </c>
      <c r="D2280" s="82" t="s">
        <v>4179</v>
      </c>
      <c r="E2280" s="81">
        <v>43873</v>
      </c>
      <c r="F2280" s="27">
        <f t="shared" ca="1" si="40"/>
        <v>600</v>
      </c>
      <c r="G2280" s="79"/>
      <c r="H2280" s="80"/>
      <c r="I2280" s="80"/>
      <c r="J2280" s="79"/>
      <c r="K2280" s="78"/>
      <c r="L2280" s="77">
        <v>43875</v>
      </c>
      <c r="M2280" s="68"/>
      <c r="N2280" s="76" t="s">
        <v>2917</v>
      </c>
      <c r="O2280" s="75"/>
      <c r="R2280" s="74"/>
    </row>
    <row r="2281" spans="2:18" ht="36" hidden="1" customHeight="1" x14ac:dyDescent="0.25">
      <c r="B2281" s="84">
        <v>1828</v>
      </c>
      <c r="C2281" s="83" t="s">
        <v>23</v>
      </c>
      <c r="D2281" s="82" t="s">
        <v>1815</v>
      </c>
      <c r="E2281" s="81">
        <v>43873</v>
      </c>
      <c r="F2281" s="27">
        <f t="shared" ca="1" si="40"/>
        <v>600</v>
      </c>
      <c r="G2281" s="79"/>
      <c r="H2281" s="80"/>
      <c r="I2281" s="80"/>
      <c r="J2281" s="79"/>
      <c r="K2281" s="78"/>
      <c r="L2281" s="77">
        <v>43875</v>
      </c>
      <c r="M2281" s="68"/>
      <c r="N2281" s="76" t="s">
        <v>2917</v>
      </c>
      <c r="O2281" s="75"/>
      <c r="R2281" s="74"/>
    </row>
    <row r="2282" spans="2:18" ht="36" hidden="1" customHeight="1" x14ac:dyDescent="0.25">
      <c r="B2282" s="84">
        <v>1828</v>
      </c>
      <c r="C2282" s="83" t="s">
        <v>17</v>
      </c>
      <c r="D2282" s="82" t="s">
        <v>4182</v>
      </c>
      <c r="E2282" s="81">
        <v>43875</v>
      </c>
      <c r="F2282" s="27">
        <f t="shared" ca="1" si="40"/>
        <v>598</v>
      </c>
      <c r="G2282" s="79"/>
      <c r="H2282" s="80"/>
      <c r="I2282" s="80"/>
      <c r="J2282" s="79"/>
      <c r="K2282" s="78"/>
      <c r="L2282" s="77">
        <v>43894</v>
      </c>
      <c r="M2282" s="68"/>
      <c r="N2282" s="76"/>
      <c r="O2282" s="75" t="s">
        <v>4183</v>
      </c>
      <c r="R2282" s="74"/>
    </row>
    <row r="2283" spans="2:18" ht="36" hidden="1" customHeight="1" x14ac:dyDescent="0.25">
      <c r="B2283" s="84">
        <v>1828</v>
      </c>
      <c r="C2283" s="83" t="s">
        <v>23</v>
      </c>
      <c r="D2283" s="82" t="s">
        <v>4180</v>
      </c>
      <c r="E2283" s="81">
        <v>43880</v>
      </c>
      <c r="F2283" s="27">
        <f t="shared" ca="1" si="40"/>
        <v>593</v>
      </c>
      <c r="G2283" s="79"/>
      <c r="H2283" s="80"/>
      <c r="I2283" s="80"/>
      <c r="J2283" s="79"/>
      <c r="K2283" s="78"/>
      <c r="L2283" s="77">
        <v>43880</v>
      </c>
      <c r="M2283" s="68"/>
      <c r="N2283" s="76" t="s">
        <v>937</v>
      </c>
      <c r="O2283" s="75" t="s">
        <v>4181</v>
      </c>
      <c r="R2283" s="74"/>
    </row>
    <row r="2284" spans="2:18" ht="36" hidden="1" customHeight="1" x14ac:dyDescent="0.25">
      <c r="B2284" s="84">
        <v>1828</v>
      </c>
      <c r="C2284" s="83" t="s">
        <v>40</v>
      </c>
      <c r="D2284" s="82" t="s">
        <v>4187</v>
      </c>
      <c r="E2284" s="81">
        <v>43882</v>
      </c>
      <c r="F2284" s="27">
        <f t="shared" ca="1" si="40"/>
        <v>591</v>
      </c>
      <c r="G2284" s="79"/>
      <c r="H2284" s="80"/>
      <c r="I2284" s="80"/>
      <c r="J2284" s="79"/>
      <c r="K2284" s="78"/>
      <c r="L2284" s="77">
        <v>43896</v>
      </c>
      <c r="M2284" s="68"/>
      <c r="N2284" s="76" t="s">
        <v>4185</v>
      </c>
      <c r="O2284" s="75" t="s">
        <v>4188</v>
      </c>
      <c r="R2284" s="74"/>
    </row>
    <row r="2285" spans="2:18" ht="36" hidden="1" customHeight="1" x14ac:dyDescent="0.25">
      <c r="B2285" s="84">
        <v>1828</v>
      </c>
      <c r="C2285" s="83" t="s">
        <v>23</v>
      </c>
      <c r="D2285" s="82" t="s">
        <v>3396</v>
      </c>
      <c r="E2285" s="81">
        <v>43896</v>
      </c>
      <c r="F2285" s="27">
        <f t="shared" ca="1" si="40"/>
        <v>577</v>
      </c>
      <c r="G2285" s="79"/>
      <c r="H2285" s="80"/>
      <c r="I2285" s="80"/>
      <c r="J2285" s="79"/>
      <c r="K2285" s="78"/>
      <c r="L2285" s="77">
        <v>43896</v>
      </c>
      <c r="M2285" s="68"/>
      <c r="N2285" s="76" t="s">
        <v>185</v>
      </c>
      <c r="O2285" s="75" t="s">
        <v>4189</v>
      </c>
      <c r="R2285" s="74"/>
    </row>
    <row r="2286" spans="2:18" ht="36" hidden="1" customHeight="1" x14ac:dyDescent="0.25">
      <c r="B2286" s="84">
        <v>1828</v>
      </c>
      <c r="C2286" s="83" t="s">
        <v>31</v>
      </c>
      <c r="D2286" s="82" t="s">
        <v>4190</v>
      </c>
      <c r="E2286" s="81">
        <v>43899</v>
      </c>
      <c r="F2286" s="27">
        <f t="shared" ca="1" si="40"/>
        <v>574</v>
      </c>
      <c r="G2286" s="79"/>
      <c r="H2286" s="80"/>
      <c r="I2286" s="80"/>
      <c r="J2286" s="79"/>
      <c r="K2286" s="78"/>
      <c r="L2286" s="77">
        <v>43899</v>
      </c>
      <c r="M2286" s="68"/>
      <c r="N2286" s="76" t="s">
        <v>185</v>
      </c>
      <c r="O2286" s="75" t="s">
        <v>4191</v>
      </c>
      <c r="R2286" s="74"/>
    </row>
    <row r="2287" spans="2:18" ht="36" hidden="1" customHeight="1" x14ac:dyDescent="0.25">
      <c r="B2287" s="84">
        <v>1828</v>
      </c>
      <c r="C2287" s="83" t="s">
        <v>23</v>
      </c>
      <c r="D2287" s="82" t="s">
        <v>2359</v>
      </c>
      <c r="E2287" s="81">
        <v>43915</v>
      </c>
      <c r="F2287" s="27">
        <f t="shared" ca="1" si="40"/>
        <v>558</v>
      </c>
      <c r="G2287" s="79"/>
      <c r="H2287" s="80"/>
      <c r="I2287" s="80"/>
      <c r="J2287" s="79"/>
      <c r="K2287" s="78"/>
      <c r="L2287" s="77">
        <v>43934</v>
      </c>
      <c r="M2287" s="68"/>
      <c r="N2287" s="76" t="s">
        <v>185</v>
      </c>
      <c r="O2287" s="75" t="s">
        <v>4192</v>
      </c>
      <c r="R2287" s="74"/>
    </row>
    <row r="2288" spans="2:18" ht="36" hidden="1" customHeight="1" x14ac:dyDescent="0.25">
      <c r="B2288" s="84">
        <v>1828</v>
      </c>
      <c r="C2288" s="83" t="s">
        <v>20</v>
      </c>
      <c r="D2288" s="82" t="s">
        <v>4193</v>
      </c>
      <c r="E2288" s="81">
        <v>43923</v>
      </c>
      <c r="F2288" s="27">
        <f t="shared" ca="1" si="40"/>
        <v>550</v>
      </c>
      <c r="G2288" s="79"/>
      <c r="H2288" s="80"/>
      <c r="I2288" s="80"/>
      <c r="J2288" s="79"/>
      <c r="K2288" s="78"/>
      <c r="L2288" s="77">
        <v>43934</v>
      </c>
      <c r="M2288" s="68"/>
      <c r="N2288" s="76" t="s">
        <v>185</v>
      </c>
      <c r="O2288" s="75" t="s">
        <v>4194</v>
      </c>
      <c r="R2288" s="74"/>
    </row>
    <row r="2289" spans="2:18" ht="36" hidden="1" customHeight="1" x14ac:dyDescent="0.25">
      <c r="B2289" s="84">
        <v>1828</v>
      </c>
      <c r="C2289" s="83" t="s">
        <v>39</v>
      </c>
      <c r="D2289" s="82" t="s">
        <v>4195</v>
      </c>
      <c r="E2289" s="81">
        <v>43929</v>
      </c>
      <c r="F2289" s="27">
        <f t="shared" ca="1" si="40"/>
        <v>544</v>
      </c>
      <c r="G2289" s="79"/>
      <c r="H2289" s="80"/>
      <c r="I2289" s="80"/>
      <c r="J2289" s="79"/>
      <c r="K2289" s="78"/>
      <c r="L2289" s="77">
        <v>43934</v>
      </c>
      <c r="M2289" s="68"/>
      <c r="N2289" s="76" t="s">
        <v>185</v>
      </c>
      <c r="O2289" s="75" t="s">
        <v>4196</v>
      </c>
      <c r="R2289" s="74"/>
    </row>
    <row r="2290" spans="2:18" ht="36" hidden="1" customHeight="1" x14ac:dyDescent="0.25">
      <c r="B2290" s="84">
        <v>1828</v>
      </c>
      <c r="C2290" s="83" t="s">
        <v>19</v>
      </c>
      <c r="D2290" s="82" t="s">
        <v>4197</v>
      </c>
      <c r="E2290" s="81">
        <v>43929</v>
      </c>
      <c r="F2290" s="27">
        <f t="shared" ca="1" si="40"/>
        <v>544</v>
      </c>
      <c r="G2290" s="79"/>
      <c r="H2290" s="80"/>
      <c r="I2290" s="80"/>
      <c r="J2290" s="79"/>
      <c r="K2290" s="78"/>
      <c r="L2290" s="77">
        <v>43934</v>
      </c>
      <c r="M2290" s="68"/>
      <c r="N2290" s="76" t="s">
        <v>185</v>
      </c>
      <c r="O2290" s="75" t="s">
        <v>4198</v>
      </c>
      <c r="R2290" s="74"/>
    </row>
    <row r="2291" spans="2:18" ht="36" hidden="1" customHeight="1" x14ac:dyDescent="0.25">
      <c r="B2291" s="84">
        <v>1828</v>
      </c>
      <c r="C2291" s="83" t="s">
        <v>27</v>
      </c>
      <c r="D2291" s="82" t="s">
        <v>4199</v>
      </c>
      <c r="E2291" s="81">
        <v>43942</v>
      </c>
      <c r="F2291" s="27">
        <f t="shared" ca="1" si="40"/>
        <v>531</v>
      </c>
      <c r="G2291" s="79"/>
      <c r="H2291" s="80"/>
      <c r="I2291" s="80"/>
      <c r="J2291" s="79"/>
      <c r="K2291" s="78"/>
      <c r="L2291" s="77">
        <v>43945</v>
      </c>
      <c r="M2291" s="68"/>
      <c r="N2291" s="76" t="s">
        <v>4200</v>
      </c>
      <c r="O2291" s="75" t="s">
        <v>4201</v>
      </c>
      <c r="R2291" s="74"/>
    </row>
    <row r="2292" spans="2:18" ht="36" hidden="1" customHeight="1" x14ac:dyDescent="0.25">
      <c r="B2292" s="84">
        <v>1828</v>
      </c>
      <c r="C2292" s="83" t="s">
        <v>40</v>
      </c>
      <c r="D2292" s="82" t="s">
        <v>4202</v>
      </c>
      <c r="E2292" s="81">
        <v>43957</v>
      </c>
      <c r="F2292" s="27">
        <f t="shared" ca="1" si="40"/>
        <v>516</v>
      </c>
      <c r="G2292" s="79"/>
      <c r="H2292" s="80"/>
      <c r="I2292" s="80" t="s">
        <v>206</v>
      </c>
      <c r="J2292" s="79"/>
      <c r="K2292" s="78"/>
      <c r="L2292" s="77">
        <v>43978</v>
      </c>
      <c r="M2292" s="68"/>
      <c r="N2292" s="76" t="s">
        <v>1645</v>
      </c>
      <c r="O2292" s="75" t="s">
        <v>4203</v>
      </c>
      <c r="R2292" s="74"/>
    </row>
    <row r="2293" spans="2:18" ht="36" hidden="1" customHeight="1" x14ac:dyDescent="0.25">
      <c r="B2293" s="84">
        <v>1828</v>
      </c>
      <c r="C2293" s="83" t="s">
        <v>11</v>
      </c>
      <c r="D2293" s="82" t="s">
        <v>4204</v>
      </c>
      <c r="E2293" s="81">
        <v>43976</v>
      </c>
      <c r="F2293" s="27">
        <f t="shared" ca="1" si="40"/>
        <v>497</v>
      </c>
      <c r="G2293" s="79"/>
      <c r="H2293" s="80"/>
      <c r="I2293" s="80"/>
      <c r="J2293" s="79"/>
      <c r="K2293" s="78"/>
      <c r="L2293" s="77">
        <v>43993</v>
      </c>
      <c r="M2293" s="68"/>
      <c r="N2293" s="76" t="s">
        <v>4205</v>
      </c>
      <c r="O2293" s="75"/>
      <c r="R2293" s="74"/>
    </row>
    <row r="2294" spans="2:18" ht="36" hidden="1" customHeight="1" x14ac:dyDescent="0.25">
      <c r="B2294" s="84">
        <v>1828</v>
      </c>
      <c r="C2294" s="83" t="s">
        <v>23</v>
      </c>
      <c r="D2294" s="82" t="s">
        <v>2824</v>
      </c>
      <c r="E2294" s="81">
        <v>43977</v>
      </c>
      <c r="F2294" s="27">
        <f t="shared" ca="1" si="40"/>
        <v>496</v>
      </c>
      <c r="G2294" s="79"/>
      <c r="H2294" s="80"/>
      <c r="I2294" s="80" t="s">
        <v>206</v>
      </c>
      <c r="J2294" s="79"/>
      <c r="K2294" s="78"/>
      <c r="L2294" s="77">
        <v>43978</v>
      </c>
      <c r="M2294" s="68"/>
      <c r="N2294" s="76" t="s">
        <v>1645</v>
      </c>
      <c r="O2294" s="75" t="s">
        <v>4107</v>
      </c>
      <c r="R2294" s="74"/>
    </row>
    <row r="2295" spans="2:18" ht="36" hidden="1" customHeight="1" x14ac:dyDescent="0.25">
      <c r="B2295" s="84">
        <v>1828</v>
      </c>
      <c r="C2295" s="83" t="s">
        <v>23</v>
      </c>
      <c r="D2295" s="82" t="s">
        <v>4206</v>
      </c>
      <c r="E2295" s="81">
        <v>44012</v>
      </c>
      <c r="F2295" s="27">
        <f t="shared" ca="1" si="40"/>
        <v>461</v>
      </c>
      <c r="G2295" s="79"/>
      <c r="H2295" s="80"/>
      <c r="I2295" s="80"/>
      <c r="J2295" s="79"/>
      <c r="K2295" s="78"/>
      <c r="L2295" s="77">
        <v>44018</v>
      </c>
      <c r="M2295" s="68"/>
      <c r="N2295" s="76" t="s">
        <v>686</v>
      </c>
      <c r="O2295" s="75"/>
      <c r="R2295" s="74"/>
    </row>
    <row r="2296" spans="2:18" ht="36" hidden="1" customHeight="1" x14ac:dyDescent="0.25">
      <c r="B2296" s="84">
        <v>1828</v>
      </c>
      <c r="C2296" s="83" t="s">
        <v>11</v>
      </c>
      <c r="D2296" s="82" t="s">
        <v>4207</v>
      </c>
      <c r="E2296" s="81">
        <v>44040</v>
      </c>
      <c r="F2296" s="27">
        <f t="shared" ca="1" si="40"/>
        <v>433</v>
      </c>
      <c r="G2296" s="79"/>
      <c r="H2296" s="80"/>
      <c r="I2296" s="80"/>
      <c r="J2296" s="79"/>
      <c r="K2296" s="78"/>
      <c r="L2296" s="77">
        <v>44057</v>
      </c>
      <c r="M2296" s="68"/>
      <c r="N2296" s="76" t="s">
        <v>4208</v>
      </c>
      <c r="O2296" s="75" t="s">
        <v>4209</v>
      </c>
      <c r="R2296" s="74"/>
    </row>
    <row r="2297" spans="2:18" ht="36" hidden="1" customHeight="1" x14ac:dyDescent="0.25">
      <c r="B2297" s="84">
        <v>1828</v>
      </c>
      <c r="C2297" s="83" t="s">
        <v>19</v>
      </c>
      <c r="D2297" s="82" t="s">
        <v>4210</v>
      </c>
      <c r="E2297" s="81">
        <v>44047</v>
      </c>
      <c r="F2297" s="27">
        <f t="shared" ca="1" si="40"/>
        <v>426</v>
      </c>
      <c r="G2297" s="79"/>
      <c r="H2297" s="80"/>
      <c r="I2297" s="80"/>
      <c r="J2297" s="79"/>
      <c r="K2297" s="78"/>
      <c r="L2297" s="77">
        <v>44057</v>
      </c>
      <c r="M2297" s="68"/>
      <c r="N2297" s="76" t="s">
        <v>4208</v>
      </c>
      <c r="O2297" s="75"/>
      <c r="R2297" s="74"/>
    </row>
    <row r="2298" spans="2:18" ht="36" hidden="1" customHeight="1" x14ac:dyDescent="0.25">
      <c r="B2298" s="84">
        <v>1828</v>
      </c>
      <c r="C2298" s="83" t="s">
        <v>23</v>
      </c>
      <c r="D2298" s="82" t="s">
        <v>4211</v>
      </c>
      <c r="E2298" s="81">
        <v>44049</v>
      </c>
      <c r="F2298" s="27">
        <f t="shared" ca="1" si="40"/>
        <v>424</v>
      </c>
      <c r="G2298" s="79"/>
      <c r="H2298" s="80"/>
      <c r="I2298" s="80"/>
      <c r="J2298" s="79"/>
      <c r="K2298" s="78"/>
      <c r="L2298" s="77">
        <v>44057</v>
      </c>
      <c r="M2298" s="68"/>
      <c r="N2298" s="76" t="s">
        <v>4208</v>
      </c>
      <c r="O2298" s="75" t="s">
        <v>4212</v>
      </c>
      <c r="R2298" s="74"/>
    </row>
    <row r="2299" spans="2:18" ht="36" hidden="1" customHeight="1" x14ac:dyDescent="0.25">
      <c r="B2299" s="84">
        <v>1828</v>
      </c>
      <c r="C2299" s="83" t="s">
        <v>11</v>
      </c>
      <c r="D2299" s="82" t="s">
        <v>4213</v>
      </c>
      <c r="E2299" s="81">
        <v>44049</v>
      </c>
      <c r="F2299" s="27">
        <f t="shared" ca="1" si="40"/>
        <v>424</v>
      </c>
      <c r="G2299" s="79"/>
      <c r="H2299" s="80"/>
      <c r="I2299" s="80"/>
      <c r="J2299" s="79"/>
      <c r="K2299" s="78"/>
      <c r="L2299" s="77">
        <v>44057</v>
      </c>
      <c r="M2299" s="68"/>
      <c r="N2299" s="76" t="s">
        <v>4208</v>
      </c>
      <c r="O2299" s="75" t="s">
        <v>4105</v>
      </c>
      <c r="R2299" s="74"/>
    </row>
    <row r="2300" spans="2:18" ht="36" hidden="1" customHeight="1" x14ac:dyDescent="0.25">
      <c r="B2300" s="84">
        <v>1828</v>
      </c>
      <c r="C2300" s="83" t="s">
        <v>19</v>
      </c>
      <c r="D2300" s="82" t="s">
        <v>4292</v>
      </c>
      <c r="E2300" s="81">
        <v>44060</v>
      </c>
      <c r="F2300" s="27">
        <f t="shared" ca="1" si="40"/>
        <v>413</v>
      </c>
      <c r="G2300" s="79"/>
      <c r="H2300" s="80"/>
      <c r="I2300" s="80"/>
      <c r="J2300" s="79"/>
      <c r="K2300" s="78"/>
      <c r="L2300" s="77">
        <v>44064</v>
      </c>
      <c r="M2300" s="68"/>
      <c r="N2300" s="68" t="s">
        <v>4281</v>
      </c>
      <c r="O2300" s="111" t="s">
        <v>4454</v>
      </c>
      <c r="R2300" s="74"/>
    </row>
    <row r="2301" spans="2:18" ht="36" hidden="1" customHeight="1" x14ac:dyDescent="0.25">
      <c r="B2301" s="84">
        <v>1828</v>
      </c>
      <c r="C2301" s="83" t="s">
        <v>12</v>
      </c>
      <c r="D2301" s="82" t="s">
        <v>4294</v>
      </c>
      <c r="E2301" s="81">
        <v>44060</v>
      </c>
      <c r="F2301" s="27">
        <f t="shared" ca="1" si="40"/>
        <v>413</v>
      </c>
      <c r="G2301" s="79"/>
      <c r="H2301" s="80"/>
      <c r="I2301" s="80"/>
      <c r="J2301" s="79"/>
      <c r="K2301" s="78"/>
      <c r="L2301" s="77">
        <v>44064</v>
      </c>
      <c r="M2301" s="68"/>
      <c r="N2301" s="68" t="s">
        <v>4281</v>
      </c>
      <c r="O2301" s="111" t="s">
        <v>300</v>
      </c>
      <c r="R2301" s="74"/>
    </row>
    <row r="2302" spans="2:18" ht="36" hidden="1" customHeight="1" x14ac:dyDescent="0.25">
      <c r="B2302" s="84">
        <v>1828</v>
      </c>
      <c r="C2302" s="83" t="s">
        <v>4434</v>
      </c>
      <c r="D2302" s="82" t="s">
        <v>4455</v>
      </c>
      <c r="E2302" s="81">
        <v>44067</v>
      </c>
      <c r="F2302" s="27">
        <f t="shared" ca="1" si="40"/>
        <v>406</v>
      </c>
      <c r="G2302" s="79"/>
      <c r="H2302" s="80"/>
      <c r="I2302" s="80"/>
      <c r="J2302" s="79"/>
      <c r="K2302" s="78"/>
      <c r="L2302" s="77">
        <v>44075</v>
      </c>
      <c r="M2302" s="68" t="s">
        <v>4443</v>
      </c>
      <c r="N2302" s="118" t="s">
        <v>4469</v>
      </c>
      <c r="O2302" s="119"/>
      <c r="R2302" s="74"/>
    </row>
    <row r="2303" spans="2:18" ht="36" hidden="1" customHeight="1" x14ac:dyDescent="0.25">
      <c r="B2303" s="84">
        <v>1828</v>
      </c>
      <c r="C2303" s="83" t="s">
        <v>37</v>
      </c>
      <c r="D2303" s="82" t="s">
        <v>4518</v>
      </c>
      <c r="E2303" s="81">
        <v>44076.722199074073</v>
      </c>
      <c r="F2303" s="27"/>
      <c r="G2303" s="79"/>
      <c r="H2303" s="80"/>
      <c r="I2303" s="120" t="s">
        <v>206</v>
      </c>
      <c r="J2303" s="79"/>
      <c r="K2303" s="78"/>
      <c r="L2303" s="77">
        <v>44076</v>
      </c>
      <c r="M2303" s="68"/>
      <c r="N2303" s="75" t="s">
        <v>4519</v>
      </c>
      <c r="O2303" s="119"/>
      <c r="R2303" s="74"/>
    </row>
    <row r="2304" spans="2:18" ht="36" hidden="1" customHeight="1" x14ac:dyDescent="0.25">
      <c r="B2304" s="84">
        <v>1828</v>
      </c>
      <c r="C2304" s="83" t="s">
        <v>37</v>
      </c>
      <c r="D2304" s="82" t="s">
        <v>4521</v>
      </c>
      <c r="E2304" s="81">
        <v>44077</v>
      </c>
      <c r="F2304" s="27"/>
      <c r="G2304" s="79"/>
      <c r="H2304" s="80"/>
      <c r="I2304" s="120"/>
      <c r="J2304" s="79"/>
      <c r="K2304" s="78"/>
      <c r="L2304" s="77">
        <v>44077</v>
      </c>
      <c r="M2304" s="68" t="s">
        <v>4443</v>
      </c>
      <c r="N2304" s="75" t="s">
        <v>4525</v>
      </c>
      <c r="O2304" s="119"/>
      <c r="R2304" s="74"/>
    </row>
    <row r="2305" spans="2:18" ht="36" hidden="1" customHeight="1" x14ac:dyDescent="0.25">
      <c r="B2305" s="84">
        <v>1829</v>
      </c>
      <c r="C2305" s="83" t="s">
        <v>17</v>
      </c>
      <c r="D2305" s="82" t="s">
        <v>1627</v>
      </c>
      <c r="E2305" s="81">
        <v>43781</v>
      </c>
      <c r="F2305" s="27">
        <f t="shared" ref="F2305:F2336" ca="1" si="41">IF(E2305&lt;&gt;"",TODAY()-E2305,"")</f>
        <v>692</v>
      </c>
      <c r="G2305" s="79"/>
      <c r="H2305" s="80"/>
      <c r="I2305" s="80"/>
      <c r="J2305" s="79"/>
      <c r="K2305" s="78"/>
      <c r="L2305" s="77">
        <v>43857</v>
      </c>
      <c r="M2305" s="68"/>
      <c r="N2305" s="76" t="s">
        <v>1176</v>
      </c>
      <c r="O2305" s="75" t="s">
        <v>4214</v>
      </c>
      <c r="R2305" s="74"/>
    </row>
    <row r="2306" spans="2:18" ht="36" hidden="1" customHeight="1" x14ac:dyDescent="0.25">
      <c r="B2306" s="84">
        <v>1829</v>
      </c>
      <c r="C2306" s="83" t="s">
        <v>12</v>
      </c>
      <c r="D2306" s="82" t="s">
        <v>4215</v>
      </c>
      <c r="E2306" s="81">
        <v>43826</v>
      </c>
      <c r="F2306" s="27">
        <f t="shared" ca="1" si="41"/>
        <v>647</v>
      </c>
      <c r="G2306" s="79"/>
      <c r="H2306" s="80"/>
      <c r="I2306" s="80"/>
      <c r="J2306" s="79"/>
      <c r="K2306" s="78"/>
      <c r="L2306" s="77">
        <v>43857</v>
      </c>
      <c r="M2306" s="68"/>
      <c r="N2306" s="76" t="s">
        <v>1176</v>
      </c>
      <c r="O2306" s="75" t="s">
        <v>4216</v>
      </c>
      <c r="R2306" s="74"/>
    </row>
    <row r="2307" spans="2:18" ht="36" hidden="1" customHeight="1" x14ac:dyDescent="0.25">
      <c r="B2307" s="84">
        <v>1829</v>
      </c>
      <c r="C2307" s="83" t="s">
        <v>23</v>
      </c>
      <c r="D2307" s="82" t="s">
        <v>4217</v>
      </c>
      <c r="E2307" s="81">
        <v>43832</v>
      </c>
      <c r="F2307" s="27">
        <f t="shared" ca="1" si="41"/>
        <v>641</v>
      </c>
      <c r="G2307" s="79"/>
      <c r="H2307" s="80"/>
      <c r="I2307" s="80"/>
      <c r="J2307" s="79"/>
      <c r="K2307" s="78"/>
      <c r="L2307" s="77">
        <v>43857</v>
      </c>
      <c r="M2307" s="68"/>
      <c r="N2307" s="76" t="s">
        <v>1176</v>
      </c>
      <c r="O2307" s="75" t="s">
        <v>52</v>
      </c>
      <c r="R2307" s="74"/>
    </row>
    <row r="2308" spans="2:18" ht="36" hidden="1" customHeight="1" x14ac:dyDescent="0.25">
      <c r="B2308" s="84">
        <v>1829</v>
      </c>
      <c r="C2308" s="83" t="s">
        <v>40</v>
      </c>
      <c r="D2308" s="82" t="s">
        <v>4218</v>
      </c>
      <c r="E2308" s="81">
        <v>43833</v>
      </c>
      <c r="F2308" s="27">
        <f t="shared" ca="1" si="41"/>
        <v>640</v>
      </c>
      <c r="G2308" s="79"/>
      <c r="H2308" s="80"/>
      <c r="I2308" s="80"/>
      <c r="J2308" s="79"/>
      <c r="K2308" s="78"/>
      <c r="L2308" s="77">
        <v>43857</v>
      </c>
      <c r="M2308" s="68"/>
      <c r="N2308" s="76" t="s">
        <v>1176</v>
      </c>
      <c r="O2308" s="75" t="s">
        <v>465</v>
      </c>
      <c r="R2308" s="74"/>
    </row>
    <row r="2309" spans="2:18" ht="36" hidden="1" customHeight="1" x14ac:dyDescent="0.25">
      <c r="B2309" s="84">
        <v>1829</v>
      </c>
      <c r="C2309" s="83" t="s">
        <v>40</v>
      </c>
      <c r="D2309" s="82" t="s">
        <v>4219</v>
      </c>
      <c r="E2309" s="81">
        <v>43840</v>
      </c>
      <c r="F2309" s="27">
        <f t="shared" ca="1" si="41"/>
        <v>633</v>
      </c>
      <c r="G2309" s="79"/>
      <c r="H2309" s="80"/>
      <c r="I2309" s="80"/>
      <c r="J2309" s="79"/>
      <c r="K2309" s="78"/>
      <c r="L2309" s="77">
        <v>43857</v>
      </c>
      <c r="M2309" s="68"/>
      <c r="N2309" s="76" t="s">
        <v>1176</v>
      </c>
      <c r="O2309" s="75" t="s">
        <v>4214</v>
      </c>
      <c r="R2309" s="74"/>
    </row>
    <row r="2310" spans="2:18" ht="36" hidden="1" customHeight="1" x14ac:dyDescent="0.25">
      <c r="B2310" s="84">
        <v>1829</v>
      </c>
      <c r="C2310" s="83" t="s">
        <v>23</v>
      </c>
      <c r="D2310" s="82" t="s">
        <v>4220</v>
      </c>
      <c r="E2310" s="81">
        <v>43845</v>
      </c>
      <c r="F2310" s="27">
        <f t="shared" ca="1" si="41"/>
        <v>628</v>
      </c>
      <c r="G2310" s="79"/>
      <c r="H2310" s="80"/>
      <c r="I2310" s="80"/>
      <c r="J2310" s="79"/>
      <c r="K2310" s="78"/>
      <c r="L2310" s="77">
        <v>43857</v>
      </c>
      <c r="M2310" s="68"/>
      <c r="N2310" s="76" t="s">
        <v>1176</v>
      </c>
      <c r="O2310" s="75" t="s">
        <v>1270</v>
      </c>
      <c r="R2310" s="74"/>
    </row>
    <row r="2311" spans="2:18" ht="36" hidden="1" customHeight="1" x14ac:dyDescent="0.25">
      <c r="B2311" s="84">
        <v>1829</v>
      </c>
      <c r="C2311" s="83" t="s">
        <v>23</v>
      </c>
      <c r="D2311" s="82" t="s">
        <v>301</v>
      </c>
      <c r="E2311" s="81">
        <v>43874</v>
      </c>
      <c r="F2311" s="27">
        <f t="shared" ca="1" si="41"/>
        <v>599</v>
      </c>
      <c r="G2311" s="79"/>
      <c r="H2311" s="80"/>
      <c r="I2311" s="80"/>
      <c r="J2311" s="79"/>
      <c r="K2311" s="78"/>
      <c r="L2311" s="77">
        <v>43875</v>
      </c>
      <c r="M2311" s="68"/>
      <c r="N2311" s="76" t="s">
        <v>2917</v>
      </c>
      <c r="O2311" s="75"/>
      <c r="R2311" s="74"/>
    </row>
    <row r="2312" spans="2:18" ht="36" hidden="1" customHeight="1" x14ac:dyDescent="0.25">
      <c r="B2312" s="84">
        <v>1829</v>
      </c>
      <c r="C2312" s="83" t="s">
        <v>23</v>
      </c>
      <c r="D2312" s="82" t="s">
        <v>4221</v>
      </c>
      <c r="E2312" s="81">
        <v>43874</v>
      </c>
      <c r="F2312" s="27">
        <f t="shared" ca="1" si="41"/>
        <v>599</v>
      </c>
      <c r="G2312" s="79"/>
      <c r="H2312" s="80"/>
      <c r="I2312" s="80"/>
      <c r="J2312" s="79"/>
      <c r="K2312" s="78"/>
      <c r="L2312" s="77">
        <v>43885</v>
      </c>
      <c r="M2312" s="68"/>
      <c r="N2312" s="76" t="s">
        <v>185</v>
      </c>
      <c r="O2312" s="75" t="s">
        <v>3709</v>
      </c>
      <c r="R2312" s="74"/>
    </row>
    <row r="2313" spans="2:18" ht="36" hidden="1" customHeight="1" x14ac:dyDescent="0.25">
      <c r="B2313" s="84">
        <v>1829</v>
      </c>
      <c r="C2313" s="83" t="s">
        <v>30</v>
      </c>
      <c r="D2313" s="82" t="s">
        <v>1421</v>
      </c>
      <c r="E2313" s="81">
        <v>43880</v>
      </c>
      <c r="F2313" s="27">
        <f t="shared" ca="1" si="41"/>
        <v>593</v>
      </c>
      <c r="G2313" s="79"/>
      <c r="H2313" s="80"/>
      <c r="I2313" s="80"/>
      <c r="J2313" s="79"/>
      <c r="K2313" s="78"/>
      <c r="L2313" s="77">
        <v>43885</v>
      </c>
      <c r="M2313" s="68"/>
      <c r="N2313" s="76" t="s">
        <v>185</v>
      </c>
      <c r="O2313" s="75" t="s">
        <v>4222</v>
      </c>
      <c r="R2313" s="74"/>
    </row>
    <row r="2314" spans="2:18" ht="36" hidden="1" customHeight="1" x14ac:dyDescent="0.25">
      <c r="B2314" s="84">
        <v>1829</v>
      </c>
      <c r="C2314" s="83" t="s">
        <v>31</v>
      </c>
      <c r="D2314" s="82" t="s">
        <v>4223</v>
      </c>
      <c r="E2314" s="81">
        <v>43885</v>
      </c>
      <c r="F2314" s="27">
        <f t="shared" ca="1" si="41"/>
        <v>588</v>
      </c>
      <c r="G2314" s="79"/>
      <c r="H2314" s="80"/>
      <c r="I2314" s="80"/>
      <c r="J2314" s="79"/>
      <c r="K2314" s="78"/>
      <c r="L2314" s="77">
        <v>43886</v>
      </c>
      <c r="M2314" s="68"/>
      <c r="N2314" s="76" t="s">
        <v>703</v>
      </c>
      <c r="O2314" s="75" t="s">
        <v>4224</v>
      </c>
      <c r="R2314" s="74"/>
    </row>
    <row r="2315" spans="2:18" ht="36" hidden="1" customHeight="1" x14ac:dyDescent="0.25">
      <c r="B2315" s="84">
        <v>1829</v>
      </c>
      <c r="C2315" s="83" t="s">
        <v>23</v>
      </c>
      <c r="D2315" s="82" t="s">
        <v>4225</v>
      </c>
      <c r="E2315" s="81">
        <v>43893</v>
      </c>
      <c r="F2315" s="27">
        <f t="shared" ca="1" si="41"/>
        <v>580</v>
      </c>
      <c r="G2315" s="79"/>
      <c r="H2315" s="80"/>
      <c r="I2315" s="80"/>
      <c r="J2315" s="79"/>
      <c r="K2315" s="78"/>
      <c r="L2315" s="77">
        <v>43896</v>
      </c>
      <c r="M2315" s="68"/>
      <c r="N2315" s="76" t="s">
        <v>703</v>
      </c>
      <c r="O2315" s="75" t="s">
        <v>4226</v>
      </c>
      <c r="R2315" s="74"/>
    </row>
    <row r="2316" spans="2:18" ht="36" hidden="1" customHeight="1" x14ac:dyDescent="0.25">
      <c r="B2316" s="84">
        <v>1829</v>
      </c>
      <c r="C2316" s="83" t="s">
        <v>23</v>
      </c>
      <c r="D2316" s="82" t="s">
        <v>58</v>
      </c>
      <c r="E2316" s="81">
        <v>43908</v>
      </c>
      <c r="F2316" s="27">
        <f t="shared" ca="1" si="41"/>
        <v>565</v>
      </c>
      <c r="G2316" s="79"/>
      <c r="H2316" s="80"/>
      <c r="I2316" s="80"/>
      <c r="J2316" s="79"/>
      <c r="K2316" s="78"/>
      <c r="L2316" s="77">
        <v>43916</v>
      </c>
      <c r="M2316" s="68"/>
      <c r="N2316" s="76" t="s">
        <v>185</v>
      </c>
      <c r="O2316" s="75" t="s">
        <v>55</v>
      </c>
      <c r="R2316" s="74"/>
    </row>
    <row r="2317" spans="2:18" ht="36" hidden="1" customHeight="1" x14ac:dyDescent="0.25">
      <c r="B2317" s="84">
        <v>1829</v>
      </c>
      <c r="C2317" s="83" t="s">
        <v>31</v>
      </c>
      <c r="D2317" s="82" t="s">
        <v>4227</v>
      </c>
      <c r="E2317" s="81">
        <v>43916</v>
      </c>
      <c r="F2317" s="27">
        <f t="shared" ca="1" si="41"/>
        <v>557</v>
      </c>
      <c r="G2317" s="79"/>
      <c r="H2317" s="80"/>
      <c r="I2317" s="80"/>
      <c r="J2317" s="79"/>
      <c r="K2317" s="78"/>
      <c r="L2317" s="77">
        <v>43948</v>
      </c>
      <c r="M2317" s="68"/>
      <c r="N2317" s="76" t="s">
        <v>185</v>
      </c>
      <c r="O2317" s="75" t="s">
        <v>549</v>
      </c>
      <c r="R2317" s="74"/>
    </row>
    <row r="2318" spans="2:18" ht="36" hidden="1" customHeight="1" x14ac:dyDescent="0.25">
      <c r="B2318" s="84">
        <v>1829</v>
      </c>
      <c r="C2318" s="83" t="s">
        <v>9</v>
      </c>
      <c r="D2318" s="82" t="s">
        <v>3467</v>
      </c>
      <c r="E2318" s="81">
        <v>43928</v>
      </c>
      <c r="F2318" s="27">
        <f t="shared" ca="1" si="41"/>
        <v>545</v>
      </c>
      <c r="G2318" s="79"/>
      <c r="H2318" s="80"/>
      <c r="I2318" s="80"/>
      <c r="J2318" s="79"/>
      <c r="K2318" s="78"/>
      <c r="L2318" s="77">
        <v>43948</v>
      </c>
      <c r="M2318" s="68"/>
      <c r="N2318" s="76" t="s">
        <v>185</v>
      </c>
      <c r="O2318" s="75" t="s">
        <v>549</v>
      </c>
      <c r="R2318" s="74"/>
    </row>
    <row r="2319" spans="2:18" ht="36" hidden="1" customHeight="1" x14ac:dyDescent="0.25">
      <c r="B2319" s="84">
        <v>1829</v>
      </c>
      <c r="C2319" s="83" t="s">
        <v>11</v>
      </c>
      <c r="D2319" s="82" t="s">
        <v>4228</v>
      </c>
      <c r="E2319" s="81">
        <v>43938</v>
      </c>
      <c r="F2319" s="27">
        <f t="shared" ca="1" si="41"/>
        <v>535</v>
      </c>
      <c r="G2319" s="79"/>
      <c r="H2319" s="80"/>
      <c r="I2319" s="80"/>
      <c r="J2319" s="79"/>
      <c r="K2319" s="78"/>
      <c r="L2319" s="77">
        <v>43948</v>
      </c>
      <c r="M2319" s="68"/>
      <c r="N2319" s="76" t="s">
        <v>185</v>
      </c>
      <c r="O2319" s="75" t="s">
        <v>4229</v>
      </c>
      <c r="R2319" s="74"/>
    </row>
    <row r="2320" spans="2:18" ht="36" hidden="1" customHeight="1" x14ac:dyDescent="0.25">
      <c r="B2320" s="84">
        <v>1829</v>
      </c>
      <c r="C2320" s="83" t="s">
        <v>23</v>
      </c>
      <c r="D2320" s="82" t="s">
        <v>1987</v>
      </c>
      <c r="E2320" s="81">
        <v>43942</v>
      </c>
      <c r="F2320" s="27">
        <f t="shared" ca="1" si="41"/>
        <v>531</v>
      </c>
      <c r="G2320" s="79"/>
      <c r="H2320" s="80"/>
      <c r="I2320" s="80"/>
      <c r="J2320" s="79"/>
      <c r="K2320" s="78"/>
      <c r="L2320" s="77">
        <v>43948</v>
      </c>
      <c r="M2320" s="68"/>
      <c r="N2320" s="76" t="s">
        <v>185</v>
      </c>
      <c r="O2320" s="75" t="s">
        <v>55</v>
      </c>
      <c r="R2320" s="74"/>
    </row>
    <row r="2321" spans="2:18" ht="36" hidden="1" customHeight="1" x14ac:dyDescent="0.25">
      <c r="B2321" s="84">
        <v>1829</v>
      </c>
      <c r="C2321" s="83" t="s">
        <v>23</v>
      </c>
      <c r="D2321" s="82" t="s">
        <v>4230</v>
      </c>
      <c r="E2321" s="81">
        <v>43945</v>
      </c>
      <c r="F2321" s="27">
        <f t="shared" ca="1" si="41"/>
        <v>528</v>
      </c>
      <c r="G2321" s="79"/>
      <c r="H2321" s="80"/>
      <c r="I2321" s="80"/>
      <c r="J2321" s="79"/>
      <c r="K2321" s="78"/>
      <c r="L2321" s="77">
        <v>43948</v>
      </c>
      <c r="M2321" s="68"/>
      <c r="N2321" s="76" t="s">
        <v>185</v>
      </c>
      <c r="O2321" s="75" t="s">
        <v>2921</v>
      </c>
      <c r="R2321" s="74"/>
    </row>
    <row r="2322" spans="2:18" ht="36" hidden="1" customHeight="1" x14ac:dyDescent="0.25">
      <c r="B2322" s="84">
        <v>1829</v>
      </c>
      <c r="C2322" s="83" t="s">
        <v>19</v>
      </c>
      <c r="D2322" s="82" t="s">
        <v>4231</v>
      </c>
      <c r="E2322" s="81">
        <v>43963</v>
      </c>
      <c r="F2322" s="27">
        <f t="shared" ca="1" si="41"/>
        <v>510</v>
      </c>
      <c r="G2322" s="79"/>
      <c r="H2322" s="80"/>
      <c r="I2322" s="80" t="s">
        <v>206</v>
      </c>
      <c r="J2322" s="79"/>
      <c r="K2322" s="78"/>
      <c r="L2322" s="77">
        <v>43969</v>
      </c>
      <c r="M2322" s="68"/>
      <c r="N2322" s="76" t="s">
        <v>4232</v>
      </c>
      <c r="O2322" s="75"/>
      <c r="R2322" s="74"/>
    </row>
    <row r="2323" spans="2:18" ht="36" hidden="1" customHeight="1" x14ac:dyDescent="0.25">
      <c r="B2323" s="84">
        <v>1829</v>
      </c>
      <c r="C2323" s="83" t="s">
        <v>19</v>
      </c>
      <c r="D2323" s="82" t="s">
        <v>4233</v>
      </c>
      <c r="E2323" s="81">
        <v>43970</v>
      </c>
      <c r="F2323" s="27">
        <f t="shared" ca="1" si="41"/>
        <v>503</v>
      </c>
      <c r="G2323" s="79"/>
      <c r="H2323" s="80"/>
      <c r="I2323" s="80" t="s">
        <v>278</v>
      </c>
      <c r="J2323" s="79"/>
      <c r="K2323" s="78"/>
      <c r="L2323" s="77">
        <v>43976</v>
      </c>
      <c r="M2323" s="68"/>
      <c r="N2323" s="76" t="s">
        <v>4234</v>
      </c>
      <c r="O2323" s="75" t="s">
        <v>4235</v>
      </c>
      <c r="R2323" s="74"/>
    </row>
    <row r="2324" spans="2:18" ht="36" hidden="1" customHeight="1" x14ac:dyDescent="0.25">
      <c r="B2324" s="84">
        <v>1829</v>
      </c>
      <c r="C2324" s="83" t="s">
        <v>19</v>
      </c>
      <c r="D2324" s="82" t="s">
        <v>4237</v>
      </c>
      <c r="E2324" s="81">
        <v>43979</v>
      </c>
      <c r="F2324" s="27">
        <f t="shared" ca="1" si="41"/>
        <v>494</v>
      </c>
      <c r="G2324" s="79"/>
      <c r="H2324" s="80"/>
      <c r="I2324" s="80"/>
      <c r="J2324" s="79"/>
      <c r="K2324" s="78"/>
      <c r="L2324" s="77">
        <v>44007</v>
      </c>
      <c r="M2324" s="68"/>
      <c r="N2324" s="76" t="s">
        <v>4238</v>
      </c>
      <c r="O2324" s="75"/>
      <c r="R2324" s="74"/>
    </row>
    <row r="2325" spans="2:18" ht="36" hidden="1" customHeight="1" x14ac:dyDescent="0.25">
      <c r="B2325" s="84">
        <v>1829</v>
      </c>
      <c r="C2325" s="83" t="s">
        <v>21</v>
      </c>
      <c r="D2325" s="82" t="s">
        <v>4236</v>
      </c>
      <c r="E2325" s="81">
        <v>43993</v>
      </c>
      <c r="F2325" s="27">
        <f t="shared" ca="1" si="41"/>
        <v>480</v>
      </c>
      <c r="G2325" s="79"/>
      <c r="H2325" s="80"/>
      <c r="I2325" s="80"/>
      <c r="J2325" s="79"/>
      <c r="K2325" s="78"/>
      <c r="L2325" s="77">
        <v>43993</v>
      </c>
      <c r="M2325" s="68"/>
      <c r="N2325" s="76"/>
      <c r="O2325" s="75"/>
      <c r="R2325" s="74"/>
    </row>
    <row r="2326" spans="2:18" ht="36" hidden="1" customHeight="1" x14ac:dyDescent="0.25">
      <c r="B2326" s="84">
        <v>1829</v>
      </c>
      <c r="C2326" s="83" t="s">
        <v>23</v>
      </c>
      <c r="D2326" s="82" t="s">
        <v>4045</v>
      </c>
      <c r="E2326" s="81">
        <v>43994</v>
      </c>
      <c r="F2326" s="27">
        <f t="shared" ca="1" si="41"/>
        <v>479</v>
      </c>
      <c r="G2326" s="79"/>
      <c r="H2326" s="80"/>
      <c r="I2326" s="80"/>
      <c r="J2326" s="79"/>
      <c r="K2326" s="78"/>
      <c r="L2326" s="77">
        <v>44002</v>
      </c>
      <c r="M2326" s="68"/>
      <c r="N2326" s="76"/>
      <c r="O2326" s="75"/>
      <c r="R2326" s="74"/>
    </row>
    <row r="2327" spans="2:18" ht="36" hidden="1" customHeight="1" x14ac:dyDescent="0.25">
      <c r="B2327" s="84">
        <v>1829</v>
      </c>
      <c r="C2327" s="83" t="s">
        <v>11</v>
      </c>
      <c r="D2327" s="82" t="s">
        <v>4239</v>
      </c>
      <c r="E2327" s="81">
        <v>44029</v>
      </c>
      <c r="F2327" s="27">
        <f t="shared" ca="1" si="41"/>
        <v>444</v>
      </c>
      <c r="G2327" s="79"/>
      <c r="H2327" s="80"/>
      <c r="I2327" s="80"/>
      <c r="J2327" s="79"/>
      <c r="K2327" s="78"/>
      <c r="L2327" s="77">
        <v>44029</v>
      </c>
      <c r="M2327" s="68"/>
      <c r="N2327" s="76" t="s">
        <v>4240</v>
      </c>
      <c r="O2327" s="75" t="s">
        <v>4241</v>
      </c>
      <c r="R2327" s="74"/>
    </row>
    <row r="2328" spans="2:18" ht="36" hidden="1" customHeight="1" x14ac:dyDescent="0.25">
      <c r="B2328" s="84">
        <v>1829</v>
      </c>
      <c r="C2328" s="83" t="s">
        <v>39</v>
      </c>
      <c r="D2328" s="82" t="s">
        <v>4242</v>
      </c>
      <c r="E2328" s="81">
        <v>44029</v>
      </c>
      <c r="F2328" s="27">
        <f t="shared" ca="1" si="41"/>
        <v>444</v>
      </c>
      <c r="G2328" s="79"/>
      <c r="H2328" s="80"/>
      <c r="I2328" s="80"/>
      <c r="J2328" s="79"/>
      <c r="K2328" s="78"/>
      <c r="L2328" s="77">
        <v>44029</v>
      </c>
      <c r="M2328" s="68"/>
      <c r="N2328" s="76" t="s">
        <v>4240</v>
      </c>
      <c r="O2328" s="75" t="s">
        <v>4243</v>
      </c>
      <c r="R2328" s="74"/>
    </row>
    <row r="2329" spans="2:18" ht="36" hidden="1" customHeight="1" x14ac:dyDescent="0.25">
      <c r="B2329" s="84">
        <v>1829</v>
      </c>
      <c r="C2329" s="83" t="s">
        <v>40</v>
      </c>
      <c r="D2329" s="82" t="s">
        <v>2003</v>
      </c>
      <c r="E2329" s="81">
        <v>44040</v>
      </c>
      <c r="F2329" s="27">
        <f t="shared" ca="1" si="41"/>
        <v>433</v>
      </c>
      <c r="G2329" s="79"/>
      <c r="H2329" s="80"/>
      <c r="I2329" s="80"/>
      <c r="J2329" s="79"/>
      <c r="K2329" s="78"/>
      <c r="L2329" s="77">
        <v>44041</v>
      </c>
      <c r="M2329" s="68"/>
      <c r="N2329" s="76" t="s">
        <v>686</v>
      </c>
      <c r="O2329" s="75"/>
      <c r="R2329" s="74"/>
    </row>
    <row r="2330" spans="2:18" ht="36" hidden="1" customHeight="1" x14ac:dyDescent="0.25">
      <c r="B2330" s="84">
        <v>1829</v>
      </c>
      <c r="C2330" s="83" t="s">
        <v>23</v>
      </c>
      <c r="D2330" s="82" t="s">
        <v>4246</v>
      </c>
      <c r="E2330" s="81">
        <v>44050</v>
      </c>
      <c r="F2330" s="27">
        <f t="shared" ca="1" si="41"/>
        <v>423</v>
      </c>
      <c r="G2330" s="79"/>
      <c r="H2330" s="80"/>
      <c r="I2330" s="80"/>
      <c r="J2330" s="79"/>
      <c r="K2330" s="78"/>
      <c r="L2330" s="77">
        <v>44055</v>
      </c>
      <c r="M2330" s="68"/>
      <c r="N2330" s="76" t="s">
        <v>185</v>
      </c>
      <c r="O2330" s="75" t="s">
        <v>55</v>
      </c>
      <c r="R2330" s="74"/>
    </row>
    <row r="2331" spans="2:18" ht="36" hidden="1" customHeight="1" x14ac:dyDescent="0.25">
      <c r="B2331" s="84">
        <v>1829</v>
      </c>
      <c r="C2331" s="83" t="s">
        <v>23</v>
      </c>
      <c r="D2331" s="82" t="s">
        <v>4247</v>
      </c>
      <c r="E2331" s="81">
        <v>44050</v>
      </c>
      <c r="F2331" s="27">
        <f t="shared" ca="1" si="41"/>
        <v>423</v>
      </c>
      <c r="G2331" s="79"/>
      <c r="H2331" s="80"/>
      <c r="I2331" s="80"/>
      <c r="J2331" s="79"/>
      <c r="K2331" s="78"/>
      <c r="L2331" s="77">
        <v>44055</v>
      </c>
      <c r="M2331" s="68"/>
      <c r="N2331" s="76" t="s">
        <v>185</v>
      </c>
      <c r="O2331" s="75" t="s">
        <v>55</v>
      </c>
      <c r="R2331" s="74"/>
    </row>
    <row r="2332" spans="2:18" ht="36" hidden="1" customHeight="1" x14ac:dyDescent="0.25">
      <c r="B2332" s="84">
        <v>1829</v>
      </c>
      <c r="C2332" s="83" t="s">
        <v>11</v>
      </c>
      <c r="D2332" s="82" t="s">
        <v>4296</v>
      </c>
      <c r="E2332" s="81">
        <v>44061</v>
      </c>
      <c r="F2332" s="27">
        <f t="shared" ca="1" si="41"/>
        <v>412</v>
      </c>
      <c r="G2332" s="79"/>
      <c r="H2332" s="80"/>
      <c r="I2332" s="80"/>
      <c r="J2332" s="79"/>
      <c r="K2332" s="78"/>
      <c r="L2332" s="77">
        <v>44061</v>
      </c>
      <c r="M2332" s="68"/>
      <c r="N2332" s="68" t="s">
        <v>937</v>
      </c>
      <c r="O2332" s="111" t="s">
        <v>76</v>
      </c>
      <c r="R2332" s="74"/>
    </row>
    <row r="2333" spans="2:18" ht="36" hidden="1" customHeight="1" x14ac:dyDescent="0.25">
      <c r="B2333" s="84">
        <v>1829</v>
      </c>
      <c r="C2333" s="83" t="s">
        <v>19</v>
      </c>
      <c r="D2333" s="82" t="s">
        <v>4244</v>
      </c>
      <c r="E2333" s="81"/>
      <c r="F2333" s="27" t="str">
        <f t="shared" ca="1" si="41"/>
        <v/>
      </c>
      <c r="G2333" s="79"/>
      <c r="H2333" s="80"/>
      <c r="I2333" s="80"/>
      <c r="J2333" s="79"/>
      <c r="K2333" s="78"/>
      <c r="L2333" s="77">
        <v>44032</v>
      </c>
      <c r="M2333" s="68"/>
      <c r="N2333" s="68" t="s">
        <v>686</v>
      </c>
      <c r="O2333" s="111" t="s">
        <v>4245</v>
      </c>
      <c r="R2333" s="74"/>
    </row>
    <row r="2334" spans="2:18" ht="36" hidden="1" customHeight="1" x14ac:dyDescent="0.25">
      <c r="B2334" s="84">
        <v>1830</v>
      </c>
      <c r="C2334" s="83" t="s">
        <v>19</v>
      </c>
      <c r="D2334" s="82" t="s">
        <v>967</v>
      </c>
      <c r="E2334" s="81">
        <v>43794</v>
      </c>
      <c r="F2334" s="27">
        <f t="shared" ca="1" si="41"/>
        <v>679</v>
      </c>
      <c r="G2334" s="79"/>
      <c r="H2334" s="80"/>
      <c r="I2334" s="80"/>
      <c r="J2334" s="79"/>
      <c r="K2334" s="78"/>
      <c r="L2334" s="77">
        <v>43834</v>
      </c>
      <c r="M2334" s="68"/>
      <c r="N2334" s="76" t="s">
        <v>688</v>
      </c>
      <c r="O2334" s="75" t="s">
        <v>4257</v>
      </c>
      <c r="R2334" s="74"/>
    </row>
    <row r="2335" spans="2:18" ht="36" hidden="1" customHeight="1" x14ac:dyDescent="0.25">
      <c r="B2335" s="84">
        <v>1830</v>
      </c>
      <c r="C2335" s="83" t="s">
        <v>39</v>
      </c>
      <c r="D2335" s="82" t="s">
        <v>1253</v>
      </c>
      <c r="E2335" s="81">
        <v>43819</v>
      </c>
      <c r="F2335" s="27">
        <f t="shared" ca="1" si="41"/>
        <v>654</v>
      </c>
      <c r="G2335" s="79"/>
      <c r="H2335" s="80"/>
      <c r="I2335" s="80"/>
      <c r="J2335" s="79"/>
      <c r="K2335" s="78"/>
      <c r="L2335" s="77">
        <v>43834</v>
      </c>
      <c r="M2335" s="68"/>
      <c r="N2335" s="76" t="s">
        <v>688</v>
      </c>
      <c r="O2335" s="75" t="s">
        <v>1854</v>
      </c>
      <c r="R2335" s="74"/>
    </row>
    <row r="2336" spans="2:18" ht="36" hidden="1" customHeight="1" x14ac:dyDescent="0.25">
      <c r="B2336" s="84">
        <v>1830</v>
      </c>
      <c r="C2336" s="83" t="s">
        <v>18</v>
      </c>
      <c r="D2336" s="82" t="s">
        <v>4250</v>
      </c>
      <c r="E2336" s="81">
        <v>43826</v>
      </c>
      <c r="F2336" s="27">
        <f t="shared" ca="1" si="41"/>
        <v>647</v>
      </c>
      <c r="G2336" s="79"/>
      <c r="H2336" s="80"/>
      <c r="I2336" s="80"/>
      <c r="J2336" s="79"/>
      <c r="K2336" s="78"/>
      <c r="L2336" s="77">
        <v>43834</v>
      </c>
      <c r="M2336" s="68"/>
      <c r="N2336" s="76" t="s">
        <v>688</v>
      </c>
      <c r="O2336" s="75" t="s">
        <v>4251</v>
      </c>
      <c r="R2336" s="74"/>
    </row>
    <row r="2337" spans="1:18" ht="36" hidden="1" customHeight="1" x14ac:dyDescent="0.25">
      <c r="B2337" s="84">
        <v>1830</v>
      </c>
      <c r="C2337" s="83" t="s">
        <v>40</v>
      </c>
      <c r="D2337" s="82" t="s">
        <v>1413</v>
      </c>
      <c r="E2337" s="81">
        <v>43829</v>
      </c>
      <c r="F2337" s="27">
        <f t="shared" ref="F2337:F2364" ca="1" si="42">IF(E2337&lt;&gt;"",TODAY()-E2337,"")</f>
        <v>644</v>
      </c>
      <c r="G2337" s="79"/>
      <c r="H2337" s="80"/>
      <c r="I2337" s="80"/>
      <c r="J2337" s="79"/>
      <c r="K2337" s="78"/>
      <c r="L2337" s="77">
        <v>43834</v>
      </c>
      <c r="M2337" s="68"/>
      <c r="N2337" s="76" t="s">
        <v>688</v>
      </c>
      <c r="O2337" s="75" t="s">
        <v>2911</v>
      </c>
      <c r="R2337" s="74"/>
    </row>
    <row r="2338" spans="1:18" ht="36" hidden="1" customHeight="1" x14ac:dyDescent="0.25">
      <c r="B2338" s="84">
        <v>1830</v>
      </c>
      <c r="C2338" s="83" t="s">
        <v>40</v>
      </c>
      <c r="D2338" s="82" t="s">
        <v>4248</v>
      </c>
      <c r="E2338" s="81">
        <v>43829</v>
      </c>
      <c r="F2338" s="27">
        <f t="shared" ca="1" si="42"/>
        <v>644</v>
      </c>
      <c r="G2338" s="79"/>
      <c r="H2338" s="80"/>
      <c r="I2338" s="80"/>
      <c r="J2338" s="79"/>
      <c r="K2338" s="78"/>
      <c r="L2338" s="77">
        <v>43834</v>
      </c>
      <c r="M2338" s="68"/>
      <c r="N2338" s="76" t="s">
        <v>688</v>
      </c>
      <c r="O2338" s="75" t="s">
        <v>4249</v>
      </c>
      <c r="R2338" s="74"/>
    </row>
    <row r="2339" spans="1:18" ht="36" hidden="1" customHeight="1" x14ac:dyDescent="0.25">
      <c r="B2339" s="84">
        <v>1830</v>
      </c>
      <c r="C2339" s="83" t="s">
        <v>12</v>
      </c>
      <c r="D2339" s="82" t="s">
        <v>4252</v>
      </c>
      <c r="E2339" s="81">
        <v>43829</v>
      </c>
      <c r="F2339" s="27">
        <f t="shared" ca="1" si="42"/>
        <v>644</v>
      </c>
      <c r="G2339" s="79"/>
      <c r="H2339" s="80"/>
      <c r="I2339" s="80"/>
      <c r="J2339" s="79"/>
      <c r="K2339" s="78"/>
      <c r="L2339" s="77">
        <v>43834</v>
      </c>
      <c r="M2339" s="68"/>
      <c r="N2339" s="76" t="s">
        <v>688</v>
      </c>
      <c r="O2339" s="75" t="s">
        <v>4253</v>
      </c>
      <c r="R2339" s="74"/>
    </row>
    <row r="2340" spans="1:18" ht="36" hidden="1" customHeight="1" x14ac:dyDescent="0.25">
      <c r="B2340" s="84">
        <v>1830</v>
      </c>
      <c r="C2340" s="83" t="s">
        <v>40</v>
      </c>
      <c r="D2340" s="82" t="s">
        <v>4254</v>
      </c>
      <c r="E2340" s="81">
        <v>43832</v>
      </c>
      <c r="F2340" s="27">
        <f t="shared" ca="1" si="42"/>
        <v>641</v>
      </c>
      <c r="G2340" s="79"/>
      <c r="H2340" s="80"/>
      <c r="I2340" s="80"/>
      <c r="J2340" s="79"/>
      <c r="K2340" s="78"/>
      <c r="L2340" s="77">
        <v>43834</v>
      </c>
      <c r="M2340" s="68"/>
      <c r="N2340" s="76" t="s">
        <v>688</v>
      </c>
      <c r="O2340" s="75" t="s">
        <v>4255</v>
      </c>
      <c r="R2340" s="74"/>
    </row>
    <row r="2341" spans="1:18" ht="36" hidden="1" customHeight="1" x14ac:dyDescent="0.25">
      <c r="B2341" s="84">
        <v>1828</v>
      </c>
      <c r="C2341" s="83" t="s">
        <v>4434</v>
      </c>
      <c r="D2341" s="82" t="s">
        <v>4471</v>
      </c>
      <c r="E2341" s="81">
        <v>44068</v>
      </c>
      <c r="F2341" s="27">
        <f t="shared" ca="1" si="42"/>
        <v>405</v>
      </c>
      <c r="G2341" s="79"/>
      <c r="H2341" s="80"/>
      <c r="I2341" s="80"/>
      <c r="J2341" s="79"/>
      <c r="K2341" s="78"/>
      <c r="L2341" s="77">
        <v>11202</v>
      </c>
      <c r="M2341" s="68" t="s">
        <v>4443</v>
      </c>
      <c r="N2341" s="118" t="s">
        <v>4469</v>
      </c>
      <c r="O2341" s="75"/>
      <c r="R2341" s="74"/>
    </row>
    <row r="2342" spans="1:18" ht="36" hidden="1" customHeight="1" x14ac:dyDescent="0.25">
      <c r="B2342" s="84">
        <v>1830</v>
      </c>
      <c r="C2342" s="83" t="s">
        <v>40</v>
      </c>
      <c r="D2342" s="82" t="s">
        <v>4256</v>
      </c>
      <c r="E2342" s="81">
        <v>43832</v>
      </c>
      <c r="F2342" s="27">
        <f t="shared" ca="1" si="42"/>
        <v>641</v>
      </c>
      <c r="G2342" s="79"/>
      <c r="H2342" s="80"/>
      <c r="I2342" s="80"/>
      <c r="J2342" s="79"/>
      <c r="K2342" s="78"/>
      <c r="L2342" s="77">
        <v>43834</v>
      </c>
      <c r="M2342" s="68"/>
      <c r="N2342" s="76" t="s">
        <v>688</v>
      </c>
      <c r="O2342" s="75"/>
      <c r="R2342" s="74"/>
    </row>
    <row r="2343" spans="1:18" ht="36" hidden="1" customHeight="1" x14ac:dyDescent="0.25">
      <c r="B2343" s="84">
        <v>1830</v>
      </c>
      <c r="C2343" s="83" t="s">
        <v>20</v>
      </c>
      <c r="D2343" s="82" t="s">
        <v>4258</v>
      </c>
      <c r="E2343" s="81">
        <v>43840</v>
      </c>
      <c r="F2343" s="27">
        <f t="shared" ca="1" si="42"/>
        <v>633</v>
      </c>
      <c r="G2343" s="79"/>
      <c r="H2343" s="80"/>
      <c r="I2343" s="80"/>
      <c r="J2343" s="79"/>
      <c r="K2343" s="78"/>
      <c r="L2343" s="77">
        <v>43841</v>
      </c>
      <c r="M2343" s="68"/>
      <c r="N2343" s="76" t="s">
        <v>1074</v>
      </c>
      <c r="O2343" s="75" t="s">
        <v>4259</v>
      </c>
      <c r="R2343" s="74"/>
    </row>
    <row r="2344" spans="1:18" ht="36" hidden="1" customHeight="1" x14ac:dyDescent="0.25">
      <c r="B2344" s="84">
        <v>1830</v>
      </c>
      <c r="C2344" s="83" t="s">
        <v>12</v>
      </c>
      <c r="D2344" s="82" t="s">
        <v>4260</v>
      </c>
      <c r="E2344" s="81">
        <v>43843</v>
      </c>
      <c r="F2344" s="27">
        <f t="shared" ca="1" si="42"/>
        <v>630</v>
      </c>
      <c r="G2344" s="79"/>
      <c r="H2344" s="80"/>
      <c r="I2344" s="80"/>
      <c r="J2344" s="79"/>
      <c r="K2344" s="78"/>
      <c r="L2344" s="77">
        <v>43843</v>
      </c>
      <c r="M2344" s="68"/>
      <c r="N2344" s="76" t="s">
        <v>4261</v>
      </c>
      <c r="O2344" s="75" t="s">
        <v>4262</v>
      </c>
      <c r="R2344" s="74"/>
    </row>
    <row r="2345" spans="1:18" ht="36" hidden="1" customHeight="1" x14ac:dyDescent="0.25">
      <c r="A2345" s="117"/>
      <c r="B2345" s="84">
        <v>1830</v>
      </c>
      <c r="C2345" s="83" t="s">
        <v>30</v>
      </c>
      <c r="D2345" s="82" t="s">
        <v>4263</v>
      </c>
      <c r="E2345" s="81">
        <v>43845</v>
      </c>
      <c r="F2345" s="27">
        <f t="shared" ca="1" si="42"/>
        <v>628</v>
      </c>
      <c r="G2345" s="79"/>
      <c r="H2345" s="80"/>
      <c r="I2345" s="80"/>
      <c r="J2345" s="79"/>
      <c r="K2345" s="78"/>
      <c r="L2345" s="77">
        <v>43845</v>
      </c>
      <c r="M2345" s="68"/>
      <c r="N2345" s="76" t="s">
        <v>185</v>
      </c>
      <c r="O2345" s="75" t="s">
        <v>4264</v>
      </c>
      <c r="R2345" s="74"/>
    </row>
    <row r="2346" spans="1:18" ht="36" hidden="1" customHeight="1" x14ac:dyDescent="0.25">
      <c r="A2346" s="117"/>
      <c r="B2346" s="84">
        <v>1830</v>
      </c>
      <c r="C2346" s="83" t="s">
        <v>11</v>
      </c>
      <c r="D2346" s="82" t="s">
        <v>4265</v>
      </c>
      <c r="E2346" s="81">
        <v>43845</v>
      </c>
      <c r="F2346" s="27">
        <f t="shared" ca="1" si="42"/>
        <v>628</v>
      </c>
      <c r="G2346" s="79"/>
      <c r="H2346" s="80"/>
      <c r="I2346" s="80"/>
      <c r="J2346" s="79"/>
      <c r="K2346" s="78"/>
      <c r="L2346" s="77">
        <v>43861</v>
      </c>
      <c r="M2346" s="68"/>
      <c r="N2346" s="76" t="s">
        <v>4266</v>
      </c>
      <c r="O2346" s="75" t="s">
        <v>4267</v>
      </c>
      <c r="R2346" s="74"/>
    </row>
    <row r="2347" spans="1:18" ht="36" hidden="1" customHeight="1" x14ac:dyDescent="0.25">
      <c r="A2347" s="117"/>
      <c r="B2347" s="84">
        <v>1830</v>
      </c>
      <c r="C2347" s="83" t="s">
        <v>9</v>
      </c>
      <c r="D2347" s="82" t="s">
        <v>4268</v>
      </c>
      <c r="E2347" s="81">
        <v>43860</v>
      </c>
      <c r="F2347" s="27">
        <f t="shared" ca="1" si="42"/>
        <v>613</v>
      </c>
      <c r="G2347" s="79"/>
      <c r="H2347" s="80"/>
      <c r="I2347" s="80"/>
      <c r="J2347" s="79"/>
      <c r="K2347" s="78"/>
      <c r="L2347" s="77">
        <v>43861</v>
      </c>
      <c r="M2347" s="68"/>
      <c r="N2347" s="76" t="s">
        <v>4266</v>
      </c>
      <c r="O2347" s="75" t="s">
        <v>52</v>
      </c>
      <c r="R2347" s="74"/>
    </row>
    <row r="2348" spans="1:18" ht="36" hidden="1" customHeight="1" x14ac:dyDescent="0.25">
      <c r="A2348" s="117"/>
      <c r="B2348" s="84">
        <v>1830</v>
      </c>
      <c r="C2348" s="83" t="s">
        <v>17</v>
      </c>
      <c r="D2348" s="82" t="s">
        <v>4269</v>
      </c>
      <c r="E2348" s="81">
        <v>43860</v>
      </c>
      <c r="F2348" s="27">
        <f t="shared" ca="1" si="42"/>
        <v>613</v>
      </c>
      <c r="G2348" s="79"/>
      <c r="H2348" s="80"/>
      <c r="I2348" s="80"/>
      <c r="J2348" s="79"/>
      <c r="K2348" s="78"/>
      <c r="L2348" s="77">
        <v>43861</v>
      </c>
      <c r="M2348" s="68"/>
      <c r="N2348" s="76" t="s">
        <v>4266</v>
      </c>
      <c r="O2348" s="75" t="s">
        <v>4270</v>
      </c>
      <c r="R2348" s="74"/>
    </row>
    <row r="2349" spans="1:18" ht="36" hidden="1" customHeight="1" x14ac:dyDescent="0.25">
      <c r="A2349" s="117"/>
      <c r="B2349" s="84">
        <v>1830</v>
      </c>
      <c r="C2349" s="83" t="s">
        <v>23</v>
      </c>
      <c r="D2349" s="82" t="s">
        <v>4271</v>
      </c>
      <c r="E2349" s="81">
        <v>43881</v>
      </c>
      <c r="F2349" s="27">
        <f t="shared" ca="1" si="42"/>
        <v>592</v>
      </c>
      <c r="G2349" s="79"/>
      <c r="H2349" s="80"/>
      <c r="I2349" s="80"/>
      <c r="J2349" s="79"/>
      <c r="K2349" s="78"/>
      <c r="L2349" s="77">
        <v>43888</v>
      </c>
      <c r="M2349" s="68"/>
      <c r="N2349" s="76"/>
      <c r="O2349" s="75" t="s">
        <v>4272</v>
      </c>
      <c r="R2349" s="74"/>
    </row>
    <row r="2350" spans="1:18" ht="36" hidden="1" customHeight="1" x14ac:dyDescent="0.25">
      <c r="A2350" s="117"/>
      <c r="B2350" s="84">
        <v>1830</v>
      </c>
      <c r="C2350" s="83" t="s">
        <v>23</v>
      </c>
      <c r="D2350" s="82" t="s">
        <v>4273</v>
      </c>
      <c r="E2350" s="81">
        <v>43896</v>
      </c>
      <c r="F2350" s="27">
        <f t="shared" ca="1" si="42"/>
        <v>577</v>
      </c>
      <c r="G2350" s="79"/>
      <c r="H2350" s="80"/>
      <c r="I2350" s="80"/>
      <c r="J2350" s="79"/>
      <c r="K2350" s="78"/>
      <c r="L2350" s="77">
        <v>43899</v>
      </c>
      <c r="M2350" s="68"/>
      <c r="N2350" s="76" t="s">
        <v>185</v>
      </c>
      <c r="O2350" s="75" t="s">
        <v>1179</v>
      </c>
      <c r="R2350" s="74"/>
    </row>
    <row r="2351" spans="1:18" ht="36" hidden="1" customHeight="1" x14ac:dyDescent="0.25">
      <c r="A2351" s="116"/>
      <c r="B2351" s="84">
        <v>1830</v>
      </c>
      <c r="C2351" s="83" t="s">
        <v>11</v>
      </c>
      <c r="D2351" s="82" t="s">
        <v>4274</v>
      </c>
      <c r="E2351" s="81">
        <v>43896</v>
      </c>
      <c r="F2351" s="27">
        <f t="shared" ca="1" si="42"/>
        <v>577</v>
      </c>
      <c r="G2351" s="79"/>
      <c r="H2351" s="80"/>
      <c r="I2351" s="80"/>
      <c r="J2351" s="79"/>
      <c r="K2351" s="78"/>
      <c r="L2351" s="77">
        <v>43899</v>
      </c>
      <c r="M2351" s="68"/>
      <c r="N2351" s="76" t="s">
        <v>185</v>
      </c>
      <c r="O2351" s="75" t="s">
        <v>2153</v>
      </c>
      <c r="R2351" s="74"/>
    </row>
    <row r="2352" spans="1:18" ht="36" hidden="1" customHeight="1" x14ac:dyDescent="0.25">
      <c r="A2352" s="117"/>
      <c r="B2352" s="84">
        <v>1830</v>
      </c>
      <c r="C2352" s="83" t="s">
        <v>30</v>
      </c>
      <c r="D2352" s="82" t="s">
        <v>4275</v>
      </c>
      <c r="E2352" s="81">
        <v>43896</v>
      </c>
      <c r="F2352" s="27">
        <f t="shared" ca="1" si="42"/>
        <v>577</v>
      </c>
      <c r="G2352" s="79"/>
      <c r="H2352" s="80"/>
      <c r="I2352" s="80"/>
      <c r="J2352" s="79"/>
      <c r="K2352" s="78"/>
      <c r="L2352" s="77">
        <v>43899</v>
      </c>
      <c r="M2352" s="68"/>
      <c r="N2352" s="76" t="s">
        <v>185</v>
      </c>
      <c r="O2352" s="75" t="s">
        <v>4276</v>
      </c>
      <c r="R2352" s="74"/>
    </row>
    <row r="2353" spans="1:18" ht="36" hidden="1" customHeight="1" x14ac:dyDescent="0.25">
      <c r="A2353" s="117"/>
      <c r="B2353" s="84">
        <v>1830</v>
      </c>
      <c r="C2353" s="83" t="s">
        <v>23</v>
      </c>
      <c r="D2353" s="82" t="s">
        <v>346</v>
      </c>
      <c r="E2353" s="81">
        <v>43915</v>
      </c>
      <c r="F2353" s="27">
        <f t="shared" ca="1" si="42"/>
        <v>558</v>
      </c>
      <c r="G2353" s="79"/>
      <c r="H2353" s="80"/>
      <c r="I2353" s="80"/>
      <c r="J2353" s="79"/>
      <c r="K2353" s="78"/>
      <c r="L2353" s="77">
        <v>43916</v>
      </c>
      <c r="M2353" s="68"/>
      <c r="N2353" s="76" t="s">
        <v>185</v>
      </c>
      <c r="O2353" s="75" t="s">
        <v>1270</v>
      </c>
      <c r="R2353" s="74"/>
    </row>
    <row r="2354" spans="1:18" ht="36" customHeight="1" x14ac:dyDescent="0.25">
      <c r="A2354" s="117"/>
      <c r="B2354" s="84">
        <v>1828</v>
      </c>
      <c r="C2354" s="83" t="s">
        <v>11</v>
      </c>
      <c r="D2354" s="82" t="s">
        <v>4520</v>
      </c>
      <c r="E2354" s="81">
        <v>44077</v>
      </c>
      <c r="F2354" s="27">
        <f t="shared" ca="1" si="42"/>
        <v>396</v>
      </c>
      <c r="G2354" s="79"/>
      <c r="H2354" s="80"/>
      <c r="I2354" s="120" t="s">
        <v>206</v>
      </c>
      <c r="J2354" s="79"/>
      <c r="K2354" s="78"/>
      <c r="L2354" s="77"/>
      <c r="M2354" s="68" t="s">
        <v>4443</v>
      </c>
      <c r="N2354" s="76"/>
      <c r="O2354" s="119"/>
      <c r="R2354" s="74"/>
    </row>
    <row r="2355" spans="1:18" ht="36" customHeight="1" x14ac:dyDescent="0.25">
      <c r="A2355" s="117"/>
      <c r="B2355" s="84">
        <v>1829</v>
      </c>
      <c r="C2355" s="83" t="s">
        <v>4433</v>
      </c>
      <c r="D2355" s="82" t="s">
        <v>4295</v>
      </c>
      <c r="E2355" s="81">
        <v>44040</v>
      </c>
      <c r="F2355" s="27">
        <f t="shared" ca="1" si="42"/>
        <v>433</v>
      </c>
      <c r="G2355" s="79"/>
      <c r="H2355" s="80"/>
      <c r="I2355" s="120" t="s">
        <v>206</v>
      </c>
      <c r="J2355" s="79"/>
      <c r="K2355" s="78"/>
      <c r="L2355" s="77"/>
      <c r="M2355" s="68" t="s">
        <v>4443</v>
      </c>
      <c r="N2355" s="76" t="s">
        <v>4574</v>
      </c>
      <c r="O2355" s="119"/>
      <c r="R2355" s="74"/>
    </row>
    <row r="2356" spans="1:18" ht="36" hidden="1" customHeight="1" x14ac:dyDescent="0.25">
      <c r="A2356" s="117"/>
      <c r="B2356" s="84">
        <v>1830</v>
      </c>
      <c r="C2356" s="83" t="s">
        <v>20</v>
      </c>
      <c r="D2356" s="82" t="s">
        <v>4277</v>
      </c>
      <c r="E2356" s="81">
        <v>43917</v>
      </c>
      <c r="F2356" s="27">
        <f t="shared" ca="1" si="42"/>
        <v>556</v>
      </c>
      <c r="G2356" s="79"/>
      <c r="H2356" s="80"/>
      <c r="I2356" s="80"/>
      <c r="J2356" s="79"/>
      <c r="K2356" s="78"/>
      <c r="L2356" s="77">
        <v>43916</v>
      </c>
      <c r="M2356" s="68"/>
      <c r="N2356" s="76" t="s">
        <v>185</v>
      </c>
      <c r="O2356" s="75" t="s">
        <v>4278</v>
      </c>
      <c r="R2356" s="74"/>
    </row>
    <row r="2357" spans="1:18" ht="36" hidden="1" customHeight="1" x14ac:dyDescent="0.25">
      <c r="A2357" s="117"/>
      <c r="B2357" s="84">
        <v>1830</v>
      </c>
      <c r="C2357" s="83" t="s">
        <v>19</v>
      </c>
      <c r="D2357" s="82" t="s">
        <v>4279</v>
      </c>
      <c r="E2357" s="81">
        <v>43934</v>
      </c>
      <c r="F2357" s="27">
        <f t="shared" ca="1" si="42"/>
        <v>539</v>
      </c>
      <c r="G2357" s="79"/>
      <c r="H2357" s="80"/>
      <c r="I2357" s="80"/>
      <c r="J2357" s="79"/>
      <c r="K2357" s="78"/>
      <c r="L2357" s="77">
        <v>43934</v>
      </c>
      <c r="M2357" s="68"/>
      <c r="N2357" s="76" t="s">
        <v>185</v>
      </c>
      <c r="O2357" s="75" t="s">
        <v>2373</v>
      </c>
      <c r="R2357" s="74"/>
    </row>
    <row r="2358" spans="1:18" ht="36" hidden="1" customHeight="1" x14ac:dyDescent="0.25">
      <c r="A2358" s="117"/>
      <c r="B2358" s="84">
        <v>1830</v>
      </c>
      <c r="C2358" s="83" t="s">
        <v>9</v>
      </c>
      <c r="D2358" s="82" t="s">
        <v>4284</v>
      </c>
      <c r="E2358" s="81">
        <v>43952</v>
      </c>
      <c r="F2358" s="27">
        <f t="shared" ca="1" si="42"/>
        <v>521</v>
      </c>
      <c r="G2358" s="79"/>
      <c r="H2358" s="80"/>
      <c r="I2358" s="80" t="s">
        <v>206</v>
      </c>
      <c r="J2358" s="79"/>
      <c r="K2358" s="78"/>
      <c r="L2358" s="77">
        <v>43956</v>
      </c>
      <c r="M2358" s="68"/>
      <c r="N2358" s="76" t="s">
        <v>185</v>
      </c>
      <c r="O2358" s="75" t="s">
        <v>4285</v>
      </c>
      <c r="R2358" s="74"/>
    </row>
    <row r="2359" spans="1:18" ht="36" hidden="1" customHeight="1" x14ac:dyDescent="0.25">
      <c r="A2359" s="117"/>
      <c r="B2359" s="84">
        <v>1830</v>
      </c>
      <c r="C2359" s="83" t="s">
        <v>15</v>
      </c>
      <c r="D2359" s="82" t="s">
        <v>4286</v>
      </c>
      <c r="E2359" s="81">
        <v>43952</v>
      </c>
      <c r="F2359" s="27">
        <f t="shared" ca="1" si="42"/>
        <v>521</v>
      </c>
      <c r="G2359" s="79"/>
      <c r="H2359" s="80"/>
      <c r="I2359" s="80" t="s">
        <v>206</v>
      </c>
      <c r="J2359" s="79"/>
      <c r="K2359" s="78"/>
      <c r="L2359" s="77">
        <v>43956</v>
      </c>
      <c r="M2359" s="68"/>
      <c r="N2359" s="76" t="s">
        <v>185</v>
      </c>
      <c r="O2359" s="75" t="s">
        <v>4287</v>
      </c>
      <c r="R2359" s="74"/>
    </row>
    <row r="2360" spans="1:18" ht="36" hidden="1" customHeight="1" x14ac:dyDescent="0.25">
      <c r="A2360" s="117"/>
      <c r="B2360" s="84">
        <v>1830</v>
      </c>
      <c r="C2360" s="83" t="s">
        <v>12</v>
      </c>
      <c r="D2360" s="82" t="s">
        <v>1403</v>
      </c>
      <c r="E2360" s="81">
        <v>43952</v>
      </c>
      <c r="F2360" s="27">
        <f t="shared" ca="1" si="42"/>
        <v>521</v>
      </c>
      <c r="G2360" s="79"/>
      <c r="H2360" s="80"/>
      <c r="I2360" s="80" t="s">
        <v>206</v>
      </c>
      <c r="J2360" s="79"/>
      <c r="K2360" s="78"/>
      <c r="L2360" s="77">
        <v>43956</v>
      </c>
      <c r="M2360" s="68"/>
      <c r="N2360" s="76" t="s">
        <v>185</v>
      </c>
      <c r="O2360" s="75" t="s">
        <v>1281</v>
      </c>
      <c r="R2360" s="74"/>
    </row>
    <row r="2361" spans="1:18" ht="36" hidden="1" customHeight="1" x14ac:dyDescent="0.25">
      <c r="A2361" s="117"/>
      <c r="B2361" s="84">
        <v>1830</v>
      </c>
      <c r="C2361" s="83" t="s">
        <v>19</v>
      </c>
      <c r="D2361" s="82" t="s">
        <v>967</v>
      </c>
      <c r="E2361" s="81">
        <v>43972</v>
      </c>
      <c r="F2361" s="27">
        <f t="shared" ca="1" si="42"/>
        <v>501</v>
      </c>
      <c r="G2361" s="79"/>
      <c r="H2361" s="80"/>
      <c r="I2361" s="80" t="s">
        <v>206</v>
      </c>
      <c r="J2361" s="79"/>
      <c r="K2361" s="78"/>
      <c r="L2361" s="77">
        <v>43976</v>
      </c>
      <c r="M2361" s="68"/>
      <c r="N2361" s="76" t="s">
        <v>185</v>
      </c>
      <c r="O2361" s="75" t="s">
        <v>4288</v>
      </c>
      <c r="R2361" s="74"/>
    </row>
    <row r="2362" spans="1:18" ht="36" hidden="1" customHeight="1" x14ac:dyDescent="0.25">
      <c r="A2362" s="117"/>
      <c r="B2362" s="84">
        <v>1830</v>
      </c>
      <c r="C2362" s="83" t="s">
        <v>23</v>
      </c>
      <c r="D2362" s="82" t="s">
        <v>4289</v>
      </c>
      <c r="E2362" s="81">
        <v>43991</v>
      </c>
      <c r="F2362" s="27">
        <f t="shared" ca="1" si="42"/>
        <v>482</v>
      </c>
      <c r="G2362" s="79">
        <v>43992</v>
      </c>
      <c r="H2362" s="80"/>
      <c r="I2362" s="80"/>
      <c r="J2362" s="79"/>
      <c r="K2362" s="78"/>
      <c r="L2362" s="77">
        <v>43992</v>
      </c>
      <c r="M2362" s="68"/>
      <c r="N2362" s="76" t="s">
        <v>4290</v>
      </c>
      <c r="O2362" s="75"/>
      <c r="R2362" s="74"/>
    </row>
    <row r="2363" spans="1:18" ht="36" hidden="1" customHeight="1" x14ac:dyDescent="0.25">
      <c r="A2363" s="117"/>
      <c r="B2363" s="84">
        <v>1830</v>
      </c>
      <c r="C2363" s="83" t="s">
        <v>33</v>
      </c>
      <c r="D2363" s="82" t="s">
        <v>4291</v>
      </c>
      <c r="E2363" s="81">
        <v>44027</v>
      </c>
      <c r="F2363" s="27">
        <f t="shared" ca="1" si="42"/>
        <v>446</v>
      </c>
      <c r="G2363" s="79"/>
      <c r="H2363" s="80"/>
      <c r="I2363" s="80"/>
      <c r="J2363" s="79"/>
      <c r="K2363" s="78"/>
      <c r="L2363" s="77">
        <v>44043</v>
      </c>
      <c r="M2363" s="68"/>
      <c r="N2363" s="76" t="s">
        <v>686</v>
      </c>
      <c r="O2363" s="75"/>
      <c r="R2363" s="74"/>
    </row>
    <row r="2364" spans="1:18" ht="36" customHeight="1" x14ac:dyDescent="0.25">
      <c r="A2364" s="117"/>
      <c r="B2364" s="84">
        <v>1829</v>
      </c>
      <c r="C2364" s="83" t="s">
        <v>23</v>
      </c>
      <c r="D2364" s="82" t="s">
        <v>4517</v>
      </c>
      <c r="E2364" s="81">
        <v>44077.250891203701</v>
      </c>
      <c r="F2364" s="27">
        <f t="shared" ca="1" si="42"/>
        <v>395.74910879629897</v>
      </c>
      <c r="G2364" s="79"/>
      <c r="H2364" s="80"/>
      <c r="I2364" s="120" t="s">
        <v>206</v>
      </c>
      <c r="J2364" s="79"/>
      <c r="K2364" s="78"/>
      <c r="L2364" s="77"/>
      <c r="M2364" s="68" t="s">
        <v>4443</v>
      </c>
      <c r="N2364" s="76" t="s">
        <v>4574</v>
      </c>
      <c r="O2364" s="119"/>
      <c r="R2364" s="74"/>
    </row>
    <row r="2365" spans="1:18" ht="36" customHeight="1" x14ac:dyDescent="0.25">
      <c r="A2365" s="117"/>
      <c r="B2365" s="84">
        <v>1829</v>
      </c>
      <c r="C2365" s="83" t="s">
        <v>31</v>
      </c>
      <c r="D2365" s="82" t="s">
        <v>4550</v>
      </c>
      <c r="E2365" s="81">
        <v>44084.74046296296</v>
      </c>
      <c r="F2365" s="27"/>
      <c r="G2365" s="79"/>
      <c r="H2365" s="80"/>
      <c r="I2365" s="120" t="s">
        <v>206</v>
      </c>
      <c r="J2365" s="79"/>
      <c r="K2365" s="78"/>
      <c r="L2365" s="77"/>
      <c r="M2365" s="68"/>
      <c r="N2365" s="76" t="s">
        <v>4574</v>
      </c>
      <c r="O2365" s="119"/>
      <c r="R2365" s="74"/>
    </row>
    <row r="2366" spans="1:18" ht="36" customHeight="1" x14ac:dyDescent="0.25">
      <c r="A2366" s="117"/>
      <c r="B2366" s="84">
        <v>1829</v>
      </c>
      <c r="C2366" s="83" t="s">
        <v>23</v>
      </c>
      <c r="D2366" s="82" t="s">
        <v>4551</v>
      </c>
      <c r="E2366" s="81">
        <v>44085</v>
      </c>
      <c r="F2366" s="27"/>
      <c r="G2366" s="79"/>
      <c r="H2366" s="80"/>
      <c r="I2366" s="120"/>
      <c r="J2366" s="79"/>
      <c r="K2366" s="78"/>
      <c r="L2366" s="77"/>
      <c r="M2366" s="68"/>
      <c r="N2366" s="76" t="s">
        <v>4574</v>
      </c>
      <c r="O2366" s="119"/>
      <c r="R2366" s="74"/>
    </row>
    <row r="2367" spans="1:18" ht="36" hidden="1" customHeight="1" x14ac:dyDescent="0.25">
      <c r="A2367" s="117"/>
      <c r="B2367" s="84">
        <v>1830</v>
      </c>
      <c r="C2367" s="83" t="s">
        <v>11</v>
      </c>
      <c r="D2367" s="82" t="s">
        <v>4293</v>
      </c>
      <c r="E2367" s="81">
        <v>44027</v>
      </c>
      <c r="F2367" s="27">
        <f ca="1">IF(E2367&lt;&gt;"",TODAY()-E2367,"")</f>
        <v>446</v>
      </c>
      <c r="G2367" s="79"/>
      <c r="H2367" s="80"/>
      <c r="I2367" s="80"/>
      <c r="J2367" s="79"/>
      <c r="K2367" s="78"/>
      <c r="L2367" s="77">
        <v>44027</v>
      </c>
      <c r="M2367" s="68"/>
      <c r="N2367" s="76" t="s">
        <v>937</v>
      </c>
      <c r="O2367" s="75" t="s">
        <v>4051</v>
      </c>
      <c r="R2367" s="74"/>
    </row>
    <row r="2368" spans="1:18" ht="36" hidden="1" customHeight="1" x14ac:dyDescent="0.25">
      <c r="A2368" s="117"/>
      <c r="B2368" s="84">
        <v>1830</v>
      </c>
      <c r="C2368" s="83" t="s">
        <v>37</v>
      </c>
      <c r="D2368" s="82" t="s">
        <v>4508</v>
      </c>
      <c r="E2368" s="81">
        <v>44075</v>
      </c>
      <c r="F2368" s="27"/>
      <c r="G2368" s="79"/>
      <c r="H2368" s="80"/>
      <c r="I2368" s="120" t="s">
        <v>206</v>
      </c>
      <c r="J2368" s="79"/>
      <c r="K2368" s="78"/>
      <c r="L2368" s="77">
        <v>44078</v>
      </c>
      <c r="M2368" s="68" t="s">
        <v>4443</v>
      </c>
      <c r="N2368" s="76" t="s">
        <v>4536</v>
      </c>
      <c r="O2368" s="119"/>
      <c r="R2368" s="74"/>
    </row>
    <row r="2369" spans="1:18" ht="36" hidden="1" customHeight="1" x14ac:dyDescent="0.25">
      <c r="A2369" s="117"/>
      <c r="B2369" s="84">
        <v>1830</v>
      </c>
      <c r="C2369" s="83" t="s">
        <v>40</v>
      </c>
      <c r="D2369" s="82" t="s">
        <v>2180</v>
      </c>
      <c r="E2369" s="81">
        <v>44075.810659722221</v>
      </c>
      <c r="F2369" s="27"/>
      <c r="G2369" s="79"/>
      <c r="H2369" s="80"/>
      <c r="I2369" s="120" t="s">
        <v>206</v>
      </c>
      <c r="J2369" s="79"/>
      <c r="K2369" s="78"/>
      <c r="L2369" s="77">
        <v>44078</v>
      </c>
      <c r="M2369" s="68" t="s">
        <v>4443</v>
      </c>
      <c r="N2369" s="76" t="s">
        <v>4536</v>
      </c>
      <c r="O2369" s="119"/>
      <c r="R2369" s="74"/>
    </row>
    <row r="2370" spans="1:18" ht="36" customHeight="1" x14ac:dyDescent="0.25">
      <c r="A2370" s="117"/>
      <c r="B2370" s="84">
        <v>1829</v>
      </c>
      <c r="C2370" s="83" t="s">
        <v>40</v>
      </c>
      <c r="D2370" s="82" t="s">
        <v>4557</v>
      </c>
      <c r="E2370" s="81">
        <v>44085.619085648148</v>
      </c>
      <c r="F2370" s="27"/>
      <c r="G2370" s="79"/>
      <c r="H2370" s="80"/>
      <c r="I2370" s="120" t="s">
        <v>206</v>
      </c>
      <c r="J2370" s="79"/>
      <c r="K2370" s="78"/>
      <c r="L2370" s="77"/>
      <c r="M2370" s="68"/>
      <c r="N2370" s="76" t="s">
        <v>4574</v>
      </c>
      <c r="O2370" s="119"/>
      <c r="R2370" s="74"/>
    </row>
    <row r="2371" spans="1:18" ht="36" customHeight="1" x14ac:dyDescent="0.25">
      <c r="A2371" s="117"/>
      <c r="B2371" s="84"/>
      <c r="C2371" s="83"/>
      <c r="D2371" s="82"/>
      <c r="E2371" s="81"/>
      <c r="F2371" s="27"/>
      <c r="G2371" s="79"/>
      <c r="H2371" s="80"/>
      <c r="I2371" s="120"/>
      <c r="J2371" s="79"/>
      <c r="K2371" s="78"/>
      <c r="L2371" s="77"/>
      <c r="M2371" s="68"/>
      <c r="N2371" s="75"/>
      <c r="O2371" s="119"/>
      <c r="R2371" s="74"/>
    </row>
    <row r="2372" spans="1:18" ht="36" hidden="1" customHeight="1" x14ac:dyDescent="0.25">
      <c r="B2372" s="84">
        <v>1821</v>
      </c>
      <c r="C2372" s="83" t="s">
        <v>40</v>
      </c>
      <c r="D2372" s="82" t="s">
        <v>2286</v>
      </c>
      <c r="E2372" s="81"/>
      <c r="F2372" s="27" t="str">
        <f t="shared" ref="F2372:F2382" ca="1" si="43">IF(E2372&lt;&gt;"",TODAY()-E2372,"")</f>
        <v/>
      </c>
      <c r="G2372" s="79"/>
      <c r="H2372" s="80"/>
      <c r="I2372" s="80"/>
      <c r="J2372" s="79"/>
      <c r="K2372" s="78"/>
      <c r="L2372" s="77">
        <v>43077</v>
      </c>
      <c r="M2372" s="68"/>
      <c r="N2372" s="68"/>
      <c r="O2372" s="111" t="s">
        <v>2285</v>
      </c>
      <c r="R2372" s="74"/>
    </row>
    <row r="2373" spans="1:18" ht="36" hidden="1" customHeight="1" x14ac:dyDescent="0.25">
      <c r="B2373" s="84">
        <v>1821</v>
      </c>
      <c r="C2373" s="83" t="s">
        <v>16</v>
      </c>
      <c r="D2373" s="82" t="s">
        <v>2317</v>
      </c>
      <c r="E2373" s="81"/>
      <c r="F2373" s="27" t="str">
        <f t="shared" ca="1" si="43"/>
        <v/>
      </c>
      <c r="G2373" s="79" t="s">
        <v>1273</v>
      </c>
      <c r="H2373" s="80"/>
      <c r="I2373" s="80"/>
      <c r="J2373" s="79" t="s">
        <v>765</v>
      </c>
      <c r="K2373" s="78" t="s">
        <v>623</v>
      </c>
      <c r="L2373" s="77">
        <v>43393</v>
      </c>
      <c r="M2373" s="68"/>
      <c r="N2373" s="68"/>
      <c r="O2373" s="111"/>
      <c r="R2373" s="74"/>
    </row>
    <row r="2374" spans="1:18" ht="36" hidden="1" customHeight="1" x14ac:dyDescent="0.25">
      <c r="B2374" s="84">
        <v>1822</v>
      </c>
      <c r="C2374" s="83" t="s">
        <v>11</v>
      </c>
      <c r="D2374" s="82" t="s">
        <v>1878</v>
      </c>
      <c r="E2374" s="81"/>
      <c r="F2374" s="27" t="str">
        <f t="shared" ca="1" si="43"/>
        <v/>
      </c>
      <c r="G2374" s="79"/>
      <c r="H2374" s="80"/>
      <c r="I2374" s="80"/>
      <c r="J2374" s="79"/>
      <c r="K2374" s="78"/>
      <c r="L2374" s="77">
        <v>43050</v>
      </c>
      <c r="M2374" s="68"/>
      <c r="N2374" s="68"/>
      <c r="O2374" s="111" t="s">
        <v>1879</v>
      </c>
      <c r="R2374" s="74"/>
    </row>
    <row r="2375" spans="1:18" ht="36" hidden="1" customHeight="1" x14ac:dyDescent="0.25">
      <c r="B2375" s="84">
        <v>1823</v>
      </c>
      <c r="C2375" s="83" t="s">
        <v>11</v>
      </c>
      <c r="D2375" s="82" t="s">
        <v>1878</v>
      </c>
      <c r="E2375" s="81"/>
      <c r="F2375" s="27" t="str">
        <f t="shared" ca="1" si="43"/>
        <v/>
      </c>
      <c r="G2375" s="79"/>
      <c r="H2375" s="80"/>
      <c r="I2375" s="80"/>
      <c r="J2375" s="79"/>
      <c r="K2375" s="78"/>
      <c r="L2375" s="77">
        <v>43050</v>
      </c>
      <c r="M2375" s="68"/>
      <c r="N2375" s="68"/>
      <c r="O2375" s="111" t="s">
        <v>1879</v>
      </c>
      <c r="R2375" s="74"/>
    </row>
    <row r="2376" spans="1:18" ht="36" hidden="1" customHeight="1" x14ac:dyDescent="0.25">
      <c r="B2376" s="84">
        <v>1824</v>
      </c>
      <c r="C2376" s="83" t="s">
        <v>27</v>
      </c>
      <c r="D2376" s="82" t="s">
        <v>27</v>
      </c>
      <c r="E2376" s="81"/>
      <c r="F2376" s="27" t="str">
        <f t="shared" ca="1" si="43"/>
        <v/>
      </c>
      <c r="G2376" s="79"/>
      <c r="H2376" s="80"/>
      <c r="I2376" s="80"/>
      <c r="J2376" s="79"/>
      <c r="K2376" s="78"/>
      <c r="L2376" s="77">
        <v>43019</v>
      </c>
      <c r="M2376" s="68"/>
      <c r="N2376" s="68"/>
      <c r="O2376" s="111" t="s">
        <v>2721</v>
      </c>
      <c r="R2376" s="74"/>
    </row>
    <row r="2377" spans="1:18" ht="36" hidden="1" customHeight="1" x14ac:dyDescent="0.25">
      <c r="B2377" s="84">
        <v>1827</v>
      </c>
      <c r="C2377" s="83" t="s">
        <v>11</v>
      </c>
      <c r="D2377" s="82" t="s">
        <v>1878</v>
      </c>
      <c r="E2377" s="81"/>
      <c r="F2377" s="27" t="str">
        <f t="shared" ca="1" si="43"/>
        <v/>
      </c>
      <c r="G2377" s="79"/>
      <c r="H2377" s="80"/>
      <c r="I2377" s="80"/>
      <c r="J2377" s="79"/>
      <c r="K2377" s="78"/>
      <c r="L2377" s="77">
        <v>43050</v>
      </c>
      <c r="M2377" s="68"/>
      <c r="N2377" s="68"/>
      <c r="O2377" s="111" t="s">
        <v>1879</v>
      </c>
      <c r="R2377" s="74"/>
    </row>
    <row r="2378" spans="1:18" ht="36" hidden="1" customHeight="1" x14ac:dyDescent="0.25">
      <c r="B2378" s="84">
        <v>1827</v>
      </c>
      <c r="C2378" s="83" t="s">
        <v>27</v>
      </c>
      <c r="D2378" s="82" t="s">
        <v>3324</v>
      </c>
      <c r="E2378" s="81"/>
      <c r="F2378" s="27" t="str">
        <f t="shared" ca="1" si="43"/>
        <v/>
      </c>
      <c r="G2378" s="79"/>
      <c r="H2378" s="80"/>
      <c r="I2378" s="80"/>
      <c r="J2378" s="79"/>
      <c r="K2378" s="78"/>
      <c r="L2378" s="77">
        <v>43050</v>
      </c>
      <c r="M2378" s="68"/>
      <c r="N2378" s="68"/>
      <c r="O2378" s="111" t="s">
        <v>3325</v>
      </c>
      <c r="R2378" s="74"/>
    </row>
    <row r="2379" spans="1:18" ht="36" hidden="1" customHeight="1" x14ac:dyDescent="0.25">
      <c r="B2379" s="84">
        <v>1828</v>
      </c>
      <c r="C2379" s="83" t="s">
        <v>11</v>
      </c>
      <c r="D2379" s="82" t="s">
        <v>1878</v>
      </c>
      <c r="E2379" s="81"/>
      <c r="F2379" s="27" t="str">
        <f t="shared" ca="1" si="43"/>
        <v/>
      </c>
      <c r="G2379" s="79"/>
      <c r="H2379" s="80"/>
      <c r="I2379" s="80"/>
      <c r="J2379" s="79"/>
      <c r="K2379" s="78"/>
      <c r="L2379" s="77">
        <v>43050</v>
      </c>
      <c r="M2379" s="68"/>
      <c r="N2379" s="68"/>
      <c r="O2379" s="111" t="s">
        <v>1879</v>
      </c>
      <c r="R2379" s="74"/>
    </row>
    <row r="2380" spans="1:18" ht="36" hidden="1" customHeight="1" x14ac:dyDescent="0.25">
      <c r="B2380" s="84">
        <v>1828</v>
      </c>
      <c r="C2380" s="83" t="s">
        <v>23</v>
      </c>
      <c r="D2380" s="82" t="s">
        <v>3512</v>
      </c>
      <c r="E2380" s="81"/>
      <c r="F2380" s="27" t="str">
        <f t="shared" ca="1" si="43"/>
        <v/>
      </c>
      <c r="G2380" s="79"/>
      <c r="H2380" s="80"/>
      <c r="I2380" s="80"/>
      <c r="J2380" s="79"/>
      <c r="K2380" s="78"/>
      <c r="L2380" s="77">
        <v>43077</v>
      </c>
      <c r="M2380" s="68"/>
      <c r="N2380" s="68"/>
      <c r="O2380" s="111" t="s">
        <v>3513</v>
      </c>
      <c r="R2380" s="74"/>
    </row>
    <row r="2381" spans="1:18" ht="36" hidden="1" customHeight="1" x14ac:dyDescent="0.25">
      <c r="B2381" s="84">
        <v>1828</v>
      </c>
      <c r="C2381" s="83" t="s">
        <v>27</v>
      </c>
      <c r="D2381" s="82" t="s">
        <v>3589</v>
      </c>
      <c r="E2381" s="81"/>
      <c r="F2381" s="27" t="str">
        <f t="shared" ca="1" si="43"/>
        <v/>
      </c>
      <c r="G2381" s="79" t="s">
        <v>1273</v>
      </c>
      <c r="H2381" s="80"/>
      <c r="I2381" s="80"/>
      <c r="J2381" s="79" t="s">
        <v>765</v>
      </c>
      <c r="K2381" s="78" t="s">
        <v>623</v>
      </c>
      <c r="L2381" s="77">
        <v>43393</v>
      </c>
      <c r="M2381" s="68"/>
      <c r="N2381" s="68"/>
      <c r="O2381" s="111"/>
      <c r="R2381" s="74"/>
    </row>
    <row r="2382" spans="1:18" ht="36" hidden="1" customHeight="1" x14ac:dyDescent="0.25">
      <c r="B2382" s="84">
        <v>1829</v>
      </c>
      <c r="C2382" s="83" t="s">
        <v>11</v>
      </c>
      <c r="D2382" s="82" t="s">
        <v>1878</v>
      </c>
      <c r="E2382" s="81"/>
      <c r="F2382" s="27" t="str">
        <f t="shared" ca="1" si="43"/>
        <v/>
      </c>
      <c r="G2382" s="79"/>
      <c r="H2382" s="80"/>
      <c r="I2382" s="80"/>
      <c r="J2382" s="79"/>
      <c r="K2382" s="78"/>
      <c r="L2382" s="77">
        <v>43050</v>
      </c>
      <c r="M2382" s="68"/>
      <c r="N2382" s="68"/>
      <c r="O2382" s="111" t="s">
        <v>1879</v>
      </c>
      <c r="R2382" s="74"/>
    </row>
  </sheetData>
  <autoFilter ref="B15:O2382" xr:uid="{00000000-0009-0000-0000-000000000000}">
    <filterColumn colId="10">
      <filters blank="1"/>
    </filterColumn>
    <sortState xmlns:xlrd2="http://schemas.microsoft.com/office/spreadsheetml/2017/richdata2" ref="B1296:O2369">
      <sortCondition ref="B15:B2382"/>
    </sortState>
  </autoFilter>
  <mergeCells count="3">
    <mergeCell ref="B2:D3"/>
    <mergeCell ref="B12:C12"/>
    <mergeCell ref="B13:D14"/>
  </mergeCells>
  <conditionalFormatting sqref="M16:M2324 M2329:O2381">
    <cfRule type="cellIs" dxfId="120" priority="219" operator="equal">
      <formula>$D$10</formula>
    </cfRule>
  </conditionalFormatting>
  <conditionalFormatting sqref="M16:M2324 M2329:O2381">
    <cfRule type="cellIs" dxfId="119" priority="218" operator="equal">
      <formula>$D$11</formula>
    </cfRule>
  </conditionalFormatting>
  <conditionalFormatting sqref="M2325">
    <cfRule type="cellIs" dxfId="118" priority="204" operator="equal">
      <formula>$D$10</formula>
    </cfRule>
  </conditionalFormatting>
  <conditionalFormatting sqref="M2325">
    <cfRule type="cellIs" dxfId="117" priority="203" operator="equal">
      <formula>$D$11</formula>
    </cfRule>
  </conditionalFormatting>
  <conditionalFormatting sqref="N2325">
    <cfRule type="cellIs" dxfId="116" priority="202" operator="equal">
      <formula>$D$10</formula>
    </cfRule>
  </conditionalFormatting>
  <conditionalFormatting sqref="N2325">
    <cfRule type="cellIs" dxfId="115" priority="201" operator="equal">
      <formula>$D$11</formula>
    </cfRule>
  </conditionalFormatting>
  <conditionalFormatting sqref="M2326">
    <cfRule type="cellIs" dxfId="114" priority="187" operator="equal">
      <formula>$D$10</formula>
    </cfRule>
  </conditionalFormatting>
  <conditionalFormatting sqref="M2326">
    <cfRule type="cellIs" dxfId="113" priority="186" operator="equal">
      <formula>$D$11</formula>
    </cfRule>
  </conditionalFormatting>
  <conditionalFormatting sqref="N2326">
    <cfRule type="cellIs" dxfId="112" priority="185" operator="equal">
      <formula>$D$10</formula>
    </cfRule>
  </conditionalFormatting>
  <conditionalFormatting sqref="N2326">
    <cfRule type="cellIs" dxfId="111" priority="184" operator="equal">
      <formula>$D$11</formula>
    </cfRule>
  </conditionalFormatting>
  <conditionalFormatting sqref="N2326">
    <cfRule type="cellIs" dxfId="110" priority="183" operator="equal">
      <formula>$D$10</formula>
    </cfRule>
  </conditionalFormatting>
  <conditionalFormatting sqref="N2326">
    <cfRule type="cellIs" dxfId="109" priority="182" operator="equal">
      <formula>$D$11</formula>
    </cfRule>
  </conditionalFormatting>
  <conditionalFormatting sqref="O2326">
    <cfRule type="cellIs" dxfId="108" priority="181" operator="equal">
      <formula>$D$10</formula>
    </cfRule>
  </conditionalFormatting>
  <conditionalFormatting sqref="O2326">
    <cfRule type="cellIs" dxfId="107" priority="180" operator="equal">
      <formula>$D$11</formula>
    </cfRule>
  </conditionalFormatting>
  <conditionalFormatting sqref="M2327">
    <cfRule type="cellIs" dxfId="106" priority="166" operator="equal">
      <formula>$D$10</formula>
    </cfRule>
  </conditionalFormatting>
  <conditionalFormatting sqref="M2327">
    <cfRule type="cellIs" dxfId="105" priority="165" operator="equal">
      <formula>$D$11</formula>
    </cfRule>
  </conditionalFormatting>
  <conditionalFormatting sqref="N2327">
    <cfRule type="cellIs" dxfId="104" priority="164" operator="equal">
      <formula>$D$10</formula>
    </cfRule>
  </conditionalFormatting>
  <conditionalFormatting sqref="N2327">
    <cfRule type="cellIs" dxfId="103" priority="163" operator="equal">
      <formula>$D$11</formula>
    </cfRule>
  </conditionalFormatting>
  <conditionalFormatting sqref="N2327">
    <cfRule type="cellIs" dxfId="102" priority="162" operator="equal">
      <formula>$D$10</formula>
    </cfRule>
  </conditionalFormatting>
  <conditionalFormatting sqref="N2327">
    <cfRule type="cellIs" dxfId="101" priority="161" operator="equal">
      <formula>$D$11</formula>
    </cfRule>
  </conditionalFormatting>
  <conditionalFormatting sqref="O2327">
    <cfRule type="cellIs" dxfId="100" priority="160" operator="equal">
      <formula>$D$10</formula>
    </cfRule>
  </conditionalFormatting>
  <conditionalFormatting sqref="O2327">
    <cfRule type="cellIs" dxfId="99" priority="159" operator="equal">
      <formula>$D$11</formula>
    </cfRule>
  </conditionalFormatting>
  <conditionalFormatting sqref="N2327">
    <cfRule type="cellIs" dxfId="98" priority="158" operator="equal">
      <formula>$D$10</formula>
    </cfRule>
  </conditionalFormatting>
  <conditionalFormatting sqref="N2327">
    <cfRule type="cellIs" dxfId="97" priority="157" operator="equal">
      <formula>$D$11</formula>
    </cfRule>
  </conditionalFormatting>
  <conditionalFormatting sqref="O2327">
    <cfRule type="cellIs" dxfId="96" priority="156" operator="equal">
      <formula>$D$10</formula>
    </cfRule>
  </conditionalFormatting>
  <conditionalFormatting sqref="O2327">
    <cfRule type="cellIs" dxfId="95" priority="155" operator="equal">
      <formula>$D$11</formula>
    </cfRule>
  </conditionalFormatting>
  <conditionalFormatting sqref="O2327">
    <cfRule type="cellIs" dxfId="94" priority="154" operator="equal">
      <formula>$D$10</formula>
    </cfRule>
  </conditionalFormatting>
  <conditionalFormatting sqref="O2327">
    <cfRule type="cellIs" dxfId="93" priority="153" operator="equal">
      <formula>$D$11</formula>
    </cfRule>
  </conditionalFormatting>
  <conditionalFormatting sqref="M2328">
    <cfRule type="cellIs" dxfId="92" priority="132" operator="equal">
      <formula>$D$10</formula>
    </cfRule>
  </conditionalFormatting>
  <conditionalFormatting sqref="M2328">
    <cfRule type="cellIs" dxfId="91" priority="131" operator="equal">
      <formula>$D$11</formula>
    </cfRule>
  </conditionalFormatting>
  <conditionalFormatting sqref="N2328">
    <cfRule type="cellIs" dxfId="90" priority="130" operator="equal">
      <formula>$D$10</formula>
    </cfRule>
  </conditionalFormatting>
  <conditionalFormatting sqref="N2328">
    <cfRule type="cellIs" dxfId="89" priority="129" operator="equal">
      <formula>$D$11</formula>
    </cfRule>
  </conditionalFormatting>
  <conditionalFormatting sqref="N2328">
    <cfRule type="cellIs" dxfId="88" priority="128" operator="equal">
      <formula>$D$10</formula>
    </cfRule>
  </conditionalFormatting>
  <conditionalFormatting sqref="N2328">
    <cfRule type="cellIs" dxfId="87" priority="127" operator="equal">
      <formula>$D$11</formula>
    </cfRule>
  </conditionalFormatting>
  <conditionalFormatting sqref="O2328">
    <cfRule type="cellIs" dxfId="86" priority="126" operator="equal">
      <formula>$D$10</formula>
    </cfRule>
  </conditionalFormatting>
  <conditionalFormatting sqref="O2328">
    <cfRule type="cellIs" dxfId="85" priority="125" operator="equal">
      <formula>$D$11</formula>
    </cfRule>
  </conditionalFormatting>
  <conditionalFormatting sqref="N2328">
    <cfRule type="cellIs" dxfId="84" priority="124" operator="equal">
      <formula>$D$10</formula>
    </cfRule>
  </conditionalFormatting>
  <conditionalFormatting sqref="N2328">
    <cfRule type="cellIs" dxfId="83" priority="123" operator="equal">
      <formula>$D$11</formula>
    </cfRule>
  </conditionalFormatting>
  <conditionalFormatting sqref="O2328">
    <cfRule type="cellIs" dxfId="82" priority="122" operator="equal">
      <formula>$D$10</formula>
    </cfRule>
  </conditionalFormatting>
  <conditionalFormatting sqref="O2328">
    <cfRule type="cellIs" dxfId="81" priority="121" operator="equal">
      <formula>$D$11</formula>
    </cfRule>
  </conditionalFormatting>
  <conditionalFormatting sqref="O2328">
    <cfRule type="cellIs" dxfId="80" priority="120" operator="equal">
      <formula>$D$10</formula>
    </cfRule>
  </conditionalFormatting>
  <conditionalFormatting sqref="O2328">
    <cfRule type="cellIs" dxfId="79" priority="119" operator="equal">
      <formula>$D$11</formula>
    </cfRule>
  </conditionalFormatting>
  <conditionalFormatting sqref="N2328">
    <cfRule type="cellIs" dxfId="78" priority="118" operator="equal">
      <formula>$D$10</formula>
    </cfRule>
  </conditionalFormatting>
  <conditionalFormatting sqref="N2328">
    <cfRule type="cellIs" dxfId="77" priority="117" operator="equal">
      <formula>$D$11</formula>
    </cfRule>
  </conditionalFormatting>
  <conditionalFormatting sqref="O2328">
    <cfRule type="cellIs" dxfId="76" priority="116" operator="equal">
      <formula>$D$10</formula>
    </cfRule>
  </conditionalFormatting>
  <conditionalFormatting sqref="O2328">
    <cfRule type="cellIs" dxfId="75" priority="115" operator="equal">
      <formula>$D$11</formula>
    </cfRule>
  </conditionalFormatting>
  <conditionalFormatting sqref="O2328">
    <cfRule type="cellIs" dxfId="74" priority="114" operator="equal">
      <formula>$D$10</formula>
    </cfRule>
  </conditionalFormatting>
  <conditionalFormatting sqref="O2328">
    <cfRule type="cellIs" dxfId="73" priority="113" operator="equal">
      <formula>$D$11</formula>
    </cfRule>
  </conditionalFormatting>
  <conditionalFormatting sqref="O2328">
    <cfRule type="cellIs" dxfId="72" priority="112" operator="equal">
      <formula>$D$10</formula>
    </cfRule>
  </conditionalFormatting>
  <conditionalFormatting sqref="O2328">
    <cfRule type="cellIs" dxfId="71" priority="111" operator="equal">
      <formula>$D$11</formula>
    </cfRule>
  </conditionalFormatting>
  <conditionalFormatting sqref="M2382">
    <cfRule type="cellIs" dxfId="70" priority="27" operator="equal">
      <formula>$D$10</formula>
    </cfRule>
  </conditionalFormatting>
  <conditionalFormatting sqref="M2382">
    <cfRule type="cellIs" dxfId="69" priority="26" operator="equal">
      <formula>$D$11</formula>
    </cfRule>
  </conditionalFormatting>
  <conditionalFormatting sqref="N2382">
    <cfRule type="cellIs" dxfId="68" priority="25" operator="equal">
      <formula>$D$10</formula>
    </cfRule>
  </conditionalFormatting>
  <conditionalFormatting sqref="N2382">
    <cfRule type="cellIs" dxfId="67" priority="24" operator="equal">
      <formula>$D$11</formula>
    </cfRule>
  </conditionalFormatting>
  <conditionalFormatting sqref="N2382">
    <cfRule type="cellIs" dxfId="66" priority="23" operator="equal">
      <formula>$D$10</formula>
    </cfRule>
  </conditionalFormatting>
  <conditionalFormatting sqref="N2382">
    <cfRule type="cellIs" dxfId="65" priority="22" operator="equal">
      <formula>$D$11</formula>
    </cfRule>
  </conditionalFormatting>
  <conditionalFormatting sqref="O2382">
    <cfRule type="cellIs" dxfId="64" priority="21" operator="equal">
      <formula>$D$10</formula>
    </cfRule>
  </conditionalFormatting>
  <conditionalFormatting sqref="O2382">
    <cfRule type="cellIs" dxfId="63" priority="20" operator="equal">
      <formula>$D$11</formula>
    </cfRule>
  </conditionalFormatting>
  <conditionalFormatting sqref="N2382">
    <cfRule type="cellIs" dxfId="62" priority="19" operator="equal">
      <formula>$D$10</formula>
    </cfRule>
  </conditionalFormatting>
  <conditionalFormatting sqref="N2382">
    <cfRule type="cellIs" dxfId="61" priority="18" operator="equal">
      <formula>$D$11</formula>
    </cfRule>
  </conditionalFormatting>
  <conditionalFormatting sqref="O2382">
    <cfRule type="cellIs" dxfId="60" priority="17" operator="equal">
      <formula>$D$10</formula>
    </cfRule>
  </conditionalFormatting>
  <conditionalFormatting sqref="O2382">
    <cfRule type="cellIs" dxfId="59" priority="16" operator="equal">
      <formula>$D$11</formula>
    </cfRule>
  </conditionalFormatting>
  <conditionalFormatting sqref="O2382">
    <cfRule type="cellIs" dxfId="58" priority="15" operator="equal">
      <formula>$D$10</formula>
    </cfRule>
  </conditionalFormatting>
  <conditionalFormatting sqref="O2382">
    <cfRule type="cellIs" dxfId="57" priority="14" operator="equal">
      <formula>$D$11</formula>
    </cfRule>
  </conditionalFormatting>
  <conditionalFormatting sqref="N2382">
    <cfRule type="cellIs" dxfId="56" priority="13" operator="equal">
      <formula>$D$10</formula>
    </cfRule>
  </conditionalFormatting>
  <conditionalFormatting sqref="N2382">
    <cfRule type="cellIs" dxfId="55" priority="12" operator="equal">
      <formula>$D$11</formula>
    </cfRule>
  </conditionalFormatting>
  <conditionalFormatting sqref="O2382">
    <cfRule type="cellIs" dxfId="54" priority="11" operator="equal">
      <formula>$D$10</formula>
    </cfRule>
  </conditionalFormatting>
  <conditionalFormatting sqref="O2382">
    <cfRule type="cellIs" dxfId="53" priority="10" operator="equal">
      <formula>$D$11</formula>
    </cfRule>
  </conditionalFormatting>
  <conditionalFormatting sqref="O2382">
    <cfRule type="cellIs" dxfId="52" priority="9" operator="equal">
      <formula>$D$10</formula>
    </cfRule>
  </conditionalFormatting>
  <conditionalFormatting sqref="O2382">
    <cfRule type="cellIs" dxfId="51" priority="8" operator="equal">
      <formula>$D$11</formula>
    </cfRule>
  </conditionalFormatting>
  <conditionalFormatting sqref="O2382">
    <cfRule type="cellIs" dxfId="50" priority="7" operator="equal">
      <formula>$D$10</formula>
    </cfRule>
  </conditionalFormatting>
  <conditionalFormatting sqref="O2382">
    <cfRule type="cellIs" dxfId="49" priority="6" operator="equal">
      <formula>$D$11</formula>
    </cfRule>
  </conditionalFormatting>
  <conditionalFormatting sqref="F16:F2382">
    <cfRule type="cellIs" dxfId="48" priority="2" operator="equal">
      <formula>0</formula>
    </cfRule>
    <cfRule type="cellIs" dxfId="47" priority="3" operator="lessThan">
      <formula>7</formula>
    </cfRule>
    <cfRule type="cellIs" dxfId="46" priority="4" operator="between">
      <formula>7</formula>
      <formula>30</formula>
    </cfRule>
    <cfRule type="cellIs" dxfId="45" priority="5" operator="greaterThan">
      <formula>30</formula>
    </cfRule>
  </conditionalFormatting>
  <conditionalFormatting sqref="F16:F2382">
    <cfRule type="cellIs" dxfId="44" priority="1" operator="equal">
      <formula>0</formula>
    </cfRule>
  </conditionalFormatting>
  <dataValidations count="3">
    <dataValidation type="list" allowBlank="1" showInputMessage="1" showErrorMessage="1" sqref="I16" xr:uid="{A1CEC64C-C1A0-4237-82FE-705D53E00BF8}">
      <formula1>$D$8:$D$9</formula1>
    </dataValidation>
    <dataValidation type="list" allowBlank="1" showInputMessage="1" showErrorMessage="1" sqref="M16:M2324 M2331:M2379" xr:uid="{4861437D-9BEA-4695-A7BA-483D97CDE9ED}">
      <formula1>$D$10:$D$11</formula1>
    </dataValidation>
    <dataValidation type="list" allowBlank="1" showInputMessage="1" showErrorMessage="1" sqref="I2325:I2330 I2380:I2382" xr:uid="{037E0DCB-3653-4C6B-904B-C7CC8D57411D}">
      <formula1>$D$6:$D$7</formula1>
    </dataValidation>
  </dataValidations>
  <printOptions horizontalCentered="1"/>
  <pageMargins left="0.25" right="0.25" top="0.75" bottom="0.75" header="0.3" footer="0.3"/>
  <pageSetup paperSize="3" scale="49"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6" r:id="rId4" name="Button 2">
              <controlPr defaultSize="0" print="0" autoFill="0" autoPict="0" macro="[0]!clearScanFolder">
                <anchor moveWithCells="1" sizeWithCells="1">
                  <from>
                    <xdr:col>3</xdr:col>
                    <xdr:colOff>4222750</xdr:colOff>
                    <xdr:row>2</xdr:row>
                    <xdr:rowOff>247650</xdr:rowOff>
                  </from>
                  <to>
                    <xdr:col>3</xdr:col>
                    <xdr:colOff>6165850</xdr:colOff>
                    <xdr:row>3</xdr:row>
                    <xdr:rowOff>279400</xdr:rowOff>
                  </to>
                </anchor>
              </controlPr>
            </control>
          </mc:Choice>
        </mc:AlternateContent>
        <mc:AlternateContent xmlns:mc="http://schemas.openxmlformats.org/markup-compatibility/2006">
          <mc:Choice Requires="x14">
            <control shapeId="6150" r:id="rId5" name="Button 6">
              <controlPr defaultSize="0" print="0" autoFill="0" autoPict="0" macro="[0]!autoMailer_NEW">
                <anchor moveWithCells="1">
                  <from>
                    <xdr:col>6</xdr:col>
                    <xdr:colOff>190500</xdr:colOff>
                    <xdr:row>0</xdr:row>
                    <xdr:rowOff>203200</xdr:rowOff>
                  </from>
                  <to>
                    <xdr:col>7</xdr:col>
                    <xdr:colOff>171450</xdr:colOff>
                    <xdr:row>3</xdr:row>
                    <xdr:rowOff>69850</xdr:rowOff>
                  </to>
                </anchor>
              </controlPr>
            </control>
          </mc:Choice>
        </mc:AlternateContent>
        <mc:AlternateContent xmlns:mc="http://schemas.openxmlformats.org/markup-compatibility/2006">
          <mc:Choice Requires="x14">
            <control shapeId="6152" r:id="rId6" name="Button 8">
              <controlPr defaultSize="0" print="0" autoFill="0" autoPict="0" macro="[0]!autoMailer_PENDING">
                <anchor moveWithCells="1">
                  <from>
                    <xdr:col>7</xdr:col>
                    <xdr:colOff>800100</xdr:colOff>
                    <xdr:row>0</xdr:row>
                    <xdr:rowOff>203200</xdr:rowOff>
                  </from>
                  <to>
                    <xdr:col>8</xdr:col>
                    <xdr:colOff>1181100</xdr:colOff>
                    <xdr:row>3</xdr:row>
                    <xdr:rowOff>69850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227" stopIfTrue="1" operator="containsText" id="{CDA9878A-7DFE-48F7-9813-F46509DD4171}">
            <xm:f>NOT(ISERROR(SEARCH($D$9,I16)))</xm:f>
            <xm:f>$D$9</xm:f>
            <x14:dxf>
              <fill>
                <patternFill>
                  <bgColor rgb="FF0070C0"/>
                </patternFill>
              </fill>
            </x14:dxf>
          </x14:cfRule>
          <x14:cfRule type="containsText" priority="228" stopIfTrue="1" operator="containsText" id="{D9186974-2A4A-4E2D-934B-730D3F8DB232}">
            <xm:f>NOT(ISERROR(SEARCH($D$8,I16)))</xm:f>
            <xm:f>$D$8</xm:f>
            <x14:dxf>
              <fill>
                <patternFill>
                  <bgColor rgb="FFFF0000"/>
                </patternFill>
              </fill>
            </x14:dxf>
          </x14:cfRule>
          <xm:sqref>I16:I2324 I2329:I2381</xm:sqref>
        </x14:conditionalFormatting>
        <x14:conditionalFormatting xmlns:xm="http://schemas.microsoft.com/office/excel/2006/main">
          <x14:cfRule type="containsText" priority="205" stopIfTrue="1" operator="containsText" id="{9FEE1BD9-0555-40A6-A261-4062CB295D36}">
            <xm:f>NOT(ISERROR(SEARCH($D$9,I2325)))</xm:f>
            <xm:f>$D$9</xm:f>
            <x14:dxf>
              <fill>
                <patternFill>
                  <bgColor rgb="FF0070C0"/>
                </patternFill>
              </fill>
            </x14:dxf>
          </x14:cfRule>
          <x14:cfRule type="containsText" priority="206" stopIfTrue="1" operator="containsText" id="{59A0DB4F-31D4-49C1-95B3-039A463257EB}">
            <xm:f>NOT(ISERROR(SEARCH($D$8,I2325)))</xm:f>
            <xm:f>$D$8</xm:f>
            <x14:dxf>
              <fill>
                <patternFill>
                  <bgColor rgb="FFFF0000"/>
                </patternFill>
              </fill>
            </x14:dxf>
          </x14:cfRule>
          <xm:sqref>I2325</xm:sqref>
        </x14:conditionalFormatting>
        <x14:conditionalFormatting xmlns:xm="http://schemas.microsoft.com/office/excel/2006/main">
          <x14:cfRule type="containsText" priority="188" stopIfTrue="1" operator="containsText" id="{3DC6871A-2165-42AA-8819-E91B845AA4D9}">
            <xm:f>NOT(ISERROR(SEARCH($D$9,I2326)))</xm:f>
            <xm:f>$D$9</xm:f>
            <x14:dxf>
              <fill>
                <patternFill>
                  <bgColor rgb="FF0070C0"/>
                </patternFill>
              </fill>
            </x14:dxf>
          </x14:cfRule>
          <x14:cfRule type="containsText" priority="189" stopIfTrue="1" operator="containsText" id="{222881D8-F183-486C-99F6-F85E1F30C4DD}">
            <xm:f>NOT(ISERROR(SEARCH($D$8,I2326)))</xm:f>
            <xm:f>$D$8</xm:f>
            <x14:dxf>
              <fill>
                <patternFill>
                  <bgColor rgb="FFFF0000"/>
                </patternFill>
              </fill>
            </x14:dxf>
          </x14:cfRule>
          <xm:sqref>I2326</xm:sqref>
        </x14:conditionalFormatting>
        <x14:conditionalFormatting xmlns:xm="http://schemas.microsoft.com/office/excel/2006/main">
          <x14:cfRule type="containsText" priority="167" stopIfTrue="1" operator="containsText" id="{1FA3CB7F-4AE8-4742-9EFC-BE4181476E2B}">
            <xm:f>NOT(ISERROR(SEARCH($D$9,I2327)))</xm:f>
            <xm:f>$D$9</xm:f>
            <x14:dxf>
              <fill>
                <patternFill>
                  <bgColor rgb="FF0070C0"/>
                </patternFill>
              </fill>
            </x14:dxf>
          </x14:cfRule>
          <x14:cfRule type="containsText" priority="168" stopIfTrue="1" operator="containsText" id="{64C80E8D-0F09-43A9-BD3C-3B48E9487DB0}">
            <xm:f>NOT(ISERROR(SEARCH($D$8,I2327)))</xm:f>
            <xm:f>$D$8</xm:f>
            <x14:dxf>
              <fill>
                <patternFill>
                  <bgColor rgb="FFFF0000"/>
                </patternFill>
              </fill>
            </x14:dxf>
          </x14:cfRule>
          <xm:sqref>I2327</xm:sqref>
        </x14:conditionalFormatting>
        <x14:conditionalFormatting xmlns:xm="http://schemas.microsoft.com/office/excel/2006/main">
          <x14:cfRule type="containsText" priority="133" stopIfTrue="1" operator="containsText" id="{B855377E-EADE-4E59-A12A-949CC933FD62}">
            <xm:f>NOT(ISERROR(SEARCH($D$9,I2328)))</xm:f>
            <xm:f>$D$9</xm:f>
            <x14:dxf>
              <fill>
                <patternFill>
                  <bgColor rgb="FF0070C0"/>
                </patternFill>
              </fill>
            </x14:dxf>
          </x14:cfRule>
          <x14:cfRule type="containsText" priority="134" stopIfTrue="1" operator="containsText" id="{B1C72D5A-A8B9-4E54-8424-ED51B01B7D9E}">
            <xm:f>NOT(ISERROR(SEARCH($D$8,I2328)))</xm:f>
            <xm:f>$D$8</xm:f>
            <x14:dxf>
              <fill>
                <patternFill>
                  <bgColor rgb="FFFF0000"/>
                </patternFill>
              </fill>
            </x14:dxf>
          </x14:cfRule>
          <xm:sqref>I2328</xm:sqref>
        </x14:conditionalFormatting>
        <x14:conditionalFormatting xmlns:xm="http://schemas.microsoft.com/office/excel/2006/main">
          <x14:cfRule type="containsText" priority="28" stopIfTrue="1" operator="containsText" id="{7995C9F3-7164-4209-B629-71E54385D697}">
            <xm:f>NOT(ISERROR(SEARCH($D$9,I2382)))</xm:f>
            <xm:f>$D$9</xm:f>
            <x14:dxf>
              <fill>
                <patternFill>
                  <bgColor rgb="FF0070C0"/>
                </patternFill>
              </fill>
            </x14:dxf>
          </x14:cfRule>
          <x14:cfRule type="containsText" priority="29" stopIfTrue="1" operator="containsText" id="{943752B1-FA6D-4C67-87EF-01DDD6B662E0}">
            <xm:f>NOT(ISERROR(SEARCH($D$8,I2382)))</xm:f>
            <xm:f>$D$8</xm:f>
            <x14:dxf>
              <fill>
                <patternFill>
                  <bgColor rgb="FFFF0000"/>
                </patternFill>
              </fill>
            </x14:dxf>
          </x14:cfRule>
          <xm:sqref>I2382</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69246A8-A655-4110-8FFE-1E9D4DAE0C8E}">
          <x14:formula1>
            <xm:f>UnitNums!$E$2:$E$1048576</xm:f>
          </x14:formula1>
          <xm:sqref>C16:C2324 C2331:C2379</xm:sqref>
        </x14:dataValidation>
        <x14:dataValidation type="list" allowBlank="1" showInputMessage="1" showErrorMessage="1" xr:uid="{5B817A35-A7E6-4996-8883-A56481006C07}">
          <x14:formula1>
            <xm:f>'I:\Desktop\Maint_Ref\[Peterbilt eDVIR reports 2017.xlsx]ref'!#REF!</xm:f>
          </x14:formula1>
          <xm:sqref>C2325:C2330 C2380:C2382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0B034E-5152-4A14-8017-A20D387E5BA4}">
  <sheetPr codeName="Sheet6" filterMode="1">
    <tabColor indexed="42"/>
    <pageSetUpPr fitToPage="1"/>
  </sheetPr>
  <dimension ref="A1:MG111"/>
  <sheetViews>
    <sheetView showGridLines="0" showWhiteSpace="0" zoomScale="55" zoomScaleNormal="55" zoomScalePageLayoutView="77" workbookViewId="0">
      <selection activeCell="O107" sqref="O107"/>
    </sheetView>
  </sheetViews>
  <sheetFormatPr defaultColWidth="9.1796875" defaultRowHeight="12.5" x14ac:dyDescent="0.25"/>
  <cols>
    <col min="1" max="1" width="3.453125" style="2" customWidth="1"/>
    <col min="2" max="2" width="14.7265625" style="2" customWidth="1"/>
    <col min="3" max="3" width="21.453125" style="3" customWidth="1"/>
    <col min="4" max="4" width="92.81640625" style="3" bestFit="1" customWidth="1"/>
    <col min="5" max="6" width="15.54296875" style="3" customWidth="1"/>
    <col min="7" max="7" width="23.7265625" style="3" customWidth="1"/>
    <col min="8" max="8" width="17.7265625" style="3" customWidth="1"/>
    <col min="9" max="9" width="24.26953125" style="3" customWidth="1"/>
    <col min="10" max="10" width="12" style="3" customWidth="1"/>
    <col min="11" max="11" width="13.26953125" style="3" customWidth="1"/>
    <col min="12" max="13" width="18.26953125" style="3" customWidth="1"/>
    <col min="14" max="14" width="45.1796875" style="3" bestFit="1" customWidth="1"/>
    <col min="15" max="15" width="101.1796875" style="2" bestFit="1" customWidth="1"/>
    <col min="16" max="16" width="9.1796875" style="17"/>
    <col min="17" max="19" width="9.1796875" style="17" customWidth="1"/>
    <col min="20" max="345" width="9.1796875" style="17"/>
    <col min="346" max="16384" width="9.1796875" style="2"/>
  </cols>
  <sheetData>
    <row r="1" spans="1:345" s="1" customFormat="1" ht="18" customHeight="1" x14ac:dyDescent="0.25">
      <c r="A1" s="7"/>
      <c r="B1" s="8"/>
      <c r="C1" s="9"/>
      <c r="D1" s="9"/>
      <c r="E1" s="9"/>
      <c r="F1" s="9"/>
      <c r="G1" s="9"/>
      <c r="H1" s="9"/>
      <c r="I1" s="9"/>
      <c r="J1" s="9"/>
      <c r="K1" s="9"/>
      <c r="L1" s="9"/>
      <c r="M1" s="9"/>
      <c r="N1" s="9"/>
      <c r="O1" s="8"/>
      <c r="P1" s="8"/>
      <c r="Q1" s="8"/>
      <c r="R1" s="8"/>
      <c r="S1" s="8"/>
      <c r="T1" s="8"/>
      <c r="U1" s="8"/>
      <c r="V1" s="8"/>
      <c r="W1" s="8"/>
      <c r="X1" s="8"/>
      <c r="Y1" s="8"/>
      <c r="Z1" s="8"/>
      <c r="AA1" s="8"/>
      <c r="AB1" s="8"/>
      <c r="AC1" s="8"/>
      <c r="AD1" s="8"/>
      <c r="AE1" s="8"/>
      <c r="AF1" s="8"/>
      <c r="AG1" s="8"/>
      <c r="AH1" s="8"/>
      <c r="AI1" s="8"/>
      <c r="AJ1" s="8"/>
      <c r="AK1" s="8"/>
      <c r="AL1" s="8"/>
      <c r="AM1" s="8"/>
      <c r="AN1" s="8"/>
      <c r="AO1" s="8"/>
      <c r="AP1" s="8"/>
      <c r="AQ1" s="8"/>
      <c r="AR1" s="8"/>
      <c r="AS1" s="8"/>
      <c r="AT1" s="8"/>
      <c r="AU1" s="8"/>
      <c r="AV1" s="8"/>
      <c r="AW1" s="8"/>
      <c r="AX1" s="8"/>
      <c r="AY1" s="8"/>
      <c r="AZ1" s="8"/>
      <c r="BA1" s="8"/>
      <c r="BB1" s="8"/>
      <c r="BC1" s="8"/>
      <c r="BD1" s="8"/>
      <c r="BE1" s="8"/>
      <c r="BF1" s="8"/>
      <c r="BG1" s="8"/>
      <c r="BH1" s="8"/>
      <c r="BI1" s="8"/>
      <c r="BJ1" s="8"/>
      <c r="BK1" s="8"/>
      <c r="BL1" s="8"/>
      <c r="BM1" s="8"/>
      <c r="BN1" s="8"/>
      <c r="BO1" s="8"/>
      <c r="BP1" s="8"/>
      <c r="BQ1" s="8"/>
      <c r="BR1" s="8"/>
      <c r="BS1" s="8"/>
      <c r="BT1" s="8"/>
      <c r="BU1" s="8"/>
      <c r="BV1" s="8"/>
      <c r="BW1" s="8"/>
      <c r="BX1" s="8"/>
      <c r="BY1" s="8"/>
      <c r="BZ1" s="8"/>
      <c r="CA1" s="8"/>
      <c r="CB1" s="8"/>
      <c r="CC1" s="8"/>
      <c r="CD1" s="8"/>
      <c r="CE1" s="8"/>
      <c r="CF1" s="8"/>
      <c r="CG1" s="8"/>
      <c r="CH1" s="8"/>
      <c r="CI1" s="8"/>
      <c r="CJ1" s="8"/>
      <c r="CK1" s="8"/>
      <c r="CL1" s="8"/>
      <c r="CM1" s="8"/>
      <c r="CN1" s="8"/>
      <c r="CO1" s="8"/>
      <c r="CP1" s="8"/>
      <c r="CQ1" s="8"/>
      <c r="CR1" s="8"/>
      <c r="CS1" s="8"/>
      <c r="CT1" s="8"/>
      <c r="CU1" s="8"/>
      <c r="CV1" s="8"/>
      <c r="CW1" s="8"/>
      <c r="CX1" s="8"/>
      <c r="CY1" s="8"/>
      <c r="CZ1" s="8"/>
      <c r="DA1" s="8"/>
      <c r="DB1" s="8"/>
      <c r="DC1" s="8"/>
      <c r="DD1" s="8"/>
      <c r="DE1" s="8"/>
      <c r="DF1" s="8"/>
      <c r="DG1" s="8"/>
      <c r="DH1" s="8"/>
      <c r="DI1" s="8"/>
      <c r="DJ1" s="8"/>
      <c r="DK1" s="8"/>
      <c r="DL1" s="8"/>
      <c r="DM1" s="8"/>
      <c r="DN1" s="8"/>
      <c r="DO1" s="8"/>
      <c r="DP1" s="8"/>
      <c r="DQ1" s="8"/>
      <c r="DR1" s="8"/>
      <c r="DS1" s="8"/>
      <c r="DT1" s="8"/>
      <c r="DU1" s="8"/>
      <c r="DV1" s="8"/>
      <c r="DW1" s="8"/>
      <c r="DX1" s="8"/>
      <c r="DY1" s="8"/>
      <c r="DZ1" s="8"/>
      <c r="EA1" s="8"/>
      <c r="EB1" s="8"/>
      <c r="EC1" s="8"/>
      <c r="ED1" s="8"/>
      <c r="EE1" s="8"/>
      <c r="EF1" s="8"/>
      <c r="EG1" s="8"/>
      <c r="EH1" s="8"/>
      <c r="EI1" s="8"/>
      <c r="EJ1" s="8"/>
      <c r="EK1" s="8"/>
      <c r="EL1" s="8"/>
      <c r="EM1" s="8"/>
      <c r="EN1" s="8"/>
      <c r="EO1" s="8"/>
      <c r="EP1" s="8"/>
      <c r="EQ1" s="8"/>
      <c r="ER1" s="8"/>
      <c r="ES1" s="8"/>
      <c r="ET1" s="8"/>
      <c r="EU1" s="8"/>
      <c r="EV1" s="8"/>
      <c r="EW1" s="8"/>
      <c r="EX1" s="8"/>
      <c r="EY1" s="8"/>
      <c r="EZ1" s="8"/>
      <c r="FA1" s="8"/>
      <c r="FB1" s="8"/>
      <c r="FC1" s="8"/>
      <c r="FD1" s="8"/>
      <c r="FE1" s="8"/>
      <c r="FF1" s="8"/>
      <c r="FG1" s="8"/>
      <c r="FH1" s="8"/>
      <c r="FI1" s="8"/>
      <c r="FJ1" s="8"/>
      <c r="FK1" s="8"/>
      <c r="FL1" s="8"/>
      <c r="FM1" s="8"/>
      <c r="FN1" s="8"/>
      <c r="FO1" s="8"/>
      <c r="FP1" s="8"/>
      <c r="FQ1" s="8"/>
      <c r="FR1" s="8"/>
      <c r="FS1" s="8"/>
      <c r="FT1" s="8"/>
      <c r="FU1" s="8"/>
      <c r="FV1" s="8"/>
      <c r="FW1" s="8"/>
      <c r="FX1" s="8"/>
      <c r="FY1" s="8"/>
      <c r="FZ1" s="8"/>
      <c r="GA1" s="8"/>
      <c r="GB1" s="8"/>
      <c r="GC1" s="8"/>
      <c r="GD1" s="8"/>
      <c r="GE1" s="8"/>
      <c r="GF1" s="8"/>
      <c r="GG1" s="8"/>
      <c r="GH1" s="8"/>
      <c r="GI1" s="8"/>
      <c r="GJ1" s="8"/>
      <c r="GK1" s="8"/>
      <c r="GL1" s="8"/>
      <c r="GM1" s="8"/>
      <c r="GN1" s="8"/>
      <c r="GO1" s="8"/>
      <c r="GP1" s="8"/>
      <c r="GQ1" s="8"/>
      <c r="GR1" s="8"/>
      <c r="GS1" s="8"/>
      <c r="GT1" s="8"/>
      <c r="GU1" s="8"/>
      <c r="GV1" s="8"/>
      <c r="GW1" s="8"/>
      <c r="GX1" s="8"/>
      <c r="GY1" s="8"/>
      <c r="GZ1" s="8"/>
      <c r="HA1" s="8"/>
      <c r="HB1" s="8"/>
      <c r="HC1" s="8"/>
      <c r="HD1" s="8"/>
      <c r="HE1" s="8"/>
      <c r="HF1" s="8"/>
      <c r="HG1" s="8"/>
      <c r="HH1" s="8"/>
      <c r="HI1" s="8"/>
      <c r="HJ1" s="8"/>
      <c r="HK1" s="8"/>
      <c r="HL1" s="8"/>
      <c r="HM1" s="8"/>
      <c r="HN1" s="8"/>
      <c r="HO1" s="8"/>
      <c r="HP1" s="8"/>
      <c r="HQ1" s="8"/>
      <c r="HR1" s="8"/>
      <c r="HS1" s="8"/>
      <c r="HT1" s="8"/>
      <c r="HU1" s="8"/>
      <c r="HV1" s="8"/>
      <c r="HW1" s="8"/>
      <c r="HX1" s="8"/>
      <c r="HY1" s="8"/>
      <c r="HZ1" s="8"/>
      <c r="IA1" s="8"/>
      <c r="IB1" s="8"/>
      <c r="IC1" s="8"/>
      <c r="ID1" s="8"/>
      <c r="IE1" s="8"/>
      <c r="IF1" s="8"/>
      <c r="IG1" s="8"/>
      <c r="IH1" s="8"/>
      <c r="II1" s="8"/>
      <c r="IJ1" s="8"/>
      <c r="IK1" s="8"/>
      <c r="IL1" s="8"/>
      <c r="IM1" s="8"/>
      <c r="IN1" s="8"/>
      <c r="IO1" s="8"/>
      <c r="IP1" s="8"/>
      <c r="IQ1" s="8"/>
      <c r="IR1" s="8"/>
      <c r="IS1" s="8"/>
      <c r="IT1" s="8"/>
      <c r="IU1" s="8"/>
      <c r="IV1" s="8"/>
      <c r="IW1" s="8"/>
      <c r="IX1" s="8"/>
      <c r="IY1" s="8"/>
      <c r="IZ1" s="8"/>
      <c r="JA1" s="8"/>
      <c r="JB1" s="8"/>
      <c r="JC1" s="8"/>
      <c r="JD1" s="8"/>
      <c r="JE1" s="8"/>
      <c r="JF1" s="8"/>
      <c r="JG1" s="8"/>
      <c r="JH1" s="8"/>
      <c r="JI1" s="8"/>
      <c r="JJ1" s="8"/>
      <c r="JK1" s="8"/>
      <c r="JL1" s="8"/>
      <c r="JM1" s="8"/>
      <c r="JN1" s="8"/>
      <c r="JO1" s="8"/>
      <c r="JP1" s="8"/>
      <c r="JQ1" s="8"/>
      <c r="JR1" s="8"/>
      <c r="JS1" s="8"/>
      <c r="JT1" s="8"/>
      <c r="JU1" s="8"/>
      <c r="JV1" s="8"/>
      <c r="JW1" s="8"/>
      <c r="JX1" s="8"/>
      <c r="JY1" s="8"/>
      <c r="JZ1" s="8"/>
      <c r="KA1" s="8"/>
      <c r="KB1" s="8"/>
      <c r="KC1" s="8"/>
      <c r="KD1" s="8"/>
      <c r="KE1" s="8"/>
      <c r="KF1" s="8"/>
      <c r="KG1" s="8"/>
      <c r="KH1" s="8"/>
      <c r="KI1" s="8"/>
      <c r="KJ1" s="8"/>
      <c r="KK1" s="8"/>
      <c r="KL1" s="8"/>
      <c r="KM1" s="8"/>
      <c r="KN1" s="8"/>
      <c r="KO1" s="8"/>
      <c r="KP1" s="8"/>
      <c r="KQ1" s="8"/>
      <c r="KR1" s="8"/>
      <c r="KS1" s="8"/>
      <c r="KT1" s="8"/>
      <c r="KU1" s="8"/>
      <c r="KV1" s="8"/>
      <c r="KW1" s="8"/>
      <c r="KX1" s="8"/>
      <c r="KY1" s="8"/>
      <c r="KZ1" s="8"/>
      <c r="LA1" s="8"/>
      <c r="LB1" s="8"/>
      <c r="LC1" s="8"/>
      <c r="LD1" s="8"/>
      <c r="LE1" s="8"/>
      <c r="LF1" s="8"/>
      <c r="LG1" s="8"/>
      <c r="LH1" s="8"/>
      <c r="LI1" s="8"/>
      <c r="LJ1" s="8"/>
      <c r="LK1" s="8"/>
      <c r="LL1" s="8"/>
      <c r="LM1" s="8"/>
      <c r="LN1" s="8"/>
      <c r="LO1" s="8"/>
      <c r="LP1" s="8"/>
      <c r="LQ1" s="8"/>
      <c r="LR1" s="8"/>
      <c r="LS1" s="8"/>
      <c r="LT1" s="8"/>
      <c r="LU1" s="8"/>
      <c r="LV1" s="8"/>
      <c r="LW1" s="8"/>
      <c r="LX1" s="8"/>
      <c r="LY1" s="8"/>
      <c r="LZ1" s="8"/>
      <c r="MA1" s="8"/>
      <c r="MB1" s="8"/>
      <c r="MC1" s="8"/>
      <c r="MD1" s="8"/>
      <c r="ME1" s="8"/>
      <c r="MF1" s="8"/>
      <c r="MG1" s="8"/>
    </row>
    <row r="2" spans="1:345" s="1" customFormat="1" ht="16.5" customHeight="1" x14ac:dyDescent="0.25">
      <c r="A2" s="7"/>
      <c r="B2" s="127" t="s">
        <v>576</v>
      </c>
      <c r="C2" s="127"/>
      <c r="D2" s="128"/>
      <c r="E2" s="8"/>
      <c r="F2" s="8"/>
      <c r="G2" s="60"/>
      <c r="H2" s="8"/>
      <c r="I2" s="8"/>
      <c r="J2" s="8"/>
      <c r="K2" s="8"/>
      <c r="L2" s="8"/>
      <c r="M2" s="8"/>
      <c r="N2" s="8"/>
      <c r="O2" s="8"/>
      <c r="P2" s="8"/>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c r="CK2" s="8"/>
      <c r="CL2" s="8"/>
      <c r="CM2" s="8"/>
      <c r="CN2" s="8"/>
      <c r="CO2" s="8"/>
      <c r="CP2" s="8"/>
      <c r="CQ2" s="8"/>
      <c r="CR2" s="8"/>
      <c r="CS2" s="8"/>
      <c r="CT2" s="8"/>
      <c r="CU2" s="8"/>
      <c r="CV2" s="8"/>
      <c r="CW2" s="8"/>
      <c r="CX2" s="8"/>
      <c r="CY2" s="8"/>
      <c r="CZ2" s="8"/>
      <c r="DA2" s="8"/>
      <c r="DB2" s="8"/>
      <c r="DC2" s="8"/>
      <c r="DD2" s="8"/>
      <c r="DE2" s="8"/>
      <c r="DF2" s="8"/>
      <c r="DG2" s="8"/>
      <c r="DH2" s="8"/>
      <c r="DI2" s="8"/>
      <c r="DJ2" s="8"/>
      <c r="DK2" s="8"/>
      <c r="DL2" s="8"/>
      <c r="DM2" s="8"/>
      <c r="DN2" s="8"/>
      <c r="DO2" s="8"/>
      <c r="DP2" s="8"/>
      <c r="DQ2" s="8"/>
      <c r="DR2" s="8"/>
      <c r="DS2" s="8"/>
      <c r="DT2" s="8"/>
      <c r="DU2" s="8"/>
      <c r="DV2" s="8"/>
      <c r="DW2" s="8"/>
      <c r="DX2" s="8"/>
      <c r="DY2" s="8"/>
      <c r="DZ2" s="8"/>
      <c r="EA2" s="8"/>
      <c r="EB2" s="8"/>
      <c r="EC2" s="8"/>
      <c r="ED2" s="8"/>
      <c r="EE2" s="8"/>
      <c r="EF2" s="8"/>
      <c r="EG2" s="8"/>
      <c r="EH2" s="8"/>
      <c r="EI2" s="8"/>
      <c r="EJ2" s="8"/>
      <c r="EK2" s="8"/>
      <c r="EL2" s="8"/>
      <c r="EM2" s="8"/>
      <c r="EN2" s="8"/>
      <c r="EO2" s="8"/>
      <c r="EP2" s="8"/>
      <c r="EQ2" s="8"/>
      <c r="ER2" s="8"/>
      <c r="ES2" s="8"/>
      <c r="ET2" s="8"/>
      <c r="EU2" s="8"/>
      <c r="EV2" s="8"/>
      <c r="EW2" s="8"/>
      <c r="EX2" s="8"/>
      <c r="EY2" s="8"/>
      <c r="EZ2" s="8"/>
      <c r="FA2" s="8"/>
      <c r="FB2" s="8"/>
      <c r="FC2" s="8"/>
      <c r="FD2" s="8"/>
      <c r="FE2" s="8"/>
      <c r="FF2" s="8"/>
      <c r="FG2" s="8"/>
      <c r="FH2" s="8"/>
      <c r="FI2" s="8"/>
      <c r="FJ2" s="8"/>
      <c r="FK2" s="8"/>
      <c r="FL2" s="8"/>
      <c r="FM2" s="8"/>
      <c r="FN2" s="8"/>
      <c r="FO2" s="8"/>
      <c r="FP2" s="8"/>
      <c r="FQ2" s="8"/>
      <c r="FR2" s="8"/>
      <c r="FS2" s="8"/>
      <c r="FT2" s="8"/>
      <c r="FU2" s="8"/>
      <c r="FV2" s="8"/>
      <c r="FW2" s="8"/>
      <c r="FX2" s="8"/>
      <c r="FY2" s="8"/>
      <c r="FZ2" s="8"/>
      <c r="GA2" s="8"/>
      <c r="GB2" s="8"/>
      <c r="GC2" s="8"/>
      <c r="GD2" s="8"/>
      <c r="GE2" s="8"/>
      <c r="GF2" s="8"/>
      <c r="GG2" s="8"/>
      <c r="GH2" s="8"/>
      <c r="GI2" s="8"/>
      <c r="GJ2" s="8"/>
      <c r="GK2" s="8"/>
      <c r="GL2" s="8"/>
      <c r="GM2" s="8"/>
      <c r="GN2" s="8"/>
      <c r="GO2" s="8"/>
      <c r="GP2" s="8"/>
      <c r="GQ2" s="8"/>
      <c r="GR2" s="8"/>
      <c r="GS2" s="8"/>
      <c r="GT2" s="8"/>
      <c r="GU2" s="8"/>
      <c r="GV2" s="8"/>
      <c r="GW2" s="8"/>
      <c r="GX2" s="8"/>
      <c r="GY2" s="8"/>
      <c r="GZ2" s="8"/>
      <c r="HA2" s="8"/>
      <c r="HB2" s="8"/>
      <c r="HC2" s="8"/>
      <c r="HD2" s="8"/>
      <c r="HE2" s="8"/>
      <c r="HF2" s="8"/>
      <c r="HG2" s="8"/>
      <c r="HH2" s="8"/>
      <c r="HI2" s="8"/>
      <c r="HJ2" s="8"/>
      <c r="HK2" s="8"/>
      <c r="HL2" s="8"/>
      <c r="HM2" s="8"/>
      <c r="HN2" s="8"/>
      <c r="HO2" s="8"/>
      <c r="HP2" s="8"/>
      <c r="HQ2" s="8"/>
      <c r="HR2" s="8"/>
      <c r="HS2" s="8"/>
      <c r="HT2" s="8"/>
      <c r="HU2" s="8"/>
      <c r="HV2" s="8"/>
      <c r="HW2" s="8"/>
      <c r="HX2" s="8"/>
      <c r="HY2" s="8"/>
      <c r="HZ2" s="8"/>
      <c r="IA2" s="8"/>
      <c r="IB2" s="8"/>
      <c r="IC2" s="8"/>
      <c r="ID2" s="8"/>
      <c r="IE2" s="8"/>
      <c r="IF2" s="8"/>
      <c r="IG2" s="8"/>
      <c r="IH2" s="8"/>
      <c r="II2" s="8"/>
      <c r="IJ2" s="8"/>
      <c r="IK2" s="8"/>
      <c r="IL2" s="8"/>
      <c r="IM2" s="8"/>
      <c r="IN2" s="8"/>
      <c r="IO2" s="8"/>
      <c r="IP2" s="8"/>
      <c r="IQ2" s="8"/>
      <c r="IR2" s="8"/>
      <c r="IS2" s="8"/>
      <c r="IT2" s="8"/>
      <c r="IU2" s="8"/>
      <c r="IV2" s="8"/>
      <c r="IW2" s="8"/>
      <c r="IX2" s="8"/>
      <c r="IY2" s="8"/>
      <c r="IZ2" s="8"/>
      <c r="JA2" s="8"/>
      <c r="JB2" s="8"/>
      <c r="JC2" s="8"/>
      <c r="JD2" s="8"/>
      <c r="JE2" s="8"/>
      <c r="JF2" s="8"/>
      <c r="JG2" s="8"/>
      <c r="JH2" s="8"/>
      <c r="JI2" s="8"/>
      <c r="JJ2" s="8"/>
      <c r="JK2" s="8"/>
      <c r="JL2" s="8"/>
      <c r="JM2" s="8"/>
      <c r="JN2" s="8"/>
      <c r="JO2" s="8"/>
      <c r="JP2" s="8"/>
      <c r="JQ2" s="8"/>
      <c r="JR2" s="8"/>
      <c r="JS2" s="8"/>
      <c r="JT2" s="8"/>
      <c r="JU2" s="8"/>
      <c r="JV2" s="8"/>
      <c r="JW2" s="8"/>
      <c r="JX2" s="8"/>
      <c r="JY2" s="8"/>
      <c r="JZ2" s="8"/>
      <c r="KA2" s="8"/>
      <c r="KB2" s="8"/>
      <c r="KC2" s="8"/>
      <c r="KD2" s="8"/>
      <c r="KE2" s="8"/>
      <c r="KF2" s="8"/>
      <c r="KG2" s="8"/>
      <c r="KH2" s="8"/>
      <c r="KI2" s="8"/>
      <c r="KJ2" s="8"/>
      <c r="KK2" s="8"/>
      <c r="KL2" s="8"/>
      <c r="KM2" s="8"/>
      <c r="KN2" s="8"/>
      <c r="KO2" s="8"/>
      <c r="KP2" s="8"/>
      <c r="KQ2" s="8"/>
      <c r="KR2" s="8"/>
      <c r="KS2" s="8"/>
      <c r="KT2" s="8"/>
      <c r="KU2" s="8"/>
      <c r="KV2" s="8"/>
      <c r="KW2" s="8"/>
      <c r="KX2" s="8"/>
      <c r="KY2" s="8"/>
      <c r="KZ2" s="8"/>
      <c r="LA2" s="8"/>
      <c r="LB2" s="8"/>
      <c r="LC2" s="8"/>
      <c r="LD2" s="8"/>
      <c r="LE2" s="8"/>
      <c r="LF2" s="8"/>
      <c r="LG2" s="8"/>
      <c r="LH2" s="8"/>
      <c r="LI2" s="8"/>
      <c r="LJ2" s="8"/>
      <c r="LK2" s="8"/>
      <c r="LL2" s="8"/>
      <c r="LM2" s="8"/>
      <c r="LN2" s="8"/>
      <c r="LO2" s="8"/>
      <c r="LP2" s="8"/>
      <c r="LQ2" s="8"/>
      <c r="LR2" s="8"/>
      <c r="LS2" s="8"/>
      <c r="LT2" s="8"/>
      <c r="LU2" s="8"/>
      <c r="LV2" s="8"/>
      <c r="LW2" s="8"/>
      <c r="LX2" s="8"/>
      <c r="LY2" s="8"/>
      <c r="LZ2" s="8"/>
      <c r="MA2" s="8"/>
      <c r="MB2" s="8"/>
      <c r="MC2" s="8"/>
      <c r="MD2" s="8"/>
      <c r="ME2" s="8"/>
      <c r="MF2" s="8"/>
      <c r="MG2" s="8"/>
    </row>
    <row r="3" spans="1:345" s="1" customFormat="1" ht="38.25" customHeight="1" x14ac:dyDescent="0.25">
      <c r="A3" s="7"/>
      <c r="B3" s="127"/>
      <c r="C3" s="127"/>
      <c r="D3" s="128"/>
      <c r="E3" s="10"/>
      <c r="F3" s="10"/>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c r="CK3" s="8"/>
      <c r="CL3" s="8"/>
      <c r="CM3" s="8"/>
      <c r="CN3" s="8"/>
      <c r="CO3" s="8"/>
      <c r="CP3" s="8"/>
      <c r="CQ3" s="8"/>
      <c r="CR3" s="8"/>
      <c r="CS3" s="8"/>
      <c r="CT3" s="8"/>
      <c r="CU3" s="8"/>
      <c r="CV3" s="8"/>
      <c r="CW3" s="8"/>
      <c r="CX3" s="8"/>
      <c r="CY3" s="8"/>
      <c r="CZ3" s="8"/>
      <c r="DA3" s="8"/>
      <c r="DB3" s="8"/>
      <c r="DC3" s="8"/>
      <c r="DD3" s="8"/>
      <c r="DE3" s="8"/>
      <c r="DF3" s="8"/>
      <c r="DG3" s="8"/>
      <c r="DH3" s="8"/>
      <c r="DI3" s="8"/>
      <c r="DJ3" s="8"/>
      <c r="DK3" s="8"/>
      <c r="DL3" s="8"/>
      <c r="DM3" s="8"/>
      <c r="DN3" s="8"/>
      <c r="DO3" s="8"/>
      <c r="DP3" s="8"/>
      <c r="DQ3" s="8"/>
      <c r="DR3" s="8"/>
      <c r="DS3" s="8"/>
      <c r="DT3" s="8"/>
      <c r="DU3" s="8"/>
      <c r="DV3" s="8"/>
      <c r="DW3" s="8"/>
      <c r="DX3" s="8"/>
      <c r="DY3" s="8"/>
      <c r="DZ3" s="8"/>
      <c r="EA3" s="8"/>
      <c r="EB3" s="8"/>
      <c r="EC3" s="8"/>
      <c r="ED3" s="8"/>
      <c r="EE3" s="8"/>
      <c r="EF3" s="8"/>
      <c r="EG3" s="8"/>
      <c r="EH3" s="8"/>
      <c r="EI3" s="8"/>
      <c r="EJ3" s="8"/>
      <c r="EK3" s="8"/>
      <c r="EL3" s="8"/>
      <c r="EM3" s="8"/>
      <c r="EN3" s="8"/>
      <c r="EO3" s="8"/>
      <c r="EP3" s="8"/>
      <c r="EQ3" s="8"/>
      <c r="ER3" s="8"/>
      <c r="ES3" s="8"/>
      <c r="ET3" s="8"/>
      <c r="EU3" s="8"/>
      <c r="EV3" s="8"/>
      <c r="EW3" s="8"/>
      <c r="EX3" s="8"/>
      <c r="EY3" s="8"/>
      <c r="EZ3" s="8"/>
      <c r="FA3" s="8"/>
      <c r="FB3" s="8"/>
      <c r="FC3" s="8"/>
      <c r="FD3" s="8"/>
      <c r="FE3" s="8"/>
      <c r="FF3" s="8"/>
      <c r="FG3" s="8"/>
      <c r="FH3" s="8"/>
      <c r="FI3" s="8"/>
      <c r="FJ3" s="8"/>
      <c r="FK3" s="8"/>
      <c r="FL3" s="8"/>
      <c r="FM3" s="8"/>
      <c r="FN3" s="8"/>
      <c r="FO3" s="8"/>
      <c r="FP3" s="8"/>
      <c r="FQ3" s="8"/>
      <c r="FR3" s="8"/>
      <c r="FS3" s="8"/>
      <c r="FT3" s="8"/>
      <c r="FU3" s="8"/>
      <c r="FV3" s="8"/>
      <c r="FW3" s="8"/>
      <c r="FX3" s="8"/>
      <c r="FY3" s="8"/>
      <c r="FZ3" s="8"/>
      <c r="GA3" s="8"/>
      <c r="GB3" s="8"/>
      <c r="GC3" s="8"/>
      <c r="GD3" s="8"/>
      <c r="GE3" s="8"/>
      <c r="GF3" s="8"/>
      <c r="GG3" s="8"/>
      <c r="GH3" s="8"/>
      <c r="GI3" s="8"/>
      <c r="GJ3" s="8"/>
      <c r="GK3" s="8"/>
      <c r="GL3" s="8"/>
      <c r="GM3" s="8"/>
      <c r="GN3" s="8"/>
      <c r="GO3" s="8"/>
      <c r="GP3" s="8"/>
      <c r="GQ3" s="8"/>
      <c r="GR3" s="8"/>
      <c r="GS3" s="8"/>
      <c r="GT3" s="8"/>
      <c r="GU3" s="8"/>
      <c r="GV3" s="8"/>
      <c r="GW3" s="8"/>
      <c r="GX3" s="8"/>
      <c r="GY3" s="8"/>
      <c r="GZ3" s="8"/>
      <c r="HA3" s="8"/>
      <c r="HB3" s="8"/>
      <c r="HC3" s="8"/>
      <c r="HD3" s="8"/>
      <c r="HE3" s="8"/>
      <c r="HF3" s="8"/>
      <c r="HG3" s="8"/>
      <c r="HH3" s="8"/>
      <c r="HI3" s="8"/>
      <c r="HJ3" s="8"/>
      <c r="HK3" s="8"/>
      <c r="HL3" s="8"/>
      <c r="HM3" s="8"/>
      <c r="HN3" s="8"/>
      <c r="HO3" s="8"/>
      <c r="HP3" s="8"/>
      <c r="HQ3" s="8"/>
      <c r="HR3" s="8"/>
      <c r="HS3" s="8"/>
      <c r="HT3" s="8"/>
      <c r="HU3" s="8"/>
      <c r="HV3" s="8"/>
      <c r="HW3" s="8"/>
      <c r="HX3" s="8"/>
      <c r="HY3" s="8"/>
      <c r="HZ3" s="8"/>
      <c r="IA3" s="8"/>
      <c r="IB3" s="8"/>
      <c r="IC3" s="8"/>
      <c r="ID3" s="8"/>
      <c r="IE3" s="8"/>
      <c r="IF3" s="8"/>
      <c r="IG3" s="8"/>
      <c r="IH3" s="8"/>
      <c r="II3" s="8"/>
      <c r="IJ3" s="8"/>
      <c r="IK3" s="8"/>
      <c r="IL3" s="8"/>
      <c r="IM3" s="8"/>
      <c r="IN3" s="8"/>
      <c r="IO3" s="8"/>
      <c r="IP3" s="8"/>
      <c r="IQ3" s="8"/>
      <c r="IR3" s="8"/>
      <c r="IS3" s="8"/>
      <c r="IT3" s="8"/>
      <c r="IU3" s="8"/>
      <c r="IV3" s="8"/>
      <c r="IW3" s="8"/>
      <c r="IX3" s="8"/>
      <c r="IY3" s="8"/>
      <c r="IZ3" s="8"/>
      <c r="JA3" s="8"/>
      <c r="JB3" s="8"/>
      <c r="JC3" s="8"/>
      <c r="JD3" s="8"/>
      <c r="JE3" s="8"/>
      <c r="JF3" s="8"/>
      <c r="JG3" s="8"/>
      <c r="JH3" s="8"/>
      <c r="JI3" s="8"/>
      <c r="JJ3" s="8"/>
      <c r="JK3" s="8"/>
      <c r="JL3" s="8"/>
      <c r="JM3" s="8"/>
      <c r="JN3" s="8"/>
      <c r="JO3" s="8"/>
      <c r="JP3" s="8"/>
      <c r="JQ3" s="8"/>
      <c r="JR3" s="8"/>
      <c r="JS3" s="8"/>
      <c r="JT3" s="8"/>
      <c r="JU3" s="8"/>
      <c r="JV3" s="8"/>
      <c r="JW3" s="8"/>
      <c r="JX3" s="8"/>
      <c r="JY3" s="8"/>
      <c r="JZ3" s="8"/>
      <c r="KA3" s="8"/>
      <c r="KB3" s="8"/>
      <c r="KC3" s="8"/>
      <c r="KD3" s="8"/>
      <c r="KE3" s="8"/>
      <c r="KF3" s="8"/>
      <c r="KG3" s="8"/>
      <c r="KH3" s="8"/>
      <c r="KI3" s="8"/>
      <c r="KJ3" s="8"/>
      <c r="KK3" s="8"/>
      <c r="KL3" s="8"/>
      <c r="KM3" s="8"/>
      <c r="KN3" s="8"/>
      <c r="KO3" s="8"/>
      <c r="KP3" s="8"/>
      <c r="KQ3" s="8"/>
      <c r="KR3" s="8"/>
      <c r="KS3" s="8"/>
      <c r="KT3" s="8"/>
      <c r="KU3" s="8"/>
      <c r="KV3" s="8"/>
      <c r="KW3" s="8"/>
      <c r="KX3" s="8"/>
      <c r="KY3" s="8"/>
      <c r="KZ3" s="8"/>
      <c r="LA3" s="8"/>
      <c r="LB3" s="8"/>
      <c r="LC3" s="8"/>
      <c r="LD3" s="8"/>
      <c r="LE3" s="8"/>
      <c r="LF3" s="8"/>
      <c r="LG3" s="8"/>
      <c r="LH3" s="8"/>
      <c r="LI3" s="8"/>
      <c r="LJ3" s="8"/>
      <c r="LK3" s="8"/>
      <c r="LL3" s="8"/>
      <c r="LM3" s="8"/>
      <c r="LN3" s="8"/>
      <c r="LO3" s="8"/>
      <c r="LP3" s="8"/>
      <c r="LQ3" s="8"/>
      <c r="LR3" s="8"/>
      <c r="LS3" s="8"/>
      <c r="LT3" s="8"/>
      <c r="LU3" s="8"/>
      <c r="LV3" s="8"/>
      <c r="LW3" s="8"/>
      <c r="LX3" s="8"/>
      <c r="LY3" s="8"/>
      <c r="LZ3" s="8"/>
      <c r="MA3" s="8"/>
      <c r="MB3" s="8"/>
      <c r="MC3" s="8"/>
      <c r="MD3" s="8"/>
      <c r="ME3" s="8"/>
      <c r="MF3" s="8"/>
      <c r="MG3" s="8"/>
    </row>
    <row r="4" spans="1:345" s="1" customFormat="1" ht="38.25" customHeight="1" x14ac:dyDescent="0.7">
      <c r="A4" s="7"/>
      <c r="B4" s="11" t="s">
        <v>43</v>
      </c>
      <c r="C4" s="66"/>
      <c r="D4" s="66"/>
      <c r="E4" s="10"/>
      <c r="F4" s="10"/>
      <c r="G4" s="8"/>
      <c r="H4" s="8"/>
      <c r="I4" s="8"/>
      <c r="J4" s="8"/>
      <c r="K4" s="8"/>
      <c r="L4" s="8"/>
      <c r="M4" s="8"/>
      <c r="N4" s="8"/>
      <c r="O4" s="8"/>
      <c r="P4" s="8"/>
      <c r="Q4" s="8"/>
      <c r="R4" s="8"/>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c r="CK4" s="8"/>
      <c r="CL4" s="8"/>
      <c r="CM4" s="8"/>
      <c r="CN4" s="8"/>
      <c r="CO4" s="8"/>
      <c r="CP4" s="8"/>
      <c r="CQ4" s="8"/>
      <c r="CR4" s="8"/>
      <c r="CS4" s="8"/>
      <c r="CT4" s="8"/>
      <c r="CU4" s="8"/>
      <c r="CV4" s="8"/>
      <c r="CW4" s="8"/>
      <c r="CX4" s="8"/>
      <c r="CY4" s="8"/>
      <c r="CZ4" s="8"/>
      <c r="DA4" s="8"/>
      <c r="DB4" s="8"/>
      <c r="DC4" s="8"/>
      <c r="DD4" s="8"/>
      <c r="DE4" s="8"/>
      <c r="DF4" s="8"/>
      <c r="DG4" s="8"/>
      <c r="DH4" s="8"/>
      <c r="DI4" s="8"/>
      <c r="DJ4" s="8"/>
      <c r="DK4" s="8"/>
      <c r="DL4" s="8"/>
      <c r="DM4" s="8"/>
      <c r="DN4" s="8"/>
      <c r="DO4" s="8"/>
      <c r="DP4" s="8"/>
      <c r="DQ4" s="8"/>
      <c r="DR4" s="8"/>
      <c r="DS4" s="8"/>
      <c r="DT4" s="8"/>
      <c r="DU4" s="8"/>
      <c r="DV4" s="8"/>
      <c r="DW4" s="8"/>
      <c r="DX4" s="8"/>
      <c r="DY4" s="8"/>
      <c r="DZ4" s="8"/>
      <c r="EA4" s="8"/>
      <c r="EB4" s="8"/>
      <c r="EC4" s="8"/>
      <c r="ED4" s="8"/>
      <c r="EE4" s="8"/>
      <c r="EF4" s="8"/>
      <c r="EG4" s="8"/>
      <c r="EH4" s="8"/>
      <c r="EI4" s="8"/>
      <c r="EJ4" s="8"/>
      <c r="EK4" s="8"/>
      <c r="EL4" s="8"/>
      <c r="EM4" s="8"/>
      <c r="EN4" s="8"/>
      <c r="EO4" s="8"/>
      <c r="EP4" s="8"/>
      <c r="EQ4" s="8"/>
      <c r="ER4" s="8"/>
      <c r="ES4" s="8"/>
      <c r="ET4" s="8"/>
      <c r="EU4" s="8"/>
      <c r="EV4" s="8"/>
      <c r="EW4" s="8"/>
      <c r="EX4" s="8"/>
      <c r="EY4" s="8"/>
      <c r="EZ4" s="8"/>
      <c r="FA4" s="8"/>
      <c r="FB4" s="8"/>
      <c r="FC4" s="8"/>
      <c r="FD4" s="8"/>
      <c r="FE4" s="8"/>
      <c r="FF4" s="8"/>
      <c r="FG4" s="8"/>
      <c r="FH4" s="8"/>
      <c r="FI4" s="8"/>
      <c r="FJ4" s="8"/>
      <c r="FK4" s="8"/>
      <c r="FL4" s="8"/>
      <c r="FM4" s="8"/>
      <c r="FN4" s="8"/>
      <c r="FO4" s="8"/>
      <c r="FP4" s="8"/>
      <c r="FQ4" s="8"/>
      <c r="FR4" s="8"/>
      <c r="FS4" s="8"/>
      <c r="FT4" s="8"/>
      <c r="FU4" s="8"/>
      <c r="FV4" s="8"/>
      <c r="FW4" s="8"/>
      <c r="FX4" s="8"/>
      <c r="FY4" s="8"/>
      <c r="FZ4" s="8"/>
      <c r="GA4" s="8"/>
      <c r="GB4" s="8"/>
      <c r="GC4" s="8"/>
      <c r="GD4" s="8"/>
      <c r="GE4" s="8"/>
      <c r="GF4" s="8"/>
      <c r="GG4" s="8"/>
      <c r="GH4" s="8"/>
      <c r="GI4" s="8"/>
      <c r="GJ4" s="8"/>
      <c r="GK4" s="8"/>
      <c r="GL4" s="8"/>
      <c r="GM4" s="8"/>
      <c r="GN4" s="8"/>
      <c r="GO4" s="8"/>
      <c r="GP4" s="8"/>
      <c r="GQ4" s="8"/>
      <c r="GR4" s="8"/>
      <c r="GS4" s="8"/>
      <c r="GT4" s="8"/>
      <c r="GU4" s="8"/>
      <c r="GV4" s="8"/>
      <c r="GW4" s="8"/>
      <c r="GX4" s="8"/>
      <c r="GY4" s="8"/>
      <c r="GZ4" s="8"/>
      <c r="HA4" s="8"/>
      <c r="HB4" s="8"/>
      <c r="HC4" s="8"/>
      <c r="HD4" s="8"/>
      <c r="HE4" s="8"/>
      <c r="HF4" s="8"/>
      <c r="HG4" s="8"/>
      <c r="HH4" s="8"/>
      <c r="HI4" s="8"/>
      <c r="HJ4" s="8"/>
      <c r="HK4" s="8"/>
      <c r="HL4" s="8"/>
      <c r="HM4" s="8"/>
      <c r="HN4" s="8"/>
      <c r="HO4" s="8"/>
      <c r="HP4" s="8"/>
      <c r="HQ4" s="8"/>
      <c r="HR4" s="8"/>
      <c r="HS4" s="8"/>
      <c r="HT4" s="8"/>
      <c r="HU4" s="8"/>
      <c r="HV4" s="8"/>
      <c r="HW4" s="8"/>
      <c r="HX4" s="8"/>
      <c r="HY4" s="8"/>
      <c r="HZ4" s="8"/>
      <c r="IA4" s="8"/>
      <c r="IB4" s="8"/>
      <c r="IC4" s="8"/>
      <c r="ID4" s="8"/>
      <c r="IE4" s="8"/>
      <c r="IF4" s="8"/>
      <c r="IG4" s="8"/>
      <c r="IH4" s="8"/>
      <c r="II4" s="8"/>
      <c r="IJ4" s="8"/>
      <c r="IK4" s="8"/>
      <c r="IL4" s="8"/>
      <c r="IM4" s="8"/>
      <c r="IN4" s="8"/>
      <c r="IO4" s="8"/>
      <c r="IP4" s="8"/>
      <c r="IQ4" s="8"/>
      <c r="IR4" s="8"/>
      <c r="IS4" s="8"/>
      <c r="IT4" s="8"/>
      <c r="IU4" s="8"/>
      <c r="IV4" s="8"/>
      <c r="IW4" s="8"/>
      <c r="IX4" s="8"/>
      <c r="IY4" s="8"/>
      <c r="IZ4" s="8"/>
      <c r="JA4" s="8"/>
      <c r="JB4" s="8"/>
      <c r="JC4" s="8"/>
      <c r="JD4" s="8"/>
      <c r="JE4" s="8"/>
      <c r="JF4" s="8"/>
      <c r="JG4" s="8"/>
      <c r="JH4" s="8"/>
      <c r="JI4" s="8"/>
      <c r="JJ4" s="8"/>
      <c r="JK4" s="8"/>
      <c r="JL4" s="8"/>
      <c r="JM4" s="8"/>
      <c r="JN4" s="8"/>
      <c r="JO4" s="8"/>
      <c r="JP4" s="8"/>
      <c r="JQ4" s="8"/>
      <c r="JR4" s="8"/>
      <c r="JS4" s="8"/>
      <c r="JT4" s="8"/>
      <c r="JU4" s="8"/>
      <c r="JV4" s="8"/>
      <c r="JW4" s="8"/>
      <c r="JX4" s="8"/>
      <c r="JY4" s="8"/>
      <c r="JZ4" s="8"/>
      <c r="KA4" s="8"/>
      <c r="KB4" s="8"/>
      <c r="KC4" s="8"/>
      <c r="KD4" s="8"/>
      <c r="KE4" s="8"/>
      <c r="KF4" s="8"/>
      <c r="KG4" s="8"/>
      <c r="KH4" s="8"/>
      <c r="KI4" s="8"/>
      <c r="KJ4" s="8"/>
      <c r="KK4" s="8"/>
      <c r="KL4" s="8"/>
      <c r="KM4" s="8"/>
      <c r="KN4" s="8"/>
      <c r="KO4" s="8"/>
      <c r="KP4" s="8"/>
      <c r="KQ4" s="8"/>
      <c r="KR4" s="8"/>
      <c r="KS4" s="8"/>
      <c r="KT4" s="8"/>
      <c r="KU4" s="8"/>
      <c r="KV4" s="8"/>
      <c r="KW4" s="8"/>
      <c r="KX4" s="8"/>
      <c r="KY4" s="8"/>
      <c r="KZ4" s="8"/>
      <c r="LA4" s="8"/>
      <c r="LB4" s="8"/>
      <c r="LC4" s="8"/>
      <c r="LD4" s="8"/>
      <c r="LE4" s="8"/>
      <c r="LF4" s="8"/>
      <c r="LG4" s="8"/>
      <c r="LH4" s="8"/>
      <c r="LI4" s="8"/>
      <c r="LJ4" s="8"/>
      <c r="LK4" s="8"/>
      <c r="LL4" s="8"/>
      <c r="LM4" s="8"/>
      <c r="LN4" s="8"/>
      <c r="LO4" s="8"/>
      <c r="LP4" s="8"/>
      <c r="LQ4" s="8"/>
      <c r="LR4" s="8"/>
      <c r="LS4" s="8"/>
      <c r="LT4" s="8"/>
      <c r="LU4" s="8"/>
      <c r="LV4" s="8"/>
      <c r="LW4" s="8"/>
      <c r="LX4" s="8"/>
      <c r="LY4" s="8"/>
      <c r="LZ4" s="8"/>
      <c r="MA4" s="8"/>
      <c r="MB4" s="8"/>
      <c r="MC4" s="8"/>
      <c r="MD4" s="8"/>
      <c r="ME4" s="8"/>
      <c r="MF4" s="8"/>
      <c r="MG4" s="8"/>
    </row>
    <row r="5" spans="1:345" s="1" customFormat="1" ht="35" x14ac:dyDescent="0.7">
      <c r="A5" s="7"/>
      <c r="C5" s="11"/>
      <c r="D5" s="61" t="s">
        <v>562</v>
      </c>
      <c r="E5" s="64" t="s">
        <v>564</v>
      </c>
      <c r="F5" s="8"/>
      <c r="G5" s="8"/>
      <c r="H5" s="8"/>
      <c r="I5" s="8"/>
      <c r="J5" s="8"/>
      <c r="K5" s="8"/>
      <c r="L5" s="8"/>
      <c r="M5" s="8"/>
      <c r="N5" s="8"/>
      <c r="O5" s="8"/>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c r="CK5" s="8"/>
      <c r="CL5" s="8"/>
      <c r="CM5" s="8"/>
      <c r="CN5" s="8"/>
      <c r="CO5" s="8"/>
      <c r="CP5" s="8"/>
      <c r="CQ5" s="8"/>
      <c r="CR5" s="8"/>
      <c r="CS5" s="8"/>
      <c r="CT5" s="8"/>
      <c r="CU5" s="8"/>
      <c r="CV5" s="8"/>
      <c r="CW5" s="8"/>
      <c r="CX5" s="8"/>
      <c r="CY5" s="8"/>
      <c r="CZ5" s="8"/>
      <c r="DA5" s="8"/>
      <c r="DB5" s="8"/>
      <c r="DC5" s="8"/>
      <c r="DD5" s="8"/>
      <c r="DE5" s="8"/>
      <c r="DF5" s="8"/>
      <c r="DG5" s="8"/>
      <c r="DH5" s="8"/>
      <c r="DI5" s="8"/>
      <c r="DJ5" s="8"/>
      <c r="DK5" s="8"/>
      <c r="DL5" s="8"/>
      <c r="DM5" s="8"/>
      <c r="DN5" s="8"/>
      <c r="DO5" s="8"/>
      <c r="DP5" s="8"/>
      <c r="DQ5" s="8"/>
      <c r="DR5" s="8"/>
      <c r="DS5" s="8"/>
      <c r="DT5" s="8"/>
      <c r="DU5" s="8"/>
      <c r="DV5" s="8"/>
      <c r="DW5" s="8"/>
      <c r="DX5" s="8"/>
      <c r="DY5" s="8"/>
      <c r="DZ5" s="8"/>
      <c r="EA5" s="8"/>
      <c r="EB5" s="8"/>
      <c r="EC5" s="8"/>
      <c r="ED5" s="8"/>
      <c r="EE5" s="8"/>
      <c r="EF5" s="8"/>
      <c r="EG5" s="8"/>
      <c r="EH5" s="8"/>
      <c r="EI5" s="8"/>
      <c r="EJ5" s="8"/>
      <c r="EK5" s="8"/>
      <c r="EL5" s="8"/>
      <c r="EM5" s="8"/>
      <c r="EN5" s="8"/>
      <c r="EO5" s="8"/>
      <c r="EP5" s="8"/>
      <c r="EQ5" s="8"/>
      <c r="ER5" s="8"/>
      <c r="ES5" s="8"/>
      <c r="ET5" s="8"/>
      <c r="EU5" s="8"/>
      <c r="EV5" s="8"/>
      <c r="EW5" s="8"/>
      <c r="EX5" s="8"/>
      <c r="EY5" s="8"/>
      <c r="EZ5" s="8"/>
      <c r="FA5" s="8"/>
      <c r="FB5" s="8"/>
      <c r="FC5" s="8"/>
      <c r="FD5" s="8"/>
      <c r="FE5" s="8"/>
      <c r="FF5" s="8"/>
      <c r="FG5" s="8"/>
      <c r="FH5" s="8"/>
      <c r="FI5" s="8"/>
      <c r="FJ5" s="8"/>
      <c r="FK5" s="8"/>
      <c r="FL5" s="8"/>
      <c r="FM5" s="8"/>
      <c r="FN5" s="8"/>
      <c r="FO5" s="8"/>
      <c r="FP5" s="8"/>
      <c r="FQ5" s="8"/>
      <c r="FR5" s="8"/>
      <c r="FS5" s="8"/>
      <c r="FT5" s="8"/>
      <c r="FU5" s="8"/>
      <c r="FV5" s="8"/>
      <c r="FW5" s="8"/>
      <c r="FX5" s="8"/>
      <c r="FY5" s="8"/>
      <c r="FZ5" s="8"/>
      <c r="GA5" s="8"/>
      <c r="GB5" s="8"/>
      <c r="GC5" s="8"/>
      <c r="GD5" s="8"/>
      <c r="GE5" s="8"/>
      <c r="GF5" s="8"/>
      <c r="GG5" s="8"/>
      <c r="GH5" s="8"/>
      <c r="GI5" s="8"/>
      <c r="GJ5" s="8"/>
      <c r="GK5" s="8"/>
      <c r="GL5" s="8"/>
      <c r="GM5" s="8"/>
      <c r="GN5" s="8"/>
      <c r="GO5" s="8"/>
      <c r="GP5" s="8"/>
      <c r="GQ5" s="8"/>
      <c r="GR5" s="8"/>
      <c r="GS5" s="8"/>
      <c r="GT5" s="8"/>
      <c r="GU5" s="8"/>
      <c r="GV5" s="8"/>
      <c r="GW5" s="8"/>
      <c r="GX5" s="8"/>
      <c r="GY5" s="8"/>
      <c r="GZ5" s="8"/>
      <c r="HA5" s="8"/>
      <c r="HB5" s="8"/>
      <c r="HC5" s="8"/>
      <c r="HD5" s="8"/>
      <c r="HE5" s="8"/>
      <c r="HF5" s="8"/>
      <c r="HG5" s="8"/>
      <c r="HH5" s="8"/>
      <c r="HI5" s="8"/>
      <c r="HJ5" s="8"/>
      <c r="HK5" s="8"/>
      <c r="HL5" s="8"/>
      <c r="HM5" s="8"/>
      <c r="HN5" s="8"/>
      <c r="HO5" s="8"/>
      <c r="HP5" s="8"/>
      <c r="HQ5" s="8"/>
      <c r="HR5" s="8"/>
      <c r="HS5" s="8"/>
      <c r="HT5" s="8"/>
      <c r="HU5" s="8"/>
      <c r="HV5" s="8"/>
      <c r="HW5" s="8"/>
      <c r="HX5" s="8"/>
      <c r="HY5" s="8"/>
      <c r="HZ5" s="8"/>
      <c r="IA5" s="8"/>
      <c r="IB5" s="8"/>
      <c r="IC5" s="8"/>
      <c r="ID5" s="8"/>
      <c r="IE5" s="8"/>
      <c r="IF5" s="8"/>
      <c r="IG5" s="8"/>
      <c r="IH5" s="8"/>
      <c r="II5" s="8"/>
      <c r="IJ5" s="8"/>
      <c r="IK5" s="8"/>
      <c r="IL5" s="8"/>
      <c r="IM5" s="8"/>
      <c r="IN5" s="8"/>
      <c r="IO5" s="8"/>
      <c r="IP5" s="8"/>
      <c r="IQ5" s="8"/>
      <c r="IR5" s="8"/>
      <c r="IS5" s="8"/>
      <c r="IT5" s="8"/>
      <c r="IU5" s="8"/>
      <c r="IV5" s="8"/>
      <c r="IW5" s="8"/>
      <c r="IX5" s="8"/>
      <c r="IY5" s="8"/>
      <c r="IZ5" s="8"/>
      <c r="JA5" s="8"/>
      <c r="JB5" s="8"/>
      <c r="JC5" s="8"/>
      <c r="JD5" s="8"/>
      <c r="JE5" s="8"/>
      <c r="JF5" s="8"/>
      <c r="JG5" s="8"/>
      <c r="JH5" s="8"/>
      <c r="JI5" s="8"/>
      <c r="JJ5" s="8"/>
      <c r="JK5" s="8"/>
      <c r="JL5" s="8"/>
      <c r="JM5" s="8"/>
      <c r="JN5" s="8"/>
      <c r="JO5" s="8"/>
      <c r="JP5" s="8"/>
      <c r="JQ5" s="8"/>
      <c r="JR5" s="8"/>
      <c r="JS5" s="8"/>
      <c r="JT5" s="8"/>
      <c r="JU5" s="8"/>
      <c r="JV5" s="8"/>
      <c r="JW5" s="8"/>
      <c r="JX5" s="8"/>
      <c r="JY5" s="8"/>
      <c r="JZ5" s="8"/>
      <c r="KA5" s="8"/>
      <c r="KB5" s="8"/>
      <c r="KC5" s="8"/>
      <c r="KD5" s="8"/>
      <c r="KE5" s="8"/>
      <c r="KF5" s="8"/>
      <c r="KG5" s="8"/>
      <c r="KH5" s="8"/>
      <c r="KI5" s="8"/>
      <c r="KJ5" s="8"/>
      <c r="KK5" s="8"/>
      <c r="KL5" s="8"/>
      <c r="KM5" s="8"/>
      <c r="KN5" s="8"/>
      <c r="KO5" s="8"/>
      <c r="KP5" s="8"/>
      <c r="KQ5" s="8"/>
      <c r="KR5" s="8"/>
      <c r="KS5" s="8"/>
      <c r="KT5" s="8"/>
      <c r="KU5" s="8"/>
      <c r="KV5" s="8"/>
      <c r="KW5" s="8"/>
      <c r="KX5" s="8"/>
      <c r="KY5" s="8"/>
      <c r="KZ5" s="8"/>
      <c r="LA5" s="8"/>
      <c r="LB5" s="8"/>
      <c r="LC5" s="8"/>
      <c r="LD5" s="8"/>
      <c r="LE5" s="8"/>
      <c r="LF5" s="8"/>
      <c r="LG5" s="8"/>
      <c r="LH5" s="8"/>
      <c r="LI5" s="8"/>
      <c r="LJ5" s="8"/>
      <c r="LK5" s="8"/>
      <c r="LL5" s="8"/>
      <c r="LM5" s="8"/>
      <c r="LN5" s="8"/>
      <c r="LO5" s="8"/>
      <c r="LP5" s="8"/>
      <c r="LQ5" s="8"/>
      <c r="LR5" s="8"/>
      <c r="LS5" s="8"/>
      <c r="LT5" s="8"/>
      <c r="LU5" s="8"/>
      <c r="LV5" s="8"/>
      <c r="LW5" s="8"/>
      <c r="LX5" s="8"/>
      <c r="LY5" s="8"/>
      <c r="LZ5" s="8"/>
      <c r="MA5" s="8"/>
      <c r="MB5" s="8"/>
      <c r="MC5" s="8"/>
      <c r="MD5" s="8"/>
      <c r="ME5" s="8"/>
      <c r="MF5" s="8"/>
      <c r="MG5" s="8"/>
    </row>
    <row r="6" spans="1:345" s="1" customFormat="1" ht="35.5" thickBot="1" x14ac:dyDescent="0.75">
      <c r="A6" s="7"/>
      <c r="B6" s="11"/>
      <c r="C6" s="11"/>
      <c r="D6" s="61" t="s">
        <v>563</v>
      </c>
      <c r="E6" s="65" t="s">
        <v>565</v>
      </c>
      <c r="F6" s="8"/>
      <c r="G6" s="8"/>
      <c r="H6" s="8"/>
      <c r="I6" s="8"/>
      <c r="J6" s="8"/>
      <c r="K6" s="8"/>
      <c r="L6" s="8"/>
      <c r="M6" s="8"/>
      <c r="N6" s="8"/>
      <c r="O6" s="8"/>
      <c r="P6" s="8"/>
      <c r="Q6" s="8"/>
      <c r="R6" s="8"/>
      <c r="S6" s="8"/>
      <c r="T6" s="8"/>
      <c r="U6" s="8"/>
      <c r="V6" s="8"/>
      <c r="W6" s="8"/>
      <c r="X6" s="8"/>
      <c r="Y6" s="8"/>
      <c r="Z6" s="8"/>
      <c r="AA6" s="8"/>
      <c r="AB6" s="8"/>
      <c r="AC6" s="8"/>
      <c r="AD6" s="8"/>
      <c r="AE6" s="8"/>
      <c r="AF6" s="8"/>
      <c r="AG6" s="8"/>
      <c r="AH6" s="8"/>
      <c r="AI6" s="8"/>
      <c r="AJ6" s="8"/>
      <c r="AK6" s="8"/>
      <c r="AL6" s="8"/>
      <c r="AM6" s="8"/>
      <c r="AN6" s="8"/>
      <c r="AO6" s="8"/>
      <c r="AP6" s="8"/>
      <c r="AQ6" s="8"/>
      <c r="AR6" s="8"/>
      <c r="AS6" s="8"/>
      <c r="AT6" s="8"/>
      <c r="AU6" s="8"/>
      <c r="AV6" s="8"/>
      <c r="AW6" s="8"/>
      <c r="AX6" s="8"/>
      <c r="AY6" s="8"/>
      <c r="AZ6" s="8"/>
      <c r="BA6" s="8"/>
      <c r="BB6" s="8"/>
      <c r="BC6" s="8"/>
      <c r="BD6" s="8"/>
      <c r="BE6" s="8"/>
      <c r="BF6" s="8"/>
      <c r="BG6" s="8"/>
      <c r="BH6" s="8"/>
      <c r="BI6" s="8"/>
      <c r="BJ6" s="8"/>
      <c r="BK6" s="8"/>
      <c r="BL6" s="8"/>
      <c r="BM6" s="8"/>
      <c r="BN6" s="8"/>
      <c r="BO6" s="8"/>
      <c r="BP6" s="8"/>
      <c r="BQ6" s="8"/>
      <c r="BR6" s="8"/>
      <c r="BS6" s="8"/>
      <c r="BT6" s="8"/>
      <c r="BU6" s="8"/>
      <c r="BV6" s="8"/>
      <c r="BW6" s="8"/>
      <c r="BX6" s="8"/>
      <c r="BY6" s="8"/>
      <c r="BZ6" s="8"/>
      <c r="CA6" s="8"/>
      <c r="CB6" s="8"/>
      <c r="CC6" s="8"/>
      <c r="CD6" s="8"/>
      <c r="CE6" s="8"/>
      <c r="CF6" s="8"/>
      <c r="CG6" s="8"/>
      <c r="CH6" s="8"/>
      <c r="CI6" s="8"/>
      <c r="CJ6" s="8"/>
      <c r="CK6" s="8"/>
      <c r="CL6" s="8"/>
      <c r="CM6" s="8"/>
      <c r="CN6" s="8"/>
      <c r="CO6" s="8"/>
      <c r="CP6" s="8"/>
      <c r="CQ6" s="8"/>
      <c r="CR6" s="8"/>
      <c r="CS6" s="8"/>
      <c r="CT6" s="8"/>
      <c r="CU6" s="8"/>
      <c r="CV6" s="8"/>
      <c r="CW6" s="8"/>
      <c r="CX6" s="8"/>
      <c r="CY6" s="8"/>
      <c r="CZ6" s="8"/>
      <c r="DA6" s="8"/>
      <c r="DB6" s="8"/>
      <c r="DC6" s="8"/>
      <c r="DD6" s="8"/>
      <c r="DE6" s="8"/>
      <c r="DF6" s="8"/>
      <c r="DG6" s="8"/>
      <c r="DH6" s="8"/>
      <c r="DI6" s="8"/>
      <c r="DJ6" s="8"/>
      <c r="DK6" s="8"/>
      <c r="DL6" s="8"/>
      <c r="DM6" s="8"/>
      <c r="DN6" s="8"/>
      <c r="DO6" s="8"/>
      <c r="DP6" s="8"/>
      <c r="DQ6" s="8"/>
      <c r="DR6" s="8"/>
      <c r="DS6" s="8"/>
      <c r="DT6" s="8"/>
      <c r="DU6" s="8"/>
      <c r="DV6" s="8"/>
      <c r="DW6" s="8"/>
      <c r="DX6" s="8"/>
      <c r="DY6" s="8"/>
      <c r="DZ6" s="8"/>
      <c r="EA6" s="8"/>
      <c r="EB6" s="8"/>
      <c r="EC6" s="8"/>
      <c r="ED6" s="8"/>
      <c r="EE6" s="8"/>
      <c r="EF6" s="8"/>
      <c r="EG6" s="8"/>
      <c r="EH6" s="8"/>
      <c r="EI6" s="8"/>
      <c r="EJ6" s="8"/>
      <c r="EK6" s="8"/>
      <c r="EL6" s="8"/>
      <c r="EM6" s="8"/>
      <c r="EN6" s="8"/>
      <c r="EO6" s="8"/>
      <c r="EP6" s="8"/>
      <c r="EQ6" s="8"/>
      <c r="ER6" s="8"/>
      <c r="ES6" s="8"/>
      <c r="ET6" s="8"/>
      <c r="EU6" s="8"/>
      <c r="EV6" s="8"/>
      <c r="EW6" s="8"/>
      <c r="EX6" s="8"/>
      <c r="EY6" s="8"/>
      <c r="EZ6" s="8"/>
      <c r="FA6" s="8"/>
      <c r="FB6" s="8"/>
      <c r="FC6" s="8"/>
      <c r="FD6" s="8"/>
      <c r="FE6" s="8"/>
      <c r="FF6" s="8"/>
      <c r="FG6" s="8"/>
      <c r="FH6" s="8"/>
      <c r="FI6" s="8"/>
      <c r="FJ6" s="8"/>
      <c r="FK6" s="8"/>
      <c r="FL6" s="8"/>
      <c r="FM6" s="8"/>
      <c r="FN6" s="8"/>
      <c r="FO6" s="8"/>
      <c r="FP6" s="8"/>
      <c r="FQ6" s="8"/>
      <c r="FR6" s="8"/>
      <c r="FS6" s="8"/>
      <c r="FT6" s="8"/>
      <c r="FU6" s="8"/>
      <c r="FV6" s="8"/>
      <c r="FW6" s="8"/>
      <c r="FX6" s="8"/>
      <c r="FY6" s="8"/>
      <c r="FZ6" s="8"/>
      <c r="GA6" s="8"/>
      <c r="GB6" s="8"/>
      <c r="GC6" s="8"/>
      <c r="GD6" s="8"/>
      <c r="GE6" s="8"/>
      <c r="GF6" s="8"/>
      <c r="GG6" s="8"/>
      <c r="GH6" s="8"/>
      <c r="GI6" s="8"/>
      <c r="GJ6" s="8"/>
      <c r="GK6" s="8"/>
      <c r="GL6" s="8"/>
      <c r="GM6" s="8"/>
      <c r="GN6" s="8"/>
      <c r="GO6" s="8"/>
      <c r="GP6" s="8"/>
      <c r="GQ6" s="8"/>
      <c r="GR6" s="8"/>
      <c r="GS6" s="8"/>
      <c r="GT6" s="8"/>
      <c r="GU6" s="8"/>
      <c r="GV6" s="8"/>
      <c r="GW6" s="8"/>
      <c r="GX6" s="8"/>
      <c r="GY6" s="8"/>
      <c r="GZ6" s="8"/>
      <c r="HA6" s="8"/>
      <c r="HB6" s="8"/>
      <c r="HC6" s="8"/>
      <c r="HD6" s="8"/>
      <c r="HE6" s="8"/>
      <c r="HF6" s="8"/>
      <c r="HG6" s="8"/>
      <c r="HH6" s="8"/>
      <c r="HI6" s="8"/>
      <c r="HJ6" s="8"/>
      <c r="HK6" s="8"/>
      <c r="HL6" s="8"/>
      <c r="HM6" s="8"/>
      <c r="HN6" s="8"/>
      <c r="HO6" s="8"/>
      <c r="HP6" s="8"/>
      <c r="HQ6" s="8"/>
      <c r="HR6" s="8"/>
      <c r="HS6" s="8"/>
      <c r="HT6" s="8"/>
      <c r="HU6" s="8"/>
      <c r="HV6" s="8"/>
      <c r="HW6" s="8"/>
      <c r="HX6" s="8"/>
      <c r="HY6" s="8"/>
      <c r="HZ6" s="8"/>
      <c r="IA6" s="8"/>
      <c r="IB6" s="8"/>
      <c r="IC6" s="8"/>
      <c r="ID6" s="8"/>
      <c r="IE6" s="8"/>
      <c r="IF6" s="8"/>
      <c r="IG6" s="8"/>
      <c r="IH6" s="8"/>
      <c r="II6" s="8"/>
      <c r="IJ6" s="8"/>
      <c r="IK6" s="8"/>
      <c r="IL6" s="8"/>
      <c r="IM6" s="8"/>
      <c r="IN6" s="8"/>
      <c r="IO6" s="8"/>
      <c r="IP6" s="8"/>
      <c r="IQ6" s="8"/>
      <c r="IR6" s="8"/>
      <c r="IS6" s="8"/>
      <c r="IT6" s="8"/>
      <c r="IU6" s="8"/>
      <c r="IV6" s="8"/>
      <c r="IW6" s="8"/>
      <c r="IX6" s="8"/>
      <c r="IY6" s="8"/>
      <c r="IZ6" s="8"/>
      <c r="JA6" s="8"/>
      <c r="JB6" s="8"/>
      <c r="JC6" s="8"/>
      <c r="JD6" s="8"/>
      <c r="JE6" s="8"/>
      <c r="JF6" s="8"/>
      <c r="JG6" s="8"/>
      <c r="JH6" s="8"/>
      <c r="JI6" s="8"/>
      <c r="JJ6" s="8"/>
      <c r="JK6" s="8"/>
      <c r="JL6" s="8"/>
      <c r="JM6" s="8"/>
      <c r="JN6" s="8"/>
      <c r="JO6" s="8"/>
      <c r="JP6" s="8"/>
      <c r="JQ6" s="8"/>
      <c r="JR6" s="8"/>
      <c r="JS6" s="8"/>
      <c r="JT6" s="8"/>
      <c r="JU6" s="8"/>
      <c r="JV6" s="8"/>
      <c r="JW6" s="8"/>
      <c r="JX6" s="8"/>
      <c r="JY6" s="8"/>
      <c r="JZ6" s="8"/>
      <c r="KA6" s="8"/>
      <c r="KB6" s="8"/>
      <c r="KC6" s="8"/>
      <c r="KD6" s="8"/>
      <c r="KE6" s="8"/>
      <c r="KF6" s="8"/>
      <c r="KG6" s="8"/>
      <c r="KH6" s="8"/>
      <c r="KI6" s="8"/>
      <c r="KJ6" s="8"/>
      <c r="KK6" s="8"/>
      <c r="KL6" s="8"/>
      <c r="KM6" s="8"/>
      <c r="KN6" s="8"/>
      <c r="KO6" s="8"/>
      <c r="KP6" s="8"/>
      <c r="KQ6" s="8"/>
      <c r="KR6" s="8"/>
      <c r="KS6" s="8"/>
      <c r="KT6" s="8"/>
      <c r="KU6" s="8"/>
      <c r="KV6" s="8"/>
      <c r="KW6" s="8"/>
      <c r="KX6" s="8"/>
      <c r="KY6" s="8"/>
      <c r="KZ6" s="8"/>
      <c r="LA6" s="8"/>
      <c r="LB6" s="8"/>
      <c r="LC6" s="8"/>
      <c r="LD6" s="8"/>
      <c r="LE6" s="8"/>
      <c r="LF6" s="8"/>
      <c r="LG6" s="8"/>
      <c r="LH6" s="8"/>
      <c r="LI6" s="8"/>
      <c r="LJ6" s="8"/>
      <c r="LK6" s="8"/>
      <c r="LL6" s="8"/>
      <c r="LM6" s="8"/>
      <c r="LN6" s="8"/>
      <c r="LO6" s="8"/>
      <c r="LP6" s="8"/>
      <c r="LQ6" s="8"/>
      <c r="LR6" s="8"/>
      <c r="LS6" s="8"/>
      <c r="LT6" s="8"/>
      <c r="LU6" s="8"/>
      <c r="LV6" s="8"/>
      <c r="LW6" s="8"/>
      <c r="LX6" s="8"/>
      <c r="LY6" s="8"/>
      <c r="LZ6" s="8"/>
      <c r="MA6" s="8"/>
      <c r="MB6" s="8"/>
      <c r="MC6" s="8"/>
      <c r="MD6" s="8"/>
      <c r="ME6" s="8"/>
      <c r="MF6" s="8"/>
      <c r="MG6" s="8"/>
    </row>
    <row r="7" spans="1:345" s="1" customFormat="1" ht="35.5" hidden="1" thickBot="1" x14ac:dyDescent="0.75">
      <c r="A7" s="7"/>
      <c r="C7" s="11"/>
      <c r="D7" s="11"/>
      <c r="E7" s="8"/>
      <c r="F7" s="8"/>
      <c r="G7" s="8"/>
      <c r="H7" s="8"/>
      <c r="I7" s="8"/>
      <c r="J7" s="8"/>
      <c r="K7" s="8"/>
      <c r="L7" s="8"/>
      <c r="M7" s="8"/>
      <c r="N7" s="8"/>
      <c r="O7" s="8"/>
      <c r="P7" s="8"/>
      <c r="Q7" s="8"/>
      <c r="R7" s="8"/>
      <c r="S7" s="8"/>
      <c r="T7" s="8"/>
      <c r="U7" s="8"/>
      <c r="V7" s="8"/>
      <c r="W7" s="8"/>
      <c r="X7" s="8"/>
      <c r="Y7" s="8"/>
      <c r="Z7" s="8"/>
      <c r="AA7" s="8"/>
      <c r="AB7" s="8"/>
      <c r="AC7" s="8"/>
      <c r="AD7" s="8"/>
      <c r="AE7" s="8"/>
      <c r="AF7" s="8"/>
      <c r="AG7" s="8"/>
      <c r="AH7" s="8"/>
      <c r="AI7" s="8"/>
      <c r="AJ7" s="8"/>
      <c r="AK7" s="8"/>
      <c r="AL7" s="8"/>
      <c r="AM7" s="8"/>
      <c r="AN7" s="8"/>
      <c r="AO7" s="8"/>
      <c r="AP7" s="8"/>
      <c r="AQ7" s="8"/>
      <c r="AR7" s="8"/>
      <c r="AS7" s="8"/>
      <c r="AT7" s="8"/>
      <c r="AU7" s="8"/>
      <c r="AV7" s="8"/>
      <c r="AW7" s="8"/>
      <c r="AX7" s="8"/>
      <c r="AY7" s="8"/>
      <c r="AZ7" s="8"/>
      <c r="BA7" s="8"/>
      <c r="BB7" s="8"/>
      <c r="BC7" s="8"/>
      <c r="BD7" s="8"/>
      <c r="BE7" s="8"/>
      <c r="BF7" s="8"/>
      <c r="BG7" s="8"/>
      <c r="BH7" s="8"/>
      <c r="BI7" s="8"/>
      <c r="BJ7" s="8"/>
      <c r="BK7" s="8"/>
      <c r="BL7" s="8"/>
      <c r="BM7" s="8"/>
      <c r="BN7" s="8"/>
      <c r="BO7" s="8"/>
      <c r="BP7" s="8"/>
      <c r="BQ7" s="8"/>
      <c r="BR7" s="8"/>
      <c r="BS7" s="8"/>
      <c r="BT7" s="8"/>
      <c r="BU7" s="8"/>
      <c r="BV7" s="8"/>
      <c r="BW7" s="8"/>
      <c r="BX7" s="8"/>
      <c r="BY7" s="8"/>
      <c r="BZ7" s="8"/>
      <c r="CA7" s="8"/>
      <c r="CB7" s="8"/>
      <c r="CC7" s="8"/>
      <c r="CD7" s="8"/>
      <c r="CE7" s="8"/>
      <c r="CF7" s="8"/>
      <c r="CG7" s="8"/>
      <c r="CH7" s="8"/>
      <c r="CI7" s="8"/>
      <c r="CJ7" s="8"/>
      <c r="CK7" s="8"/>
      <c r="CL7" s="8"/>
      <c r="CM7" s="8"/>
      <c r="CN7" s="8"/>
      <c r="CO7" s="8"/>
      <c r="CP7" s="8"/>
      <c r="CQ7" s="8"/>
      <c r="CR7" s="8"/>
      <c r="CS7" s="8"/>
      <c r="CT7" s="8"/>
      <c r="CU7" s="8"/>
      <c r="CV7" s="8"/>
      <c r="CW7" s="8"/>
      <c r="CX7" s="8"/>
      <c r="CY7" s="8"/>
      <c r="CZ7" s="8"/>
      <c r="DA7" s="8"/>
      <c r="DB7" s="8"/>
      <c r="DC7" s="8"/>
      <c r="DD7" s="8"/>
      <c r="DE7" s="8"/>
      <c r="DF7" s="8"/>
      <c r="DG7" s="8"/>
      <c r="DH7" s="8"/>
      <c r="DI7" s="8"/>
      <c r="DJ7" s="8"/>
      <c r="DK7" s="8"/>
      <c r="DL7" s="8"/>
      <c r="DM7" s="8"/>
      <c r="DN7" s="8"/>
      <c r="DO7" s="8"/>
      <c r="DP7" s="8"/>
      <c r="DQ7" s="8"/>
      <c r="DR7" s="8"/>
      <c r="DS7" s="8"/>
      <c r="DT7" s="8"/>
      <c r="DU7" s="8"/>
      <c r="DV7" s="8"/>
      <c r="DW7" s="8"/>
      <c r="DX7" s="8"/>
      <c r="DY7" s="8"/>
      <c r="DZ7" s="8"/>
      <c r="EA7" s="8"/>
      <c r="EB7" s="8"/>
      <c r="EC7" s="8"/>
      <c r="ED7" s="8"/>
      <c r="EE7" s="8"/>
      <c r="EF7" s="8"/>
      <c r="EG7" s="8"/>
      <c r="EH7" s="8"/>
      <c r="EI7" s="8"/>
      <c r="EJ7" s="8"/>
      <c r="EK7" s="8"/>
      <c r="EL7" s="8"/>
      <c r="EM7" s="8"/>
      <c r="EN7" s="8"/>
      <c r="EO7" s="8"/>
      <c r="EP7" s="8"/>
      <c r="EQ7" s="8"/>
      <c r="ER7" s="8"/>
      <c r="ES7" s="8"/>
      <c r="ET7" s="8"/>
      <c r="EU7" s="8"/>
      <c r="EV7" s="8"/>
      <c r="EW7" s="8"/>
      <c r="EX7" s="8"/>
      <c r="EY7" s="8"/>
      <c r="EZ7" s="8"/>
      <c r="FA7" s="8"/>
      <c r="FB7" s="8"/>
      <c r="FC7" s="8"/>
      <c r="FD7" s="8"/>
      <c r="FE7" s="8"/>
      <c r="FF7" s="8"/>
      <c r="FG7" s="8"/>
      <c r="FH7" s="8"/>
      <c r="FI7" s="8"/>
      <c r="FJ7" s="8"/>
      <c r="FK7" s="8"/>
      <c r="FL7" s="8"/>
      <c r="FM7" s="8"/>
      <c r="FN7" s="8"/>
      <c r="FO7" s="8"/>
      <c r="FP7" s="8"/>
      <c r="FQ7" s="8"/>
      <c r="FR7" s="8"/>
      <c r="FS7" s="8"/>
      <c r="FT7" s="8"/>
      <c r="FU7" s="8"/>
      <c r="FV7" s="8"/>
      <c r="FW7" s="8"/>
      <c r="FX7" s="8"/>
      <c r="FY7" s="8"/>
      <c r="FZ7" s="8"/>
      <c r="GA7" s="8"/>
      <c r="GB7" s="8"/>
      <c r="GC7" s="8"/>
      <c r="GD7" s="8"/>
      <c r="GE7" s="8"/>
      <c r="GF7" s="8"/>
      <c r="GG7" s="8"/>
      <c r="GH7" s="8"/>
      <c r="GI7" s="8"/>
      <c r="GJ7" s="8"/>
      <c r="GK7" s="8"/>
      <c r="GL7" s="8"/>
      <c r="GM7" s="8"/>
      <c r="GN7" s="8"/>
      <c r="GO7" s="8"/>
      <c r="GP7" s="8"/>
      <c r="GQ7" s="8"/>
      <c r="GR7" s="8"/>
      <c r="GS7" s="8"/>
      <c r="GT7" s="8"/>
      <c r="GU7" s="8"/>
      <c r="GV7" s="8"/>
      <c r="GW7" s="8"/>
      <c r="GX7" s="8"/>
      <c r="GY7" s="8"/>
      <c r="GZ7" s="8"/>
      <c r="HA7" s="8"/>
      <c r="HB7" s="8"/>
      <c r="HC7" s="8"/>
      <c r="HD7" s="8"/>
      <c r="HE7" s="8"/>
      <c r="HF7" s="8"/>
      <c r="HG7" s="8"/>
      <c r="HH7" s="8"/>
      <c r="HI7" s="8"/>
      <c r="HJ7" s="8"/>
      <c r="HK7" s="8"/>
      <c r="HL7" s="8"/>
      <c r="HM7" s="8"/>
      <c r="HN7" s="8"/>
      <c r="HO7" s="8"/>
      <c r="HP7" s="8"/>
      <c r="HQ7" s="8"/>
      <c r="HR7" s="8"/>
      <c r="HS7" s="8"/>
      <c r="HT7" s="8"/>
      <c r="HU7" s="8"/>
      <c r="HV7" s="8"/>
      <c r="HW7" s="8"/>
      <c r="HX7" s="8"/>
      <c r="HY7" s="8"/>
      <c r="HZ7" s="8"/>
      <c r="IA7" s="8"/>
      <c r="IB7" s="8"/>
      <c r="IC7" s="8"/>
      <c r="ID7" s="8"/>
      <c r="IE7" s="8"/>
      <c r="IF7" s="8"/>
      <c r="IG7" s="8"/>
      <c r="IH7" s="8"/>
      <c r="II7" s="8"/>
      <c r="IJ7" s="8"/>
      <c r="IK7" s="8"/>
      <c r="IL7" s="8"/>
      <c r="IM7" s="8"/>
      <c r="IN7" s="8"/>
      <c r="IO7" s="8"/>
      <c r="IP7" s="8"/>
      <c r="IQ7" s="8"/>
      <c r="IR7" s="8"/>
      <c r="IS7" s="8"/>
      <c r="IT7" s="8"/>
      <c r="IU7" s="8"/>
      <c r="IV7" s="8"/>
      <c r="IW7" s="8"/>
      <c r="IX7" s="8"/>
      <c r="IY7" s="8"/>
      <c r="IZ7" s="8"/>
      <c r="JA7" s="8"/>
      <c r="JB7" s="8"/>
      <c r="JC7" s="8"/>
      <c r="JD7" s="8"/>
      <c r="JE7" s="8"/>
      <c r="JF7" s="8"/>
      <c r="JG7" s="8"/>
      <c r="JH7" s="8"/>
      <c r="JI7" s="8"/>
      <c r="JJ7" s="8"/>
      <c r="JK7" s="8"/>
      <c r="JL7" s="8"/>
      <c r="JM7" s="8"/>
      <c r="JN7" s="8"/>
      <c r="JO7" s="8"/>
      <c r="JP7" s="8"/>
      <c r="JQ7" s="8"/>
      <c r="JR7" s="8"/>
      <c r="JS7" s="8"/>
      <c r="JT7" s="8"/>
      <c r="JU7" s="8"/>
      <c r="JV7" s="8"/>
      <c r="JW7" s="8"/>
      <c r="JX7" s="8"/>
      <c r="JY7" s="8"/>
      <c r="JZ7" s="8"/>
      <c r="KA7" s="8"/>
      <c r="KB7" s="8"/>
      <c r="KC7" s="8"/>
      <c r="KD7" s="8"/>
      <c r="KE7" s="8"/>
      <c r="KF7" s="8"/>
      <c r="KG7" s="8"/>
      <c r="KH7" s="8"/>
      <c r="KI7" s="8"/>
      <c r="KJ7" s="8"/>
      <c r="KK7" s="8"/>
      <c r="KL7" s="8"/>
      <c r="KM7" s="8"/>
      <c r="KN7" s="8"/>
      <c r="KO7" s="8"/>
      <c r="KP7" s="8"/>
      <c r="KQ7" s="8"/>
      <c r="KR7" s="8"/>
      <c r="KS7" s="8"/>
      <c r="KT7" s="8"/>
      <c r="KU7" s="8"/>
      <c r="KV7" s="8"/>
      <c r="KW7" s="8"/>
      <c r="KX7" s="8"/>
      <c r="KY7" s="8"/>
      <c r="KZ7" s="8"/>
      <c r="LA7" s="8"/>
      <c r="LB7" s="8"/>
      <c r="LC7" s="8"/>
      <c r="LD7" s="8"/>
      <c r="LE7" s="8"/>
      <c r="LF7" s="8"/>
      <c r="LG7" s="8"/>
      <c r="LH7" s="8"/>
      <c r="LI7" s="8"/>
      <c r="LJ7" s="8"/>
      <c r="LK7" s="8"/>
      <c r="LL7" s="8"/>
      <c r="LM7" s="8"/>
      <c r="LN7" s="8"/>
      <c r="LO7" s="8"/>
      <c r="LP7" s="8"/>
      <c r="LQ7" s="8"/>
      <c r="LR7" s="8"/>
      <c r="LS7" s="8"/>
      <c r="LT7" s="8"/>
      <c r="LU7" s="8"/>
      <c r="LV7" s="8"/>
      <c r="LW7" s="8"/>
      <c r="LX7" s="8"/>
      <c r="LY7" s="8"/>
      <c r="LZ7" s="8"/>
      <c r="MA7" s="8"/>
      <c r="MB7" s="8"/>
      <c r="MC7" s="8"/>
      <c r="MD7" s="8"/>
      <c r="ME7" s="8"/>
      <c r="MF7" s="8"/>
      <c r="MG7" s="8"/>
    </row>
    <row r="8" spans="1:345" s="1" customFormat="1" ht="16" hidden="1" thickBot="1" x14ac:dyDescent="0.3">
      <c r="A8" s="7"/>
      <c r="B8" s="13" t="s">
        <v>8</v>
      </c>
      <c r="C8" s="12" t="s">
        <v>41</v>
      </c>
      <c r="D8" s="14" t="s">
        <v>278</v>
      </c>
      <c r="E8" s="8"/>
      <c r="F8" s="8"/>
      <c r="G8" s="8"/>
      <c r="H8" s="8"/>
      <c r="I8" s="8"/>
      <c r="J8" s="8"/>
      <c r="K8" s="8"/>
      <c r="L8" s="8"/>
      <c r="M8" s="8"/>
      <c r="N8" s="8"/>
      <c r="O8" s="8"/>
    </row>
    <row r="9" spans="1:345" s="1" customFormat="1" ht="16" hidden="1" thickBot="1" x14ac:dyDescent="0.3">
      <c r="A9" s="7"/>
      <c r="B9" s="13" t="s">
        <v>9</v>
      </c>
      <c r="C9" s="12" t="s">
        <v>42</v>
      </c>
      <c r="D9" s="15" t="s">
        <v>206</v>
      </c>
      <c r="E9" s="8"/>
      <c r="F9" s="8"/>
      <c r="G9" s="8"/>
      <c r="H9" s="8"/>
      <c r="I9" s="8"/>
      <c r="J9" s="8"/>
      <c r="K9" s="8"/>
      <c r="L9" s="8"/>
      <c r="M9" s="8"/>
      <c r="N9" s="8"/>
      <c r="O9" s="8"/>
    </row>
    <row r="10" spans="1:345" s="1" customFormat="1" ht="35.5" hidden="1" thickBot="1" x14ac:dyDescent="0.75">
      <c r="A10" s="7"/>
      <c r="B10" s="13" t="s">
        <v>10</v>
      </c>
      <c r="C10" s="11"/>
      <c r="D10" s="16" t="s">
        <v>4442</v>
      </c>
      <c r="E10" s="8"/>
      <c r="F10" s="8"/>
      <c r="G10" s="8"/>
      <c r="H10" s="8"/>
      <c r="I10" s="8"/>
      <c r="J10" s="8"/>
      <c r="K10" s="8"/>
      <c r="L10" s="8"/>
      <c r="M10" s="8"/>
      <c r="N10" s="8"/>
      <c r="O10" s="8"/>
    </row>
    <row r="11" spans="1:345" s="1" customFormat="1" ht="35.5" hidden="1" thickBot="1" x14ac:dyDescent="0.75">
      <c r="A11" s="7"/>
      <c r="B11" s="13" t="s">
        <v>11</v>
      </c>
      <c r="C11" s="11"/>
      <c r="D11" s="109" t="s">
        <v>4443</v>
      </c>
      <c r="E11" s="8"/>
      <c r="F11" s="8"/>
      <c r="G11" s="8"/>
      <c r="H11" s="8"/>
      <c r="I11" s="8"/>
      <c r="J11" s="8"/>
      <c r="K11" s="8"/>
      <c r="L11" s="8"/>
      <c r="M11" s="8"/>
      <c r="N11" s="8"/>
      <c r="O11" s="8"/>
    </row>
    <row r="12" spans="1:345" s="1" customFormat="1" ht="35.5" hidden="1" thickBot="1" x14ac:dyDescent="0.75">
      <c r="A12" s="7"/>
      <c r="B12" s="131">
        <f ca="1">TODAY()</f>
        <v>44473</v>
      </c>
      <c r="C12" s="131"/>
      <c r="D12" s="11"/>
      <c r="E12" s="8"/>
      <c r="F12" s="8"/>
      <c r="G12" s="8"/>
      <c r="H12" s="8"/>
      <c r="I12" s="8"/>
      <c r="J12" s="8"/>
      <c r="K12" s="8"/>
      <c r="L12" s="8"/>
      <c r="M12" s="8"/>
      <c r="N12" s="8"/>
      <c r="O12" s="8"/>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c r="CK12" s="8"/>
      <c r="CL12" s="8"/>
      <c r="CM12" s="8"/>
      <c r="CN12" s="8"/>
      <c r="CO12" s="8"/>
      <c r="CP12" s="8"/>
      <c r="CQ12" s="8"/>
      <c r="CR12" s="8"/>
      <c r="CS12" s="8"/>
      <c r="CT12" s="8"/>
      <c r="CU12" s="8"/>
      <c r="CV12" s="8"/>
      <c r="CW12" s="8"/>
      <c r="CX12" s="8"/>
      <c r="CY12" s="8"/>
      <c r="CZ12" s="8"/>
      <c r="DA12" s="8"/>
      <c r="DB12" s="8"/>
      <c r="DC12" s="8"/>
      <c r="DD12" s="8"/>
      <c r="DE12" s="8"/>
      <c r="DF12" s="8"/>
      <c r="DG12" s="8"/>
      <c r="DH12" s="8"/>
      <c r="DI12" s="8"/>
      <c r="DJ12" s="8"/>
      <c r="DK12" s="8"/>
      <c r="DL12" s="8"/>
      <c r="DM12" s="8"/>
      <c r="DN12" s="8"/>
      <c r="DO12" s="8"/>
      <c r="DP12" s="8"/>
      <c r="DQ12" s="8"/>
      <c r="DR12" s="8"/>
      <c r="DS12" s="8"/>
      <c r="DT12" s="8"/>
      <c r="DU12" s="8"/>
      <c r="DV12" s="8"/>
      <c r="DW12" s="8"/>
      <c r="DX12" s="8"/>
      <c r="DY12" s="8"/>
      <c r="DZ12" s="8"/>
      <c r="EA12" s="8"/>
      <c r="EB12" s="8"/>
      <c r="EC12" s="8"/>
      <c r="ED12" s="8"/>
      <c r="EE12" s="8"/>
      <c r="EF12" s="8"/>
      <c r="EG12" s="8"/>
      <c r="EH12" s="8"/>
      <c r="EI12" s="8"/>
      <c r="EJ12" s="8"/>
      <c r="EK12" s="8"/>
      <c r="EL12" s="8"/>
      <c r="EM12" s="8"/>
      <c r="EN12" s="8"/>
      <c r="EO12" s="8"/>
      <c r="EP12" s="8"/>
      <c r="EQ12" s="8"/>
      <c r="ER12" s="8"/>
      <c r="ES12" s="8"/>
      <c r="ET12" s="8"/>
      <c r="EU12" s="8"/>
      <c r="EV12" s="8"/>
      <c r="EW12" s="8"/>
      <c r="EX12" s="8"/>
      <c r="EY12" s="8"/>
      <c r="EZ12" s="8"/>
      <c r="FA12" s="8"/>
      <c r="FB12" s="8"/>
      <c r="FC12" s="8"/>
      <c r="FD12" s="8"/>
      <c r="FE12" s="8"/>
      <c r="FF12" s="8"/>
      <c r="FG12" s="8"/>
      <c r="FH12" s="8"/>
      <c r="FI12" s="8"/>
      <c r="FJ12" s="8"/>
      <c r="FK12" s="8"/>
      <c r="FL12" s="8"/>
      <c r="FM12" s="8"/>
      <c r="FN12" s="8"/>
      <c r="FO12" s="8"/>
      <c r="FP12" s="8"/>
      <c r="FQ12" s="8"/>
      <c r="FR12" s="8"/>
      <c r="FS12" s="8"/>
      <c r="FT12" s="8"/>
      <c r="FU12" s="8"/>
      <c r="FV12" s="8"/>
      <c r="FW12" s="8"/>
      <c r="FX12" s="8"/>
      <c r="FY12" s="8"/>
      <c r="FZ12" s="8"/>
      <c r="GA12" s="8"/>
      <c r="GB12" s="8"/>
      <c r="GC12" s="8"/>
      <c r="GD12" s="8"/>
      <c r="GE12" s="8"/>
      <c r="GF12" s="8"/>
      <c r="GG12" s="8"/>
      <c r="GH12" s="8"/>
      <c r="GI12" s="8"/>
      <c r="GJ12" s="8"/>
      <c r="GK12" s="8"/>
      <c r="GL12" s="8"/>
      <c r="GM12" s="8"/>
      <c r="GN12" s="8"/>
      <c r="GO12" s="8"/>
      <c r="GP12" s="8"/>
      <c r="GQ12" s="8"/>
      <c r="GR12" s="8"/>
      <c r="GS12" s="8"/>
      <c r="GT12" s="8"/>
      <c r="GU12" s="8"/>
      <c r="GV12" s="8"/>
      <c r="GW12" s="8"/>
      <c r="GX12" s="8"/>
      <c r="GY12" s="8"/>
      <c r="GZ12" s="8"/>
      <c r="HA12" s="8"/>
      <c r="HB12" s="8"/>
      <c r="HC12" s="8"/>
      <c r="HD12" s="8"/>
      <c r="HE12" s="8"/>
      <c r="HF12" s="8"/>
      <c r="HG12" s="8"/>
      <c r="HH12" s="8"/>
      <c r="HI12" s="8"/>
      <c r="HJ12" s="8"/>
      <c r="HK12" s="8"/>
      <c r="HL12" s="8"/>
      <c r="HM12" s="8"/>
      <c r="HN12" s="8"/>
      <c r="HO12" s="8"/>
      <c r="HP12" s="8"/>
      <c r="HQ12" s="8"/>
      <c r="HR12" s="8"/>
      <c r="HS12" s="8"/>
      <c r="HT12" s="8"/>
      <c r="HU12" s="8"/>
      <c r="HV12" s="8"/>
      <c r="HW12" s="8"/>
      <c r="HX12" s="8"/>
      <c r="HY12" s="8"/>
      <c r="HZ12" s="8"/>
      <c r="IA12" s="8"/>
      <c r="IB12" s="8"/>
      <c r="IC12" s="8"/>
      <c r="ID12" s="8"/>
      <c r="IE12" s="8"/>
      <c r="IF12" s="8"/>
      <c r="IG12" s="8"/>
      <c r="IH12" s="8"/>
      <c r="II12" s="8"/>
      <c r="IJ12" s="8"/>
      <c r="IK12" s="8"/>
      <c r="IL12" s="8"/>
      <c r="IM12" s="8"/>
      <c r="IN12" s="8"/>
      <c r="IO12" s="8"/>
      <c r="IP12" s="8"/>
      <c r="IQ12" s="8"/>
      <c r="IR12" s="8"/>
      <c r="IS12" s="8"/>
      <c r="IT12" s="8"/>
      <c r="IU12" s="8"/>
      <c r="IV12" s="8"/>
      <c r="IW12" s="8"/>
      <c r="IX12" s="8"/>
      <c r="IY12" s="8"/>
      <c r="IZ12" s="8"/>
      <c r="JA12" s="8"/>
      <c r="JB12" s="8"/>
      <c r="JC12" s="8"/>
      <c r="JD12" s="8"/>
      <c r="JE12" s="8"/>
      <c r="JF12" s="8"/>
      <c r="JG12" s="8"/>
      <c r="JH12" s="8"/>
      <c r="JI12" s="8"/>
      <c r="JJ12" s="8"/>
      <c r="JK12" s="8"/>
      <c r="JL12" s="8"/>
      <c r="JM12" s="8"/>
      <c r="JN12" s="8"/>
      <c r="JO12" s="8"/>
      <c r="JP12" s="8"/>
      <c r="JQ12" s="8"/>
      <c r="JR12" s="8"/>
      <c r="JS12" s="8"/>
      <c r="JT12" s="8"/>
      <c r="JU12" s="8"/>
      <c r="JV12" s="8"/>
      <c r="JW12" s="8"/>
      <c r="JX12" s="8"/>
      <c r="JY12" s="8"/>
      <c r="JZ12" s="8"/>
      <c r="KA12" s="8"/>
      <c r="KB12" s="8"/>
      <c r="KC12" s="8"/>
      <c r="KD12" s="8"/>
      <c r="KE12" s="8"/>
      <c r="KF12" s="8"/>
      <c r="KG12" s="8"/>
      <c r="KH12" s="8"/>
      <c r="KI12" s="8"/>
      <c r="KJ12" s="8"/>
      <c r="KK12" s="8"/>
      <c r="KL12" s="8"/>
      <c r="KM12" s="8"/>
      <c r="KN12" s="8"/>
      <c r="KO12" s="8"/>
      <c r="KP12" s="8"/>
      <c r="KQ12" s="8"/>
      <c r="KR12" s="8"/>
      <c r="KS12" s="8"/>
      <c r="KT12" s="8"/>
      <c r="KU12" s="8"/>
      <c r="KV12" s="8"/>
      <c r="KW12" s="8"/>
      <c r="KX12" s="8"/>
      <c r="KY12" s="8"/>
      <c r="KZ12" s="8"/>
      <c r="LA12" s="8"/>
      <c r="LB12" s="8"/>
      <c r="LC12" s="8"/>
      <c r="LD12" s="8"/>
      <c r="LE12" s="8"/>
      <c r="LF12" s="8"/>
      <c r="LG12" s="8"/>
      <c r="LH12" s="8"/>
      <c r="LI12" s="8"/>
      <c r="LJ12" s="8"/>
      <c r="LK12" s="8"/>
      <c r="LL12" s="8"/>
      <c r="LM12" s="8"/>
      <c r="LN12" s="8"/>
      <c r="LO12" s="8"/>
      <c r="LP12" s="8"/>
      <c r="LQ12" s="8"/>
      <c r="LR12" s="8"/>
      <c r="LS12" s="8"/>
      <c r="LT12" s="8"/>
      <c r="LU12" s="8"/>
      <c r="LV12" s="8"/>
      <c r="LW12" s="8"/>
      <c r="LX12" s="8"/>
      <c r="LY12" s="8"/>
      <c r="LZ12" s="8"/>
      <c r="MA12" s="8"/>
      <c r="MB12" s="8"/>
      <c r="MC12" s="8"/>
      <c r="MD12" s="8"/>
      <c r="ME12" s="8"/>
      <c r="MF12" s="8"/>
      <c r="MG12" s="8"/>
    </row>
    <row r="13" spans="1:345" s="1" customFormat="1" ht="13" hidden="1" thickBot="1" x14ac:dyDescent="0.3">
      <c r="A13" s="7"/>
      <c r="B13" s="129"/>
      <c r="C13" s="129"/>
      <c r="D13" s="129"/>
      <c r="E13" s="8"/>
      <c r="F13" s="8"/>
      <c r="G13" s="8"/>
      <c r="H13" s="8"/>
      <c r="I13" s="8"/>
      <c r="J13" s="8"/>
      <c r="K13" s="8"/>
      <c r="L13" s="8"/>
      <c r="M13" s="8"/>
      <c r="N13" s="8"/>
      <c r="O13" s="8"/>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c r="CK13" s="8"/>
      <c r="CL13" s="8"/>
      <c r="CM13" s="8"/>
      <c r="CN13" s="8"/>
      <c r="CO13" s="8"/>
      <c r="CP13" s="8"/>
      <c r="CQ13" s="8"/>
      <c r="CR13" s="8"/>
      <c r="CS13" s="8"/>
      <c r="CT13" s="8"/>
      <c r="CU13" s="8"/>
      <c r="CV13" s="8"/>
      <c r="CW13" s="8"/>
      <c r="CX13" s="8"/>
      <c r="CY13" s="8"/>
      <c r="CZ13" s="8"/>
      <c r="DA13" s="8"/>
      <c r="DB13" s="8"/>
      <c r="DC13" s="8"/>
      <c r="DD13" s="8"/>
      <c r="DE13" s="8"/>
      <c r="DF13" s="8"/>
      <c r="DG13" s="8"/>
      <c r="DH13" s="8"/>
      <c r="DI13" s="8"/>
      <c r="DJ13" s="8"/>
      <c r="DK13" s="8"/>
      <c r="DL13" s="8"/>
      <c r="DM13" s="8"/>
      <c r="DN13" s="8"/>
      <c r="DO13" s="8"/>
      <c r="DP13" s="8"/>
      <c r="DQ13" s="8"/>
      <c r="DR13" s="8"/>
      <c r="DS13" s="8"/>
      <c r="DT13" s="8"/>
      <c r="DU13" s="8"/>
      <c r="DV13" s="8"/>
      <c r="DW13" s="8"/>
      <c r="DX13" s="8"/>
      <c r="DY13" s="8"/>
      <c r="DZ13" s="8"/>
      <c r="EA13" s="8"/>
      <c r="EB13" s="8"/>
      <c r="EC13" s="8"/>
      <c r="ED13" s="8"/>
      <c r="EE13" s="8"/>
      <c r="EF13" s="8"/>
      <c r="EG13" s="8"/>
      <c r="EH13" s="8"/>
      <c r="EI13" s="8"/>
      <c r="EJ13" s="8"/>
      <c r="EK13" s="8"/>
      <c r="EL13" s="8"/>
      <c r="EM13" s="8"/>
      <c r="EN13" s="8"/>
      <c r="EO13" s="8"/>
      <c r="EP13" s="8"/>
      <c r="EQ13" s="8"/>
      <c r="ER13" s="8"/>
      <c r="ES13" s="8"/>
      <c r="ET13" s="8"/>
      <c r="EU13" s="8"/>
      <c r="EV13" s="8"/>
      <c r="EW13" s="8"/>
      <c r="EX13" s="8"/>
      <c r="EY13" s="8"/>
      <c r="EZ13" s="8"/>
      <c r="FA13" s="8"/>
      <c r="FB13" s="8"/>
      <c r="FC13" s="8"/>
      <c r="FD13" s="8"/>
      <c r="FE13" s="8"/>
      <c r="FF13" s="8"/>
      <c r="FG13" s="8"/>
      <c r="FH13" s="8"/>
      <c r="FI13" s="8"/>
      <c r="FJ13" s="8"/>
      <c r="FK13" s="8"/>
      <c r="FL13" s="8"/>
      <c r="FM13" s="8"/>
      <c r="FN13" s="8"/>
      <c r="FO13" s="8"/>
      <c r="FP13" s="8"/>
      <c r="FQ13" s="8"/>
      <c r="FR13" s="8"/>
      <c r="FS13" s="8"/>
      <c r="FT13" s="8"/>
      <c r="FU13" s="8"/>
      <c r="FV13" s="8"/>
      <c r="FW13" s="8"/>
      <c r="FX13" s="8"/>
      <c r="FY13" s="8"/>
      <c r="FZ13" s="8"/>
      <c r="GA13" s="8"/>
      <c r="GB13" s="8"/>
      <c r="GC13" s="8"/>
      <c r="GD13" s="8"/>
      <c r="GE13" s="8"/>
      <c r="GF13" s="8"/>
      <c r="GG13" s="8"/>
      <c r="GH13" s="8"/>
      <c r="GI13" s="8"/>
      <c r="GJ13" s="8"/>
      <c r="GK13" s="8"/>
      <c r="GL13" s="8"/>
      <c r="GM13" s="8"/>
      <c r="GN13" s="8"/>
      <c r="GO13" s="8"/>
      <c r="GP13" s="8"/>
      <c r="GQ13" s="8"/>
      <c r="GR13" s="8"/>
      <c r="GS13" s="8"/>
      <c r="GT13" s="8"/>
      <c r="GU13" s="8"/>
      <c r="GV13" s="8"/>
      <c r="GW13" s="8"/>
      <c r="GX13" s="8"/>
      <c r="GY13" s="8"/>
      <c r="GZ13" s="8"/>
      <c r="HA13" s="8"/>
      <c r="HB13" s="8"/>
      <c r="HC13" s="8"/>
      <c r="HD13" s="8"/>
      <c r="HE13" s="8"/>
      <c r="HF13" s="8"/>
      <c r="HG13" s="8"/>
      <c r="HH13" s="8"/>
      <c r="HI13" s="8"/>
      <c r="HJ13" s="8"/>
      <c r="HK13" s="8"/>
      <c r="HL13" s="8"/>
      <c r="HM13" s="8"/>
      <c r="HN13" s="8"/>
      <c r="HO13" s="8"/>
      <c r="HP13" s="8"/>
      <c r="HQ13" s="8"/>
      <c r="HR13" s="8"/>
      <c r="HS13" s="8"/>
      <c r="HT13" s="8"/>
      <c r="HU13" s="8"/>
      <c r="HV13" s="8"/>
      <c r="HW13" s="8"/>
      <c r="HX13" s="8"/>
      <c r="HY13" s="8"/>
      <c r="HZ13" s="8"/>
      <c r="IA13" s="8"/>
      <c r="IB13" s="8"/>
      <c r="IC13" s="8"/>
      <c r="ID13" s="8"/>
      <c r="IE13" s="8"/>
      <c r="IF13" s="8"/>
      <c r="IG13" s="8"/>
      <c r="IH13" s="8"/>
      <c r="II13" s="8"/>
      <c r="IJ13" s="8"/>
      <c r="IK13" s="8"/>
      <c r="IL13" s="8"/>
      <c r="IM13" s="8"/>
      <c r="IN13" s="8"/>
      <c r="IO13" s="8"/>
      <c r="IP13" s="8"/>
      <c r="IQ13" s="8"/>
      <c r="IR13" s="8"/>
      <c r="IS13" s="8"/>
      <c r="IT13" s="8"/>
      <c r="IU13" s="8"/>
      <c r="IV13" s="8"/>
      <c r="IW13" s="8"/>
      <c r="IX13" s="8"/>
      <c r="IY13" s="8"/>
      <c r="IZ13" s="8"/>
      <c r="JA13" s="8"/>
      <c r="JB13" s="8"/>
      <c r="JC13" s="8"/>
      <c r="JD13" s="8"/>
      <c r="JE13" s="8"/>
      <c r="JF13" s="8"/>
      <c r="JG13" s="8"/>
      <c r="JH13" s="8"/>
      <c r="JI13" s="8"/>
      <c r="JJ13" s="8"/>
      <c r="JK13" s="8"/>
      <c r="JL13" s="8"/>
      <c r="JM13" s="8"/>
      <c r="JN13" s="8"/>
      <c r="JO13" s="8"/>
      <c r="JP13" s="8"/>
      <c r="JQ13" s="8"/>
      <c r="JR13" s="8"/>
      <c r="JS13" s="8"/>
      <c r="JT13" s="8"/>
      <c r="JU13" s="8"/>
      <c r="JV13" s="8"/>
      <c r="JW13" s="8"/>
      <c r="JX13" s="8"/>
      <c r="JY13" s="8"/>
      <c r="JZ13" s="8"/>
      <c r="KA13" s="8"/>
      <c r="KB13" s="8"/>
      <c r="KC13" s="8"/>
      <c r="KD13" s="8"/>
      <c r="KE13" s="8"/>
      <c r="KF13" s="8"/>
      <c r="KG13" s="8"/>
      <c r="KH13" s="8"/>
      <c r="KI13" s="8"/>
      <c r="KJ13" s="8"/>
      <c r="KK13" s="8"/>
      <c r="KL13" s="8"/>
      <c r="KM13" s="8"/>
      <c r="KN13" s="8"/>
      <c r="KO13" s="8"/>
      <c r="KP13" s="8"/>
      <c r="KQ13" s="8"/>
      <c r="KR13" s="8"/>
      <c r="KS13" s="8"/>
      <c r="KT13" s="8"/>
      <c r="KU13" s="8"/>
      <c r="KV13" s="8"/>
      <c r="KW13" s="8"/>
      <c r="KX13" s="8"/>
      <c r="KY13" s="8"/>
      <c r="KZ13" s="8"/>
      <c r="LA13" s="8"/>
      <c r="LB13" s="8"/>
      <c r="LC13" s="8"/>
      <c r="LD13" s="8"/>
      <c r="LE13" s="8"/>
      <c r="LF13" s="8"/>
      <c r="LG13" s="8"/>
      <c r="LH13" s="8"/>
      <c r="LI13" s="8"/>
      <c r="LJ13" s="8"/>
      <c r="LK13" s="8"/>
      <c r="LL13" s="8"/>
      <c r="LM13" s="8"/>
      <c r="LN13" s="8"/>
      <c r="LO13" s="8"/>
      <c r="LP13" s="8"/>
      <c r="LQ13" s="8"/>
      <c r="LR13" s="8"/>
      <c r="LS13" s="8"/>
      <c r="LT13" s="8"/>
      <c r="LU13" s="8"/>
      <c r="LV13" s="8"/>
      <c r="LW13" s="8"/>
      <c r="LX13" s="8"/>
      <c r="LY13" s="8"/>
      <c r="LZ13" s="8"/>
      <c r="MA13" s="8"/>
      <c r="MB13" s="8"/>
      <c r="MC13" s="8"/>
      <c r="MD13" s="8"/>
      <c r="ME13" s="8"/>
      <c r="MF13" s="8"/>
      <c r="MG13" s="8"/>
    </row>
    <row r="14" spans="1:345" s="1" customFormat="1" ht="13" hidden="1" thickBot="1" x14ac:dyDescent="0.3">
      <c r="A14" s="7"/>
      <c r="B14" s="130"/>
      <c r="C14" s="130"/>
      <c r="D14" s="130"/>
      <c r="E14" s="8"/>
      <c r="F14" s="8"/>
      <c r="G14" s="8"/>
      <c r="H14" s="8"/>
      <c r="I14" s="8"/>
      <c r="J14" s="8"/>
      <c r="K14" s="8"/>
      <c r="L14" s="8"/>
      <c r="M14" s="8"/>
      <c r="N14" s="8"/>
      <c r="O14" s="8"/>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c r="CK14" s="8"/>
      <c r="CL14" s="8"/>
      <c r="CM14" s="8"/>
      <c r="CN14" s="8"/>
      <c r="CO14" s="8"/>
      <c r="CP14" s="8"/>
      <c r="CQ14" s="8"/>
      <c r="CR14" s="8"/>
      <c r="CS14" s="8"/>
      <c r="CT14" s="8"/>
      <c r="CU14" s="8"/>
      <c r="CV14" s="8"/>
      <c r="CW14" s="8"/>
      <c r="CX14" s="8"/>
      <c r="CY14" s="8"/>
      <c r="CZ14" s="8"/>
      <c r="DA14" s="8"/>
      <c r="DB14" s="8"/>
      <c r="DC14" s="8"/>
      <c r="DD14" s="8"/>
      <c r="DE14" s="8"/>
      <c r="DF14" s="8"/>
      <c r="DG14" s="8"/>
      <c r="DH14" s="8"/>
      <c r="DI14" s="8"/>
      <c r="DJ14" s="8"/>
      <c r="DK14" s="8"/>
      <c r="DL14" s="8"/>
      <c r="DM14" s="8"/>
      <c r="DN14" s="8"/>
      <c r="DO14" s="8"/>
      <c r="DP14" s="8"/>
      <c r="DQ14" s="8"/>
      <c r="DR14" s="8"/>
      <c r="DS14" s="8"/>
      <c r="DT14" s="8"/>
      <c r="DU14" s="8"/>
      <c r="DV14" s="8"/>
      <c r="DW14" s="8"/>
      <c r="DX14" s="8"/>
      <c r="DY14" s="8"/>
      <c r="DZ14" s="8"/>
      <c r="EA14" s="8"/>
      <c r="EB14" s="8"/>
      <c r="EC14" s="8"/>
      <c r="ED14" s="8"/>
      <c r="EE14" s="8"/>
      <c r="EF14" s="8"/>
      <c r="EG14" s="8"/>
      <c r="EH14" s="8"/>
      <c r="EI14" s="8"/>
      <c r="EJ14" s="8"/>
      <c r="EK14" s="8"/>
      <c r="EL14" s="8"/>
      <c r="EM14" s="8"/>
      <c r="EN14" s="8"/>
      <c r="EO14" s="8"/>
      <c r="EP14" s="8"/>
      <c r="EQ14" s="8"/>
      <c r="ER14" s="8"/>
      <c r="ES14" s="8"/>
      <c r="ET14" s="8"/>
      <c r="EU14" s="8"/>
      <c r="EV14" s="8"/>
      <c r="EW14" s="8"/>
      <c r="EX14" s="8"/>
      <c r="EY14" s="8"/>
      <c r="EZ14" s="8"/>
      <c r="FA14" s="8"/>
      <c r="FB14" s="8"/>
      <c r="FC14" s="8"/>
      <c r="FD14" s="8"/>
      <c r="FE14" s="8"/>
      <c r="FF14" s="8"/>
      <c r="FG14" s="8"/>
      <c r="FH14" s="8"/>
      <c r="FI14" s="8"/>
      <c r="FJ14" s="8"/>
      <c r="FK14" s="8"/>
      <c r="FL14" s="8"/>
      <c r="FM14" s="8"/>
      <c r="FN14" s="8"/>
      <c r="FO14" s="8"/>
      <c r="FP14" s="8"/>
      <c r="FQ14" s="8"/>
      <c r="FR14" s="8"/>
      <c r="FS14" s="8"/>
      <c r="FT14" s="8"/>
      <c r="FU14" s="8"/>
      <c r="FV14" s="8"/>
      <c r="FW14" s="8"/>
      <c r="FX14" s="8"/>
      <c r="FY14" s="8"/>
      <c r="FZ14" s="8"/>
      <c r="GA14" s="8"/>
      <c r="GB14" s="8"/>
      <c r="GC14" s="8"/>
      <c r="GD14" s="8"/>
      <c r="GE14" s="8"/>
      <c r="GF14" s="8"/>
      <c r="GG14" s="8"/>
      <c r="GH14" s="8"/>
      <c r="GI14" s="8"/>
      <c r="GJ14" s="8"/>
      <c r="GK14" s="8"/>
      <c r="GL14" s="8"/>
      <c r="GM14" s="8"/>
      <c r="GN14" s="8"/>
      <c r="GO14" s="8"/>
      <c r="GP14" s="8"/>
      <c r="GQ14" s="8"/>
      <c r="GR14" s="8"/>
      <c r="GS14" s="8"/>
      <c r="GT14" s="8"/>
      <c r="GU14" s="8"/>
      <c r="GV14" s="8"/>
      <c r="GW14" s="8"/>
      <c r="GX14" s="8"/>
      <c r="GY14" s="8"/>
      <c r="GZ14" s="8"/>
      <c r="HA14" s="8"/>
      <c r="HB14" s="8"/>
      <c r="HC14" s="8"/>
      <c r="HD14" s="8"/>
      <c r="HE14" s="8"/>
      <c r="HF14" s="8"/>
      <c r="HG14" s="8"/>
      <c r="HH14" s="8"/>
      <c r="HI14" s="8"/>
      <c r="HJ14" s="8"/>
      <c r="HK14" s="8"/>
      <c r="HL14" s="8"/>
      <c r="HM14" s="8"/>
      <c r="HN14" s="8"/>
      <c r="HO14" s="8"/>
      <c r="HP14" s="8"/>
      <c r="HQ14" s="8"/>
      <c r="HR14" s="8"/>
      <c r="HS14" s="8"/>
      <c r="HT14" s="8"/>
      <c r="HU14" s="8"/>
      <c r="HV14" s="8"/>
      <c r="HW14" s="8"/>
      <c r="HX14" s="8"/>
      <c r="HY14" s="8"/>
      <c r="HZ14" s="8"/>
      <c r="IA14" s="8"/>
      <c r="IB14" s="8"/>
      <c r="IC14" s="8"/>
      <c r="ID14" s="8"/>
      <c r="IE14" s="8"/>
      <c r="IF14" s="8"/>
      <c r="IG14" s="8"/>
      <c r="IH14" s="8"/>
      <c r="II14" s="8"/>
      <c r="IJ14" s="8"/>
      <c r="IK14" s="8"/>
      <c r="IL14" s="8"/>
      <c r="IM14" s="8"/>
      <c r="IN14" s="8"/>
      <c r="IO14" s="8"/>
      <c r="IP14" s="8"/>
      <c r="IQ14" s="8"/>
      <c r="IR14" s="8"/>
      <c r="IS14" s="8"/>
      <c r="IT14" s="8"/>
      <c r="IU14" s="8"/>
      <c r="IV14" s="8"/>
      <c r="IW14" s="8"/>
      <c r="IX14" s="8"/>
      <c r="IY14" s="8"/>
      <c r="IZ14" s="8"/>
      <c r="JA14" s="8"/>
      <c r="JB14" s="8"/>
      <c r="JC14" s="8"/>
      <c r="JD14" s="8"/>
      <c r="JE14" s="8"/>
      <c r="JF14" s="8"/>
      <c r="JG14" s="8"/>
      <c r="JH14" s="8"/>
      <c r="JI14" s="8"/>
      <c r="JJ14" s="8"/>
      <c r="JK14" s="8"/>
      <c r="JL14" s="8"/>
      <c r="JM14" s="8"/>
      <c r="JN14" s="8"/>
      <c r="JO14" s="8"/>
      <c r="JP14" s="8"/>
      <c r="JQ14" s="8"/>
      <c r="JR14" s="8"/>
      <c r="JS14" s="8"/>
      <c r="JT14" s="8"/>
      <c r="JU14" s="8"/>
      <c r="JV14" s="8"/>
      <c r="JW14" s="8"/>
      <c r="JX14" s="8"/>
      <c r="JY14" s="8"/>
      <c r="JZ14" s="8"/>
      <c r="KA14" s="8"/>
      <c r="KB14" s="8"/>
      <c r="KC14" s="8"/>
      <c r="KD14" s="8"/>
      <c r="KE14" s="8"/>
      <c r="KF14" s="8"/>
      <c r="KG14" s="8"/>
      <c r="KH14" s="8"/>
      <c r="KI14" s="8"/>
      <c r="KJ14" s="8"/>
      <c r="KK14" s="8"/>
      <c r="KL14" s="8"/>
      <c r="KM14" s="8"/>
      <c r="KN14" s="8"/>
      <c r="KO14" s="8"/>
      <c r="KP14" s="8"/>
      <c r="KQ14" s="8"/>
      <c r="KR14" s="8"/>
      <c r="KS14" s="8"/>
      <c r="KT14" s="8"/>
      <c r="KU14" s="8"/>
      <c r="KV14" s="8"/>
      <c r="KW14" s="8"/>
      <c r="KX14" s="8"/>
      <c r="KY14" s="8"/>
      <c r="KZ14" s="8"/>
      <c r="LA14" s="8"/>
      <c r="LB14" s="8"/>
      <c r="LC14" s="8"/>
      <c r="LD14" s="8"/>
      <c r="LE14" s="8"/>
      <c r="LF14" s="8"/>
      <c r="LG14" s="8"/>
      <c r="LH14" s="8"/>
      <c r="LI14" s="8"/>
      <c r="LJ14" s="8"/>
      <c r="LK14" s="8"/>
      <c r="LL14" s="8"/>
      <c r="LM14" s="8"/>
      <c r="LN14" s="8"/>
      <c r="LO14" s="8"/>
      <c r="LP14" s="8"/>
      <c r="LQ14" s="8"/>
      <c r="LR14" s="8"/>
      <c r="LS14" s="8"/>
      <c r="LT14" s="8"/>
      <c r="LU14" s="8"/>
      <c r="LV14" s="8"/>
      <c r="LW14" s="8"/>
      <c r="LX14" s="8"/>
      <c r="LY14" s="8"/>
      <c r="LZ14" s="8"/>
      <c r="MA14" s="8"/>
      <c r="MB14" s="8"/>
      <c r="MC14" s="8"/>
      <c r="MD14" s="8"/>
      <c r="ME14" s="8"/>
      <c r="MF14" s="8"/>
      <c r="MG14" s="8"/>
    </row>
    <row r="15" spans="1:345" ht="39" x14ac:dyDescent="0.25">
      <c r="B15" s="4" t="s">
        <v>0</v>
      </c>
      <c r="C15" s="5" t="s">
        <v>1</v>
      </c>
      <c r="D15" s="5" t="s">
        <v>6</v>
      </c>
      <c r="E15" s="5" t="s">
        <v>2</v>
      </c>
      <c r="F15" s="5" t="s">
        <v>49</v>
      </c>
      <c r="G15" s="5" t="s">
        <v>3</v>
      </c>
      <c r="H15" s="5" t="s">
        <v>45</v>
      </c>
      <c r="I15" s="5" t="s">
        <v>46</v>
      </c>
      <c r="J15" s="5" t="s">
        <v>4</v>
      </c>
      <c r="K15" s="5" t="s">
        <v>5</v>
      </c>
      <c r="L15" s="5" t="s">
        <v>7</v>
      </c>
      <c r="M15" s="6" t="s">
        <v>4441</v>
      </c>
      <c r="N15" s="6" t="s">
        <v>44</v>
      </c>
      <c r="O15" s="6" t="s">
        <v>208</v>
      </c>
      <c r="P15" s="35"/>
    </row>
    <row r="16" spans="1:345" s="67" customFormat="1" ht="36" hidden="1" customHeight="1" x14ac:dyDescent="0.25">
      <c r="B16" s="28">
        <v>4142</v>
      </c>
      <c r="C16" s="24" t="s">
        <v>23</v>
      </c>
      <c r="D16" s="19" t="s">
        <v>4302</v>
      </c>
      <c r="E16" s="18">
        <v>42026</v>
      </c>
      <c r="F16" s="27">
        <f t="shared" ref="F16:F47" ca="1" si="0">IF(E16&lt;&gt;"",TODAY()-E16,"")</f>
        <v>2447</v>
      </c>
      <c r="G16" s="69" t="s">
        <v>4298</v>
      </c>
      <c r="H16" s="68"/>
      <c r="I16" s="25"/>
      <c r="J16" s="25"/>
      <c r="K16" s="68"/>
      <c r="L16" s="68">
        <v>42396</v>
      </c>
      <c r="M16" s="68"/>
      <c r="N16" s="22" t="s">
        <v>4299</v>
      </c>
      <c r="O16" s="26"/>
      <c r="P16" s="35"/>
      <c r="Q16" s="35"/>
      <c r="R16" s="20"/>
      <c r="S16" s="35"/>
      <c r="T16" s="35"/>
      <c r="U16" s="35"/>
      <c r="V16" s="35"/>
      <c r="W16" s="35"/>
      <c r="X16" s="35"/>
      <c r="Y16" s="35"/>
      <c r="Z16" s="35"/>
      <c r="AA16" s="35"/>
      <c r="AB16" s="35"/>
      <c r="AC16" s="35"/>
      <c r="AD16" s="35"/>
      <c r="AE16" s="35"/>
      <c r="AF16" s="35"/>
      <c r="AG16" s="35"/>
      <c r="AH16" s="35"/>
      <c r="AI16" s="35"/>
      <c r="AJ16" s="35"/>
      <c r="AK16" s="35"/>
      <c r="AL16" s="35"/>
      <c r="AM16" s="35"/>
      <c r="AN16" s="35"/>
      <c r="AO16" s="35"/>
      <c r="AP16" s="35"/>
      <c r="AQ16" s="35"/>
      <c r="AR16" s="35"/>
      <c r="AS16" s="35"/>
      <c r="AT16" s="35"/>
      <c r="AU16" s="35"/>
      <c r="AV16" s="35"/>
      <c r="AW16" s="35"/>
      <c r="AX16" s="35"/>
      <c r="AY16" s="35"/>
      <c r="AZ16" s="35"/>
      <c r="BA16" s="35"/>
      <c r="BB16" s="35"/>
      <c r="BC16" s="35"/>
      <c r="BD16" s="35"/>
      <c r="BE16" s="35"/>
      <c r="BF16" s="35"/>
      <c r="BG16" s="35"/>
      <c r="BH16" s="35"/>
      <c r="BI16" s="35"/>
      <c r="BJ16" s="35"/>
      <c r="BK16" s="35"/>
      <c r="BL16" s="35"/>
      <c r="BM16" s="35"/>
      <c r="BN16" s="35"/>
      <c r="BO16" s="35"/>
      <c r="BP16" s="35"/>
      <c r="BQ16" s="35"/>
      <c r="BR16" s="35"/>
      <c r="BS16" s="35"/>
      <c r="BT16" s="35"/>
      <c r="BU16" s="35"/>
      <c r="BV16" s="35"/>
      <c r="BW16" s="35"/>
      <c r="BX16" s="35"/>
      <c r="BY16" s="35"/>
      <c r="BZ16" s="35"/>
      <c r="CA16" s="35"/>
      <c r="CB16" s="35"/>
      <c r="CC16" s="35"/>
      <c r="CD16" s="35"/>
      <c r="CE16" s="35"/>
      <c r="CF16" s="35"/>
      <c r="CG16" s="35"/>
      <c r="CH16" s="35"/>
      <c r="CI16" s="35"/>
      <c r="CJ16" s="35"/>
      <c r="CK16" s="35"/>
      <c r="CL16" s="35"/>
      <c r="CM16" s="35"/>
      <c r="CN16" s="35"/>
      <c r="CO16" s="35"/>
      <c r="CP16" s="35"/>
      <c r="CQ16" s="35"/>
      <c r="CR16" s="35"/>
      <c r="CS16" s="35"/>
      <c r="CT16" s="35"/>
      <c r="CU16" s="35"/>
      <c r="CV16" s="35"/>
      <c r="CW16" s="35"/>
      <c r="CX16" s="35"/>
      <c r="CY16" s="35"/>
      <c r="CZ16" s="35"/>
      <c r="DA16" s="35"/>
      <c r="DB16" s="35"/>
      <c r="DC16" s="35"/>
      <c r="DD16" s="35"/>
      <c r="DE16" s="35"/>
      <c r="DF16" s="35"/>
      <c r="DG16" s="35"/>
      <c r="DH16" s="35"/>
      <c r="DI16" s="35"/>
      <c r="DJ16" s="35"/>
      <c r="DK16" s="35"/>
      <c r="DL16" s="35"/>
      <c r="DM16" s="35"/>
      <c r="DN16" s="35"/>
      <c r="DO16" s="35"/>
      <c r="DP16" s="35"/>
      <c r="DQ16" s="35"/>
      <c r="DR16" s="35"/>
      <c r="DS16" s="35"/>
      <c r="DT16" s="35"/>
      <c r="DU16" s="35"/>
      <c r="DV16" s="35"/>
      <c r="DW16" s="35"/>
      <c r="DX16" s="35"/>
      <c r="DY16" s="35"/>
      <c r="DZ16" s="35"/>
      <c r="EA16" s="35"/>
      <c r="EB16" s="35"/>
      <c r="EC16" s="35"/>
      <c r="ED16" s="35"/>
      <c r="EE16" s="35"/>
      <c r="EF16" s="35"/>
      <c r="EG16" s="35"/>
      <c r="EH16" s="35"/>
      <c r="EI16" s="35"/>
      <c r="EJ16" s="35"/>
      <c r="EK16" s="35"/>
      <c r="EL16" s="35"/>
      <c r="EM16" s="35"/>
      <c r="EN16" s="35"/>
      <c r="EO16" s="35"/>
      <c r="EP16" s="35"/>
      <c r="EQ16" s="35"/>
      <c r="ER16" s="35"/>
      <c r="ES16" s="35"/>
      <c r="ET16" s="35"/>
      <c r="EU16" s="35"/>
      <c r="EV16" s="35"/>
      <c r="EW16" s="35"/>
      <c r="EX16" s="35"/>
      <c r="EY16" s="35"/>
      <c r="EZ16" s="35"/>
      <c r="FA16" s="35"/>
      <c r="FB16" s="35"/>
      <c r="FC16" s="35"/>
      <c r="FD16" s="35"/>
      <c r="FE16" s="35"/>
      <c r="FF16" s="35"/>
      <c r="FG16" s="35"/>
      <c r="FH16" s="35"/>
      <c r="FI16" s="35"/>
      <c r="FJ16" s="35"/>
      <c r="FK16" s="35"/>
      <c r="FL16" s="35"/>
      <c r="FM16" s="35"/>
      <c r="FN16" s="35"/>
      <c r="FO16" s="35"/>
      <c r="FP16" s="35"/>
      <c r="FQ16" s="35"/>
      <c r="FR16" s="35"/>
      <c r="FS16" s="35"/>
      <c r="FT16" s="35"/>
      <c r="FU16" s="35"/>
      <c r="FV16" s="35"/>
      <c r="FW16" s="35"/>
      <c r="FX16" s="35"/>
      <c r="FY16" s="35"/>
      <c r="FZ16" s="35"/>
      <c r="GA16" s="35"/>
      <c r="GB16" s="35"/>
      <c r="GC16" s="35"/>
      <c r="GD16" s="35"/>
      <c r="GE16" s="35"/>
      <c r="GF16" s="35"/>
      <c r="GG16" s="35"/>
      <c r="GH16" s="35"/>
      <c r="GI16" s="35"/>
      <c r="GJ16" s="35"/>
      <c r="GK16" s="35"/>
      <c r="GL16" s="35"/>
      <c r="GM16" s="35"/>
      <c r="GN16" s="35"/>
      <c r="GO16" s="35"/>
      <c r="GP16" s="35"/>
      <c r="GQ16" s="35"/>
      <c r="GR16" s="35"/>
      <c r="GS16" s="35"/>
      <c r="GT16" s="35"/>
      <c r="GU16" s="35"/>
      <c r="GV16" s="35"/>
      <c r="GW16" s="35"/>
      <c r="GX16" s="35"/>
      <c r="GY16" s="35"/>
      <c r="GZ16" s="35"/>
      <c r="HA16" s="35"/>
      <c r="HB16" s="35"/>
      <c r="HC16" s="35"/>
      <c r="HD16" s="35"/>
      <c r="HE16" s="35"/>
      <c r="HF16" s="35"/>
      <c r="HG16" s="35"/>
      <c r="HH16" s="35"/>
      <c r="HI16" s="35"/>
      <c r="HJ16" s="35"/>
      <c r="HK16" s="35"/>
      <c r="HL16" s="35"/>
      <c r="HM16" s="35"/>
      <c r="HN16" s="35"/>
      <c r="HO16" s="35"/>
      <c r="HP16" s="35"/>
      <c r="HQ16" s="35"/>
      <c r="HR16" s="35"/>
      <c r="HS16" s="35"/>
      <c r="HT16" s="35"/>
      <c r="HU16" s="35"/>
      <c r="HV16" s="35"/>
      <c r="HW16" s="35"/>
      <c r="HX16" s="35"/>
      <c r="HY16" s="35"/>
      <c r="HZ16" s="35"/>
      <c r="IA16" s="35"/>
      <c r="IB16" s="35"/>
      <c r="IC16" s="35"/>
      <c r="ID16" s="35"/>
      <c r="IE16" s="35"/>
      <c r="IF16" s="35"/>
      <c r="IG16" s="35"/>
      <c r="IH16" s="35"/>
      <c r="II16" s="35"/>
      <c r="IJ16" s="35"/>
      <c r="IK16" s="35"/>
      <c r="IL16" s="35"/>
      <c r="IM16" s="35"/>
      <c r="IN16" s="35"/>
      <c r="IO16" s="35"/>
      <c r="IP16" s="35"/>
      <c r="IQ16" s="35"/>
      <c r="IR16" s="35"/>
      <c r="IS16" s="35"/>
      <c r="IT16" s="35"/>
      <c r="IU16" s="35"/>
      <c r="IV16" s="35"/>
      <c r="IW16" s="35"/>
      <c r="IX16" s="35"/>
      <c r="IY16" s="35"/>
      <c r="IZ16" s="35"/>
      <c r="JA16" s="35"/>
      <c r="JB16" s="35"/>
      <c r="JC16" s="35"/>
      <c r="JD16" s="35"/>
      <c r="JE16" s="35"/>
      <c r="JF16" s="35"/>
      <c r="JG16" s="35"/>
      <c r="JH16" s="35"/>
      <c r="JI16" s="35"/>
      <c r="JJ16" s="35"/>
      <c r="JK16" s="35"/>
      <c r="JL16" s="35"/>
      <c r="JM16" s="35"/>
      <c r="JN16" s="35"/>
      <c r="JO16" s="35"/>
      <c r="JP16" s="35"/>
      <c r="JQ16" s="35"/>
      <c r="JR16" s="35"/>
      <c r="JS16" s="35"/>
      <c r="JT16" s="35"/>
      <c r="JU16" s="35"/>
      <c r="JV16" s="35"/>
      <c r="JW16" s="35"/>
      <c r="JX16" s="35"/>
      <c r="JY16" s="35"/>
      <c r="JZ16" s="35"/>
      <c r="KA16" s="35"/>
      <c r="KB16" s="35"/>
      <c r="KC16" s="35"/>
      <c r="KD16" s="35"/>
      <c r="KE16" s="35"/>
      <c r="KF16" s="35"/>
      <c r="KG16" s="35"/>
      <c r="KH16" s="35"/>
      <c r="KI16" s="35"/>
      <c r="KJ16" s="35"/>
      <c r="KK16" s="35"/>
      <c r="KL16" s="35"/>
      <c r="KM16" s="35"/>
      <c r="KN16" s="35"/>
      <c r="KO16" s="35"/>
      <c r="KP16" s="35"/>
      <c r="KQ16" s="35"/>
      <c r="KR16" s="35"/>
      <c r="KS16" s="35"/>
      <c r="KT16" s="35"/>
      <c r="KU16" s="35"/>
      <c r="KV16" s="35"/>
      <c r="KW16" s="35"/>
      <c r="KX16" s="35"/>
      <c r="KY16" s="35"/>
      <c r="KZ16" s="35"/>
      <c r="LA16" s="35"/>
      <c r="LB16" s="35"/>
      <c r="LC16" s="35"/>
      <c r="LD16" s="35"/>
      <c r="LE16" s="35"/>
      <c r="LF16" s="35"/>
      <c r="LG16" s="35"/>
      <c r="LH16" s="35"/>
      <c r="LI16" s="35"/>
      <c r="LJ16" s="35"/>
      <c r="LK16" s="35"/>
      <c r="LL16" s="35"/>
      <c r="LM16" s="35"/>
      <c r="LN16" s="35"/>
      <c r="LO16" s="35"/>
      <c r="LP16" s="35"/>
      <c r="LQ16" s="35"/>
      <c r="LR16" s="35"/>
      <c r="LS16" s="35"/>
      <c r="LT16" s="35"/>
      <c r="LU16" s="35"/>
      <c r="LV16" s="35"/>
      <c r="LW16" s="35"/>
      <c r="LX16" s="35"/>
      <c r="LY16" s="35"/>
      <c r="LZ16" s="35"/>
      <c r="MA16" s="35"/>
      <c r="MB16" s="35"/>
      <c r="MC16" s="35"/>
      <c r="MD16" s="35"/>
      <c r="ME16" s="35"/>
      <c r="MF16" s="35"/>
      <c r="MG16" s="35"/>
    </row>
    <row r="17" spans="2:345" s="67" customFormat="1" ht="36" hidden="1" customHeight="1" x14ac:dyDescent="0.25">
      <c r="B17" s="28" t="s">
        <v>4404</v>
      </c>
      <c r="C17" s="24" t="s">
        <v>10</v>
      </c>
      <c r="D17" s="19" t="s">
        <v>4406</v>
      </c>
      <c r="E17" s="18">
        <v>42060</v>
      </c>
      <c r="F17" s="27">
        <f t="shared" ca="1" si="0"/>
        <v>2413</v>
      </c>
      <c r="G17" s="69">
        <v>42465</v>
      </c>
      <c r="H17" s="68"/>
      <c r="I17" s="25"/>
      <c r="J17" s="25">
        <v>42471</v>
      </c>
      <c r="K17" s="68" t="s">
        <v>730</v>
      </c>
      <c r="L17" s="68">
        <v>42530</v>
      </c>
      <c r="M17" s="68"/>
      <c r="N17" s="22" t="s">
        <v>4407</v>
      </c>
      <c r="O17" s="26"/>
      <c r="P17" s="35"/>
      <c r="Q17" s="35"/>
      <c r="R17" s="20"/>
      <c r="S17" s="35"/>
      <c r="T17" s="35"/>
      <c r="U17" s="35"/>
      <c r="V17" s="35"/>
      <c r="W17" s="35"/>
      <c r="X17" s="35"/>
      <c r="Y17" s="35"/>
      <c r="Z17" s="35"/>
      <c r="AA17" s="35"/>
      <c r="AB17" s="35"/>
      <c r="AC17" s="35"/>
      <c r="AD17" s="35"/>
      <c r="AE17" s="35"/>
      <c r="AF17" s="35"/>
      <c r="AG17" s="35"/>
      <c r="AH17" s="35"/>
      <c r="AI17" s="35"/>
      <c r="AJ17" s="35"/>
      <c r="AK17" s="35"/>
      <c r="AL17" s="35"/>
      <c r="AM17" s="35"/>
      <c r="AN17" s="35"/>
      <c r="AO17" s="35"/>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c r="DV17" s="35"/>
      <c r="DW17" s="35"/>
      <c r="DX17" s="35"/>
      <c r="DY17" s="35"/>
      <c r="DZ17" s="35"/>
      <c r="EA17" s="35"/>
      <c r="EB17" s="35"/>
      <c r="EC17" s="35"/>
      <c r="ED17" s="35"/>
      <c r="EE17" s="35"/>
      <c r="EF17" s="35"/>
      <c r="EG17" s="35"/>
      <c r="EH17" s="35"/>
      <c r="EI17" s="35"/>
      <c r="EJ17" s="35"/>
      <c r="EK17" s="35"/>
      <c r="EL17" s="35"/>
      <c r="EM17" s="35"/>
      <c r="EN17" s="35"/>
      <c r="EO17" s="35"/>
      <c r="EP17" s="35"/>
      <c r="EQ17" s="35"/>
      <c r="ER17" s="35"/>
      <c r="ES17" s="35"/>
      <c r="ET17" s="35"/>
      <c r="EU17" s="35"/>
      <c r="EV17" s="35"/>
      <c r="EW17" s="35"/>
      <c r="EX17" s="35"/>
      <c r="EY17" s="35"/>
      <c r="EZ17" s="35"/>
      <c r="FA17" s="35"/>
      <c r="FB17" s="35"/>
      <c r="FC17" s="35"/>
      <c r="FD17" s="35"/>
      <c r="FE17" s="35"/>
      <c r="FF17" s="35"/>
      <c r="FG17" s="35"/>
      <c r="FH17" s="35"/>
      <c r="FI17" s="35"/>
      <c r="FJ17" s="35"/>
      <c r="FK17" s="35"/>
      <c r="FL17" s="35"/>
      <c r="FM17" s="35"/>
      <c r="FN17" s="35"/>
      <c r="FO17" s="35"/>
      <c r="FP17" s="35"/>
      <c r="FQ17" s="35"/>
      <c r="FR17" s="35"/>
      <c r="FS17" s="35"/>
      <c r="FT17" s="35"/>
      <c r="FU17" s="35"/>
      <c r="FV17" s="35"/>
      <c r="FW17" s="35"/>
      <c r="FX17" s="35"/>
      <c r="FY17" s="35"/>
      <c r="FZ17" s="35"/>
      <c r="GA17" s="35"/>
      <c r="GB17" s="35"/>
      <c r="GC17" s="35"/>
      <c r="GD17" s="35"/>
      <c r="GE17" s="35"/>
      <c r="GF17" s="35"/>
      <c r="GG17" s="35"/>
      <c r="GH17" s="35"/>
      <c r="GI17" s="35"/>
      <c r="GJ17" s="35"/>
      <c r="GK17" s="35"/>
      <c r="GL17" s="35"/>
      <c r="GM17" s="35"/>
      <c r="GN17" s="35"/>
      <c r="GO17" s="35"/>
      <c r="GP17" s="35"/>
      <c r="GQ17" s="35"/>
      <c r="GR17" s="35"/>
      <c r="GS17" s="35"/>
      <c r="GT17" s="35"/>
      <c r="GU17" s="35"/>
      <c r="GV17" s="35"/>
      <c r="GW17" s="35"/>
      <c r="GX17" s="35"/>
      <c r="GY17" s="35"/>
      <c r="GZ17" s="35"/>
      <c r="HA17" s="35"/>
      <c r="HB17" s="35"/>
      <c r="HC17" s="35"/>
      <c r="HD17" s="35"/>
      <c r="HE17" s="35"/>
      <c r="HF17" s="35"/>
      <c r="HG17" s="35"/>
      <c r="HH17" s="35"/>
      <c r="HI17" s="35"/>
      <c r="HJ17" s="35"/>
      <c r="HK17" s="35"/>
      <c r="HL17" s="35"/>
      <c r="HM17" s="35"/>
      <c r="HN17" s="35"/>
      <c r="HO17" s="35"/>
      <c r="HP17" s="35"/>
      <c r="HQ17" s="35"/>
      <c r="HR17" s="35"/>
      <c r="HS17" s="35"/>
      <c r="HT17" s="35"/>
      <c r="HU17" s="35"/>
      <c r="HV17" s="35"/>
      <c r="HW17" s="35"/>
      <c r="HX17" s="35"/>
      <c r="HY17" s="35"/>
      <c r="HZ17" s="35"/>
      <c r="IA17" s="35"/>
      <c r="IB17" s="35"/>
      <c r="IC17" s="35"/>
      <c r="ID17" s="35"/>
      <c r="IE17" s="35"/>
      <c r="IF17" s="35"/>
      <c r="IG17" s="35"/>
      <c r="IH17" s="35"/>
      <c r="II17" s="35"/>
      <c r="IJ17" s="35"/>
      <c r="IK17" s="35"/>
      <c r="IL17" s="35"/>
      <c r="IM17" s="35"/>
      <c r="IN17" s="35"/>
      <c r="IO17" s="35"/>
      <c r="IP17" s="35"/>
      <c r="IQ17" s="35"/>
      <c r="IR17" s="35"/>
      <c r="IS17" s="35"/>
      <c r="IT17" s="35"/>
      <c r="IU17" s="35"/>
      <c r="IV17" s="35"/>
      <c r="IW17" s="35"/>
      <c r="IX17" s="35"/>
      <c r="IY17" s="35"/>
      <c r="IZ17" s="35"/>
      <c r="JA17" s="35"/>
      <c r="JB17" s="35"/>
      <c r="JC17" s="35"/>
      <c r="JD17" s="35"/>
      <c r="JE17" s="35"/>
      <c r="JF17" s="35"/>
      <c r="JG17" s="35"/>
      <c r="JH17" s="35"/>
      <c r="JI17" s="35"/>
      <c r="JJ17" s="35"/>
      <c r="JK17" s="35"/>
      <c r="JL17" s="35"/>
      <c r="JM17" s="35"/>
      <c r="JN17" s="35"/>
      <c r="JO17" s="35"/>
      <c r="JP17" s="35"/>
      <c r="JQ17" s="35"/>
      <c r="JR17" s="35"/>
      <c r="JS17" s="35"/>
      <c r="JT17" s="35"/>
      <c r="JU17" s="35"/>
      <c r="JV17" s="35"/>
      <c r="JW17" s="35"/>
      <c r="JX17" s="35"/>
      <c r="JY17" s="35"/>
      <c r="JZ17" s="35"/>
      <c r="KA17" s="35"/>
      <c r="KB17" s="35"/>
      <c r="KC17" s="35"/>
      <c r="KD17" s="35"/>
      <c r="KE17" s="35"/>
      <c r="KF17" s="35"/>
      <c r="KG17" s="35"/>
      <c r="KH17" s="35"/>
      <c r="KI17" s="35"/>
      <c r="KJ17" s="35"/>
      <c r="KK17" s="35"/>
      <c r="KL17" s="35"/>
      <c r="KM17" s="35"/>
      <c r="KN17" s="35"/>
      <c r="KO17" s="35"/>
      <c r="KP17" s="35"/>
      <c r="KQ17" s="35"/>
      <c r="KR17" s="35"/>
      <c r="KS17" s="35"/>
      <c r="KT17" s="35"/>
      <c r="KU17" s="35"/>
      <c r="KV17" s="35"/>
      <c r="KW17" s="35"/>
      <c r="KX17" s="35"/>
      <c r="KY17" s="35"/>
      <c r="KZ17" s="35"/>
      <c r="LA17" s="35"/>
      <c r="LB17" s="35"/>
      <c r="LC17" s="35"/>
      <c r="LD17" s="35"/>
      <c r="LE17" s="35"/>
      <c r="LF17" s="35"/>
      <c r="LG17" s="35"/>
      <c r="LH17" s="35"/>
      <c r="LI17" s="35"/>
      <c r="LJ17" s="35"/>
      <c r="LK17" s="35"/>
      <c r="LL17" s="35"/>
      <c r="LM17" s="35"/>
      <c r="LN17" s="35"/>
      <c r="LO17" s="35"/>
      <c r="LP17" s="35"/>
      <c r="LQ17" s="35"/>
      <c r="LR17" s="35"/>
      <c r="LS17" s="35"/>
      <c r="LT17" s="35"/>
      <c r="LU17" s="35"/>
      <c r="LV17" s="35"/>
      <c r="LW17" s="35"/>
      <c r="LX17" s="35"/>
      <c r="LY17" s="35"/>
      <c r="LZ17" s="35"/>
      <c r="MA17" s="35"/>
      <c r="MB17" s="35"/>
      <c r="MC17" s="35"/>
      <c r="MD17" s="35"/>
      <c r="ME17" s="35"/>
      <c r="MF17" s="35"/>
      <c r="MG17" s="35"/>
    </row>
    <row r="18" spans="2:345" s="67" customFormat="1" ht="36" hidden="1" customHeight="1" x14ac:dyDescent="0.25">
      <c r="B18" s="28">
        <v>4153</v>
      </c>
      <c r="C18" s="24" t="s">
        <v>23</v>
      </c>
      <c r="D18" s="19" t="s">
        <v>4351</v>
      </c>
      <c r="E18" s="18">
        <v>42375</v>
      </c>
      <c r="F18" s="27">
        <f t="shared" ca="1" si="0"/>
        <v>2098</v>
      </c>
      <c r="G18" s="69"/>
      <c r="H18" s="68"/>
      <c r="I18" s="25"/>
      <c r="J18" s="25"/>
      <c r="K18" s="68"/>
      <c r="L18" s="68">
        <v>42377</v>
      </c>
      <c r="M18" s="68"/>
      <c r="N18" s="22" t="s">
        <v>4352</v>
      </c>
      <c r="O18" s="26"/>
      <c r="P18" s="35"/>
      <c r="Q18" s="35"/>
      <c r="R18" s="20"/>
      <c r="S18" s="35"/>
      <c r="T18" s="35"/>
      <c r="U18" s="35"/>
      <c r="V18" s="35"/>
      <c r="W18" s="35"/>
      <c r="X18" s="35"/>
      <c r="Y18" s="35"/>
      <c r="Z18" s="35"/>
      <c r="AA18" s="35"/>
      <c r="AB18" s="35"/>
      <c r="AC18" s="35"/>
      <c r="AD18" s="35"/>
      <c r="AE18" s="35"/>
      <c r="AF18" s="35"/>
      <c r="AG18" s="35"/>
      <c r="AH18" s="35"/>
      <c r="AI18" s="35"/>
      <c r="AJ18" s="35"/>
      <c r="AK18" s="35"/>
      <c r="AL18" s="35"/>
      <c r="AM18" s="35"/>
      <c r="AN18" s="35"/>
      <c r="AO18" s="35"/>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c r="DV18" s="35"/>
      <c r="DW18" s="35"/>
      <c r="DX18" s="35"/>
      <c r="DY18" s="35"/>
      <c r="DZ18" s="35"/>
      <c r="EA18" s="35"/>
      <c r="EB18" s="35"/>
      <c r="EC18" s="35"/>
      <c r="ED18" s="35"/>
      <c r="EE18" s="35"/>
      <c r="EF18" s="35"/>
      <c r="EG18" s="35"/>
      <c r="EH18" s="35"/>
      <c r="EI18" s="35"/>
      <c r="EJ18" s="35"/>
      <c r="EK18" s="35"/>
      <c r="EL18" s="35"/>
      <c r="EM18" s="35"/>
      <c r="EN18" s="35"/>
      <c r="EO18" s="35"/>
      <c r="EP18" s="35"/>
      <c r="EQ18" s="35"/>
      <c r="ER18" s="35"/>
      <c r="ES18" s="35"/>
      <c r="ET18" s="35"/>
      <c r="EU18" s="35"/>
      <c r="EV18" s="35"/>
      <c r="EW18" s="35"/>
      <c r="EX18" s="35"/>
      <c r="EY18" s="35"/>
      <c r="EZ18" s="35"/>
      <c r="FA18" s="35"/>
      <c r="FB18" s="35"/>
      <c r="FC18" s="35"/>
      <c r="FD18" s="35"/>
      <c r="FE18" s="35"/>
      <c r="FF18" s="35"/>
      <c r="FG18" s="35"/>
      <c r="FH18" s="35"/>
      <c r="FI18" s="35"/>
      <c r="FJ18" s="35"/>
      <c r="FK18" s="35"/>
      <c r="FL18" s="35"/>
      <c r="FM18" s="35"/>
      <c r="FN18" s="35"/>
      <c r="FO18" s="35"/>
      <c r="FP18" s="35"/>
      <c r="FQ18" s="35"/>
      <c r="FR18" s="35"/>
      <c r="FS18" s="35"/>
      <c r="FT18" s="35"/>
      <c r="FU18" s="35"/>
      <c r="FV18" s="35"/>
      <c r="FW18" s="35"/>
      <c r="FX18" s="35"/>
      <c r="FY18" s="35"/>
      <c r="FZ18" s="35"/>
      <c r="GA18" s="35"/>
      <c r="GB18" s="35"/>
      <c r="GC18" s="35"/>
      <c r="GD18" s="35"/>
      <c r="GE18" s="35"/>
      <c r="GF18" s="35"/>
      <c r="GG18" s="35"/>
      <c r="GH18" s="35"/>
      <c r="GI18" s="35"/>
      <c r="GJ18" s="35"/>
      <c r="GK18" s="35"/>
      <c r="GL18" s="35"/>
      <c r="GM18" s="35"/>
      <c r="GN18" s="35"/>
      <c r="GO18" s="35"/>
      <c r="GP18" s="35"/>
      <c r="GQ18" s="35"/>
      <c r="GR18" s="35"/>
      <c r="GS18" s="35"/>
      <c r="GT18" s="35"/>
      <c r="GU18" s="35"/>
      <c r="GV18" s="35"/>
      <c r="GW18" s="35"/>
      <c r="GX18" s="35"/>
      <c r="GY18" s="35"/>
      <c r="GZ18" s="35"/>
      <c r="HA18" s="35"/>
      <c r="HB18" s="35"/>
      <c r="HC18" s="35"/>
      <c r="HD18" s="35"/>
      <c r="HE18" s="35"/>
      <c r="HF18" s="35"/>
      <c r="HG18" s="35"/>
      <c r="HH18" s="35"/>
      <c r="HI18" s="35"/>
      <c r="HJ18" s="35"/>
      <c r="HK18" s="35"/>
      <c r="HL18" s="35"/>
      <c r="HM18" s="35"/>
      <c r="HN18" s="35"/>
      <c r="HO18" s="35"/>
      <c r="HP18" s="35"/>
      <c r="HQ18" s="35"/>
      <c r="HR18" s="35"/>
      <c r="HS18" s="35"/>
      <c r="HT18" s="35"/>
      <c r="HU18" s="35"/>
      <c r="HV18" s="35"/>
      <c r="HW18" s="35"/>
      <c r="HX18" s="35"/>
      <c r="HY18" s="35"/>
      <c r="HZ18" s="35"/>
      <c r="IA18" s="35"/>
      <c r="IB18" s="35"/>
      <c r="IC18" s="35"/>
      <c r="ID18" s="35"/>
      <c r="IE18" s="35"/>
      <c r="IF18" s="35"/>
      <c r="IG18" s="35"/>
      <c r="IH18" s="35"/>
      <c r="II18" s="35"/>
      <c r="IJ18" s="35"/>
      <c r="IK18" s="35"/>
      <c r="IL18" s="35"/>
      <c r="IM18" s="35"/>
      <c r="IN18" s="35"/>
      <c r="IO18" s="35"/>
      <c r="IP18" s="35"/>
      <c r="IQ18" s="35"/>
      <c r="IR18" s="35"/>
      <c r="IS18" s="35"/>
      <c r="IT18" s="35"/>
      <c r="IU18" s="35"/>
      <c r="IV18" s="35"/>
      <c r="IW18" s="35"/>
      <c r="IX18" s="35"/>
      <c r="IY18" s="35"/>
      <c r="IZ18" s="35"/>
      <c r="JA18" s="35"/>
      <c r="JB18" s="35"/>
      <c r="JC18" s="35"/>
      <c r="JD18" s="35"/>
      <c r="JE18" s="35"/>
      <c r="JF18" s="35"/>
      <c r="JG18" s="35"/>
      <c r="JH18" s="35"/>
      <c r="JI18" s="35"/>
      <c r="JJ18" s="35"/>
      <c r="JK18" s="35"/>
      <c r="JL18" s="35"/>
      <c r="JM18" s="35"/>
      <c r="JN18" s="35"/>
      <c r="JO18" s="35"/>
      <c r="JP18" s="35"/>
      <c r="JQ18" s="35"/>
      <c r="JR18" s="35"/>
      <c r="JS18" s="35"/>
      <c r="JT18" s="35"/>
      <c r="JU18" s="35"/>
      <c r="JV18" s="35"/>
      <c r="JW18" s="35"/>
      <c r="JX18" s="35"/>
      <c r="JY18" s="35"/>
      <c r="JZ18" s="35"/>
      <c r="KA18" s="35"/>
      <c r="KB18" s="35"/>
      <c r="KC18" s="35"/>
      <c r="KD18" s="35"/>
      <c r="KE18" s="35"/>
      <c r="KF18" s="35"/>
      <c r="KG18" s="35"/>
      <c r="KH18" s="35"/>
      <c r="KI18" s="35"/>
      <c r="KJ18" s="35"/>
      <c r="KK18" s="35"/>
      <c r="KL18" s="35"/>
      <c r="KM18" s="35"/>
      <c r="KN18" s="35"/>
      <c r="KO18" s="35"/>
      <c r="KP18" s="35"/>
      <c r="KQ18" s="35"/>
      <c r="KR18" s="35"/>
      <c r="KS18" s="35"/>
      <c r="KT18" s="35"/>
      <c r="KU18" s="35"/>
      <c r="KV18" s="35"/>
      <c r="KW18" s="35"/>
      <c r="KX18" s="35"/>
      <c r="KY18" s="35"/>
      <c r="KZ18" s="35"/>
      <c r="LA18" s="35"/>
      <c r="LB18" s="35"/>
      <c r="LC18" s="35"/>
      <c r="LD18" s="35"/>
      <c r="LE18" s="35"/>
      <c r="LF18" s="35"/>
      <c r="LG18" s="35"/>
      <c r="LH18" s="35"/>
      <c r="LI18" s="35"/>
      <c r="LJ18" s="35"/>
      <c r="LK18" s="35"/>
      <c r="LL18" s="35"/>
      <c r="LM18" s="35"/>
      <c r="LN18" s="35"/>
      <c r="LO18" s="35"/>
      <c r="LP18" s="35"/>
      <c r="LQ18" s="35"/>
      <c r="LR18" s="35"/>
      <c r="LS18" s="35"/>
      <c r="LT18" s="35"/>
      <c r="LU18" s="35"/>
      <c r="LV18" s="35"/>
      <c r="LW18" s="35"/>
      <c r="LX18" s="35"/>
      <c r="LY18" s="35"/>
      <c r="LZ18" s="35"/>
      <c r="MA18" s="35"/>
      <c r="MB18" s="35"/>
      <c r="MC18" s="35"/>
      <c r="MD18" s="35"/>
      <c r="ME18" s="35"/>
      <c r="MF18" s="35"/>
      <c r="MG18" s="35"/>
    </row>
    <row r="19" spans="2:345" s="67" customFormat="1" ht="36" hidden="1" customHeight="1" x14ac:dyDescent="0.25">
      <c r="B19" s="28">
        <v>4142</v>
      </c>
      <c r="C19" s="24" t="s">
        <v>40</v>
      </c>
      <c r="D19" s="19" t="s">
        <v>4297</v>
      </c>
      <c r="E19" s="18">
        <v>42376</v>
      </c>
      <c r="F19" s="27">
        <f t="shared" ca="1" si="0"/>
        <v>2097</v>
      </c>
      <c r="G19" s="69" t="s">
        <v>4298</v>
      </c>
      <c r="H19" s="68"/>
      <c r="I19" s="25"/>
      <c r="J19" s="25"/>
      <c r="K19" s="68"/>
      <c r="L19" s="68">
        <v>42396</v>
      </c>
      <c r="M19" s="68"/>
      <c r="N19" s="22" t="s">
        <v>4299</v>
      </c>
      <c r="O19" s="26"/>
      <c r="P19" s="35"/>
      <c r="Q19" s="35"/>
      <c r="R19" s="20"/>
      <c r="S19" s="35"/>
      <c r="T19" s="35"/>
      <c r="U19" s="35"/>
      <c r="V19" s="35"/>
      <c r="W19" s="35"/>
      <c r="X19" s="35"/>
      <c r="Y19" s="35"/>
      <c r="Z19" s="35"/>
      <c r="AA19" s="35"/>
      <c r="AB19" s="35"/>
      <c r="AC19" s="35"/>
      <c r="AD19" s="35"/>
      <c r="AE19" s="35"/>
      <c r="AF19" s="35"/>
      <c r="AG19" s="35"/>
      <c r="AH19" s="35"/>
      <c r="AI19" s="35"/>
      <c r="AJ19" s="35"/>
      <c r="AK19" s="35"/>
      <c r="AL19" s="35"/>
      <c r="AM19" s="35"/>
      <c r="AN19" s="35"/>
      <c r="AO19" s="35"/>
      <c r="AP19" s="35"/>
      <c r="AQ19" s="35"/>
      <c r="AR19" s="35"/>
      <c r="AS19" s="35"/>
      <c r="AT19" s="35"/>
      <c r="AU19" s="35"/>
      <c r="AV19" s="35"/>
      <c r="AW19" s="35"/>
      <c r="AX19" s="35"/>
      <c r="AY19" s="35"/>
      <c r="AZ19" s="35"/>
      <c r="BA19" s="35"/>
      <c r="BB19" s="35"/>
      <c r="BC19" s="35"/>
      <c r="BD19" s="35"/>
      <c r="BE19" s="35"/>
      <c r="BF19" s="35"/>
      <c r="BG19" s="35"/>
      <c r="BH19" s="35"/>
      <c r="BI19" s="35"/>
      <c r="BJ19" s="35"/>
      <c r="BK19" s="35"/>
      <c r="BL19" s="35"/>
      <c r="BM19" s="35"/>
      <c r="BN19" s="35"/>
      <c r="BO19" s="35"/>
      <c r="BP19" s="35"/>
      <c r="BQ19" s="35"/>
      <c r="BR19" s="35"/>
      <c r="BS19" s="35"/>
      <c r="BT19" s="35"/>
      <c r="BU19" s="35"/>
      <c r="BV19" s="35"/>
      <c r="BW19" s="35"/>
      <c r="BX19" s="35"/>
      <c r="BY19" s="35"/>
      <c r="BZ19" s="35"/>
      <c r="CA19" s="35"/>
      <c r="CB19" s="35"/>
      <c r="CC19" s="35"/>
      <c r="CD19" s="35"/>
      <c r="CE19" s="35"/>
      <c r="CF19" s="35"/>
      <c r="CG19" s="35"/>
      <c r="CH19" s="35"/>
      <c r="CI19" s="35"/>
      <c r="CJ19" s="35"/>
      <c r="CK19" s="35"/>
      <c r="CL19" s="35"/>
      <c r="CM19" s="35"/>
      <c r="CN19" s="35"/>
      <c r="CO19" s="35"/>
      <c r="CP19" s="35"/>
      <c r="CQ19" s="35"/>
      <c r="CR19" s="35"/>
      <c r="CS19" s="35"/>
      <c r="CT19" s="35"/>
      <c r="CU19" s="35"/>
      <c r="CV19" s="35"/>
      <c r="CW19" s="35"/>
      <c r="CX19" s="35"/>
      <c r="CY19" s="35"/>
      <c r="CZ19" s="35"/>
      <c r="DA19" s="35"/>
      <c r="DB19" s="35"/>
      <c r="DC19" s="35"/>
      <c r="DD19" s="35"/>
      <c r="DE19" s="35"/>
      <c r="DF19" s="35"/>
      <c r="DG19" s="35"/>
      <c r="DH19" s="35"/>
      <c r="DI19" s="35"/>
      <c r="DJ19" s="35"/>
      <c r="DK19" s="35"/>
      <c r="DL19" s="35"/>
      <c r="DM19" s="35"/>
      <c r="DN19" s="35"/>
      <c r="DO19" s="35"/>
      <c r="DP19" s="35"/>
      <c r="DQ19" s="35"/>
      <c r="DR19" s="35"/>
      <c r="DS19" s="35"/>
      <c r="DT19" s="35"/>
      <c r="DU19" s="35"/>
      <c r="DV19" s="35"/>
      <c r="DW19" s="35"/>
      <c r="DX19" s="35"/>
      <c r="DY19" s="35"/>
      <c r="DZ19" s="35"/>
      <c r="EA19" s="35"/>
      <c r="EB19" s="35"/>
      <c r="EC19" s="35"/>
      <c r="ED19" s="35"/>
      <c r="EE19" s="35"/>
      <c r="EF19" s="35"/>
      <c r="EG19" s="35"/>
      <c r="EH19" s="35"/>
      <c r="EI19" s="35"/>
      <c r="EJ19" s="35"/>
      <c r="EK19" s="35"/>
      <c r="EL19" s="35"/>
      <c r="EM19" s="35"/>
      <c r="EN19" s="35"/>
      <c r="EO19" s="35"/>
      <c r="EP19" s="35"/>
      <c r="EQ19" s="35"/>
      <c r="ER19" s="35"/>
      <c r="ES19" s="35"/>
      <c r="ET19" s="35"/>
      <c r="EU19" s="35"/>
      <c r="EV19" s="35"/>
      <c r="EW19" s="35"/>
      <c r="EX19" s="35"/>
      <c r="EY19" s="35"/>
      <c r="EZ19" s="35"/>
      <c r="FA19" s="35"/>
      <c r="FB19" s="35"/>
      <c r="FC19" s="35"/>
      <c r="FD19" s="35"/>
      <c r="FE19" s="35"/>
      <c r="FF19" s="35"/>
      <c r="FG19" s="35"/>
      <c r="FH19" s="35"/>
      <c r="FI19" s="35"/>
      <c r="FJ19" s="35"/>
      <c r="FK19" s="35"/>
      <c r="FL19" s="35"/>
      <c r="FM19" s="35"/>
      <c r="FN19" s="35"/>
      <c r="FO19" s="35"/>
      <c r="FP19" s="35"/>
      <c r="FQ19" s="35"/>
      <c r="FR19" s="35"/>
      <c r="FS19" s="35"/>
      <c r="FT19" s="35"/>
      <c r="FU19" s="35"/>
      <c r="FV19" s="35"/>
      <c r="FW19" s="35"/>
      <c r="FX19" s="35"/>
      <c r="FY19" s="35"/>
      <c r="FZ19" s="35"/>
      <c r="GA19" s="35"/>
      <c r="GB19" s="35"/>
      <c r="GC19" s="35"/>
      <c r="GD19" s="35"/>
      <c r="GE19" s="35"/>
      <c r="GF19" s="35"/>
      <c r="GG19" s="35"/>
      <c r="GH19" s="35"/>
      <c r="GI19" s="35"/>
      <c r="GJ19" s="35"/>
      <c r="GK19" s="35"/>
      <c r="GL19" s="35"/>
      <c r="GM19" s="35"/>
      <c r="GN19" s="35"/>
      <c r="GO19" s="35"/>
      <c r="GP19" s="35"/>
      <c r="GQ19" s="35"/>
      <c r="GR19" s="35"/>
      <c r="GS19" s="35"/>
      <c r="GT19" s="35"/>
      <c r="GU19" s="35"/>
      <c r="GV19" s="35"/>
      <c r="GW19" s="35"/>
      <c r="GX19" s="35"/>
      <c r="GY19" s="35"/>
      <c r="GZ19" s="35"/>
      <c r="HA19" s="35"/>
      <c r="HB19" s="35"/>
      <c r="HC19" s="35"/>
      <c r="HD19" s="35"/>
      <c r="HE19" s="35"/>
      <c r="HF19" s="35"/>
      <c r="HG19" s="35"/>
      <c r="HH19" s="35"/>
      <c r="HI19" s="35"/>
      <c r="HJ19" s="35"/>
      <c r="HK19" s="35"/>
      <c r="HL19" s="35"/>
      <c r="HM19" s="35"/>
      <c r="HN19" s="35"/>
      <c r="HO19" s="35"/>
      <c r="HP19" s="35"/>
      <c r="HQ19" s="35"/>
      <c r="HR19" s="35"/>
      <c r="HS19" s="35"/>
      <c r="HT19" s="35"/>
      <c r="HU19" s="35"/>
      <c r="HV19" s="35"/>
      <c r="HW19" s="35"/>
      <c r="HX19" s="35"/>
      <c r="HY19" s="35"/>
      <c r="HZ19" s="35"/>
      <c r="IA19" s="35"/>
      <c r="IB19" s="35"/>
      <c r="IC19" s="35"/>
      <c r="ID19" s="35"/>
      <c r="IE19" s="35"/>
      <c r="IF19" s="35"/>
      <c r="IG19" s="35"/>
      <c r="IH19" s="35"/>
      <c r="II19" s="35"/>
      <c r="IJ19" s="35"/>
      <c r="IK19" s="35"/>
      <c r="IL19" s="35"/>
      <c r="IM19" s="35"/>
      <c r="IN19" s="35"/>
      <c r="IO19" s="35"/>
      <c r="IP19" s="35"/>
      <c r="IQ19" s="35"/>
      <c r="IR19" s="35"/>
      <c r="IS19" s="35"/>
      <c r="IT19" s="35"/>
      <c r="IU19" s="35"/>
      <c r="IV19" s="35"/>
      <c r="IW19" s="35"/>
      <c r="IX19" s="35"/>
      <c r="IY19" s="35"/>
      <c r="IZ19" s="35"/>
      <c r="JA19" s="35"/>
      <c r="JB19" s="35"/>
      <c r="JC19" s="35"/>
      <c r="JD19" s="35"/>
      <c r="JE19" s="35"/>
      <c r="JF19" s="35"/>
      <c r="JG19" s="35"/>
      <c r="JH19" s="35"/>
      <c r="JI19" s="35"/>
      <c r="JJ19" s="35"/>
      <c r="JK19" s="35"/>
      <c r="JL19" s="35"/>
      <c r="JM19" s="35"/>
      <c r="JN19" s="35"/>
      <c r="JO19" s="35"/>
      <c r="JP19" s="35"/>
      <c r="JQ19" s="35"/>
      <c r="JR19" s="35"/>
      <c r="JS19" s="35"/>
      <c r="JT19" s="35"/>
      <c r="JU19" s="35"/>
      <c r="JV19" s="35"/>
      <c r="JW19" s="35"/>
      <c r="JX19" s="35"/>
      <c r="JY19" s="35"/>
      <c r="JZ19" s="35"/>
      <c r="KA19" s="35"/>
      <c r="KB19" s="35"/>
      <c r="KC19" s="35"/>
      <c r="KD19" s="35"/>
      <c r="KE19" s="35"/>
      <c r="KF19" s="35"/>
      <c r="KG19" s="35"/>
      <c r="KH19" s="35"/>
      <c r="KI19" s="35"/>
      <c r="KJ19" s="35"/>
      <c r="KK19" s="35"/>
      <c r="KL19" s="35"/>
      <c r="KM19" s="35"/>
      <c r="KN19" s="35"/>
      <c r="KO19" s="35"/>
      <c r="KP19" s="35"/>
      <c r="KQ19" s="35"/>
      <c r="KR19" s="35"/>
      <c r="KS19" s="35"/>
      <c r="KT19" s="35"/>
      <c r="KU19" s="35"/>
      <c r="KV19" s="35"/>
      <c r="KW19" s="35"/>
      <c r="KX19" s="35"/>
      <c r="KY19" s="35"/>
      <c r="KZ19" s="35"/>
      <c r="LA19" s="35"/>
      <c r="LB19" s="35"/>
      <c r="LC19" s="35"/>
      <c r="LD19" s="35"/>
      <c r="LE19" s="35"/>
      <c r="LF19" s="35"/>
      <c r="LG19" s="35"/>
      <c r="LH19" s="35"/>
      <c r="LI19" s="35"/>
      <c r="LJ19" s="35"/>
      <c r="LK19" s="35"/>
      <c r="LL19" s="35"/>
      <c r="LM19" s="35"/>
      <c r="LN19" s="35"/>
      <c r="LO19" s="35"/>
      <c r="LP19" s="35"/>
      <c r="LQ19" s="35"/>
      <c r="LR19" s="35"/>
      <c r="LS19" s="35"/>
      <c r="LT19" s="35"/>
      <c r="LU19" s="35"/>
      <c r="LV19" s="35"/>
      <c r="LW19" s="35"/>
      <c r="LX19" s="35"/>
      <c r="LY19" s="35"/>
      <c r="LZ19" s="35"/>
      <c r="MA19" s="35"/>
      <c r="MB19" s="35"/>
      <c r="MC19" s="35"/>
      <c r="MD19" s="35"/>
      <c r="ME19" s="35"/>
      <c r="MF19" s="35"/>
      <c r="MG19" s="35"/>
    </row>
    <row r="20" spans="2:345" s="67" customFormat="1" ht="36" hidden="1" customHeight="1" x14ac:dyDescent="0.25">
      <c r="B20" s="28">
        <v>4143</v>
      </c>
      <c r="C20" s="24" t="s">
        <v>39</v>
      </c>
      <c r="D20" s="19" t="s">
        <v>4332</v>
      </c>
      <c r="E20" s="18">
        <v>42376</v>
      </c>
      <c r="F20" s="27">
        <f t="shared" ca="1" si="0"/>
        <v>2097</v>
      </c>
      <c r="G20" s="69" t="s">
        <v>4298</v>
      </c>
      <c r="H20" s="68"/>
      <c r="I20" s="25"/>
      <c r="J20" s="25"/>
      <c r="K20" s="68"/>
      <c r="L20" s="68">
        <v>42384</v>
      </c>
      <c r="M20" s="68"/>
      <c r="N20" s="22" t="s">
        <v>4333</v>
      </c>
      <c r="O20" s="26"/>
      <c r="P20" s="35"/>
      <c r="Q20" s="35"/>
      <c r="R20" s="20"/>
      <c r="S20" s="35"/>
      <c r="T20" s="35"/>
      <c r="U20" s="35"/>
      <c r="V20" s="35"/>
      <c r="W20" s="35"/>
      <c r="X20" s="35"/>
      <c r="Y20" s="35"/>
      <c r="Z20" s="35"/>
      <c r="AA20" s="35"/>
      <c r="AB20" s="35"/>
      <c r="AC20" s="35"/>
      <c r="AD20" s="35"/>
      <c r="AE20" s="35"/>
      <c r="AF20" s="35"/>
      <c r="AG20" s="35"/>
      <c r="AH20" s="35"/>
      <c r="AI20" s="35"/>
      <c r="AJ20" s="35"/>
      <c r="AK20" s="35"/>
      <c r="AL20" s="35"/>
      <c r="AM20" s="35"/>
      <c r="AN20" s="35"/>
      <c r="AO20" s="35"/>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c r="DV20" s="35"/>
      <c r="DW20" s="35"/>
      <c r="DX20" s="35"/>
      <c r="DY20" s="35"/>
      <c r="DZ20" s="35"/>
      <c r="EA20" s="35"/>
      <c r="EB20" s="35"/>
      <c r="EC20" s="35"/>
      <c r="ED20" s="35"/>
      <c r="EE20" s="35"/>
      <c r="EF20" s="35"/>
      <c r="EG20" s="35"/>
      <c r="EH20" s="35"/>
      <c r="EI20" s="35"/>
      <c r="EJ20" s="35"/>
      <c r="EK20" s="35"/>
      <c r="EL20" s="35"/>
      <c r="EM20" s="35"/>
      <c r="EN20" s="35"/>
      <c r="EO20" s="35"/>
      <c r="EP20" s="35"/>
      <c r="EQ20" s="35"/>
      <c r="ER20" s="35"/>
      <c r="ES20" s="35"/>
      <c r="ET20" s="35"/>
      <c r="EU20" s="35"/>
      <c r="EV20" s="35"/>
      <c r="EW20" s="35"/>
      <c r="EX20" s="35"/>
      <c r="EY20" s="35"/>
      <c r="EZ20" s="35"/>
      <c r="FA20" s="35"/>
      <c r="FB20" s="35"/>
      <c r="FC20" s="35"/>
      <c r="FD20" s="35"/>
      <c r="FE20" s="35"/>
      <c r="FF20" s="35"/>
      <c r="FG20" s="35"/>
      <c r="FH20" s="35"/>
      <c r="FI20" s="35"/>
      <c r="FJ20" s="35"/>
      <c r="FK20" s="35"/>
      <c r="FL20" s="35"/>
      <c r="FM20" s="35"/>
      <c r="FN20" s="35"/>
      <c r="FO20" s="35"/>
      <c r="FP20" s="35"/>
      <c r="FQ20" s="35"/>
      <c r="FR20" s="35"/>
      <c r="FS20" s="35"/>
      <c r="FT20" s="35"/>
      <c r="FU20" s="35"/>
      <c r="FV20" s="35"/>
      <c r="FW20" s="35"/>
      <c r="FX20" s="35"/>
      <c r="FY20" s="35"/>
      <c r="FZ20" s="35"/>
      <c r="GA20" s="35"/>
      <c r="GB20" s="35"/>
      <c r="GC20" s="35"/>
      <c r="GD20" s="35"/>
      <c r="GE20" s="35"/>
      <c r="GF20" s="35"/>
      <c r="GG20" s="35"/>
      <c r="GH20" s="35"/>
      <c r="GI20" s="35"/>
      <c r="GJ20" s="35"/>
      <c r="GK20" s="35"/>
      <c r="GL20" s="35"/>
      <c r="GM20" s="35"/>
      <c r="GN20" s="35"/>
      <c r="GO20" s="35"/>
      <c r="GP20" s="35"/>
      <c r="GQ20" s="35"/>
      <c r="GR20" s="35"/>
      <c r="GS20" s="35"/>
      <c r="GT20" s="35"/>
      <c r="GU20" s="35"/>
      <c r="GV20" s="35"/>
      <c r="GW20" s="35"/>
      <c r="GX20" s="35"/>
      <c r="GY20" s="35"/>
      <c r="GZ20" s="35"/>
      <c r="HA20" s="35"/>
      <c r="HB20" s="35"/>
      <c r="HC20" s="35"/>
      <c r="HD20" s="35"/>
      <c r="HE20" s="35"/>
      <c r="HF20" s="35"/>
      <c r="HG20" s="35"/>
      <c r="HH20" s="35"/>
      <c r="HI20" s="35"/>
      <c r="HJ20" s="35"/>
      <c r="HK20" s="35"/>
      <c r="HL20" s="35"/>
      <c r="HM20" s="35"/>
      <c r="HN20" s="35"/>
      <c r="HO20" s="35"/>
      <c r="HP20" s="35"/>
      <c r="HQ20" s="35"/>
      <c r="HR20" s="35"/>
      <c r="HS20" s="35"/>
      <c r="HT20" s="35"/>
      <c r="HU20" s="35"/>
      <c r="HV20" s="35"/>
      <c r="HW20" s="35"/>
      <c r="HX20" s="35"/>
      <c r="HY20" s="35"/>
      <c r="HZ20" s="35"/>
      <c r="IA20" s="35"/>
      <c r="IB20" s="35"/>
      <c r="IC20" s="35"/>
      <c r="ID20" s="35"/>
      <c r="IE20" s="35"/>
      <c r="IF20" s="35"/>
      <c r="IG20" s="35"/>
      <c r="IH20" s="35"/>
      <c r="II20" s="35"/>
      <c r="IJ20" s="35"/>
      <c r="IK20" s="35"/>
      <c r="IL20" s="35"/>
      <c r="IM20" s="35"/>
      <c r="IN20" s="35"/>
      <c r="IO20" s="35"/>
      <c r="IP20" s="35"/>
      <c r="IQ20" s="35"/>
      <c r="IR20" s="35"/>
      <c r="IS20" s="35"/>
      <c r="IT20" s="35"/>
      <c r="IU20" s="35"/>
      <c r="IV20" s="35"/>
      <c r="IW20" s="35"/>
      <c r="IX20" s="35"/>
      <c r="IY20" s="35"/>
      <c r="IZ20" s="35"/>
      <c r="JA20" s="35"/>
      <c r="JB20" s="35"/>
      <c r="JC20" s="35"/>
      <c r="JD20" s="35"/>
      <c r="JE20" s="35"/>
      <c r="JF20" s="35"/>
      <c r="JG20" s="35"/>
      <c r="JH20" s="35"/>
      <c r="JI20" s="35"/>
      <c r="JJ20" s="35"/>
      <c r="JK20" s="35"/>
      <c r="JL20" s="35"/>
      <c r="JM20" s="35"/>
      <c r="JN20" s="35"/>
      <c r="JO20" s="35"/>
      <c r="JP20" s="35"/>
      <c r="JQ20" s="35"/>
      <c r="JR20" s="35"/>
      <c r="JS20" s="35"/>
      <c r="JT20" s="35"/>
      <c r="JU20" s="35"/>
      <c r="JV20" s="35"/>
      <c r="JW20" s="35"/>
      <c r="JX20" s="35"/>
      <c r="JY20" s="35"/>
      <c r="JZ20" s="35"/>
      <c r="KA20" s="35"/>
      <c r="KB20" s="35"/>
      <c r="KC20" s="35"/>
      <c r="KD20" s="35"/>
      <c r="KE20" s="35"/>
      <c r="KF20" s="35"/>
      <c r="KG20" s="35"/>
      <c r="KH20" s="35"/>
      <c r="KI20" s="35"/>
      <c r="KJ20" s="35"/>
      <c r="KK20" s="35"/>
      <c r="KL20" s="35"/>
      <c r="KM20" s="35"/>
      <c r="KN20" s="35"/>
      <c r="KO20" s="35"/>
      <c r="KP20" s="35"/>
      <c r="KQ20" s="35"/>
      <c r="KR20" s="35"/>
      <c r="KS20" s="35"/>
      <c r="KT20" s="35"/>
      <c r="KU20" s="35"/>
      <c r="KV20" s="35"/>
      <c r="KW20" s="35"/>
      <c r="KX20" s="35"/>
      <c r="KY20" s="35"/>
      <c r="KZ20" s="35"/>
      <c r="LA20" s="35"/>
      <c r="LB20" s="35"/>
      <c r="LC20" s="35"/>
      <c r="LD20" s="35"/>
      <c r="LE20" s="35"/>
      <c r="LF20" s="35"/>
      <c r="LG20" s="35"/>
      <c r="LH20" s="35"/>
      <c r="LI20" s="35"/>
      <c r="LJ20" s="35"/>
      <c r="LK20" s="35"/>
      <c r="LL20" s="35"/>
      <c r="LM20" s="35"/>
      <c r="LN20" s="35"/>
      <c r="LO20" s="35"/>
      <c r="LP20" s="35"/>
      <c r="LQ20" s="35"/>
      <c r="LR20" s="35"/>
      <c r="LS20" s="35"/>
      <c r="LT20" s="35"/>
      <c r="LU20" s="35"/>
      <c r="LV20" s="35"/>
      <c r="LW20" s="35"/>
      <c r="LX20" s="35"/>
      <c r="LY20" s="35"/>
      <c r="LZ20" s="35"/>
      <c r="MA20" s="35"/>
      <c r="MB20" s="35"/>
      <c r="MC20" s="35"/>
      <c r="MD20" s="35"/>
      <c r="ME20" s="35"/>
      <c r="MF20" s="35"/>
      <c r="MG20" s="35"/>
    </row>
    <row r="21" spans="2:345" s="67" customFormat="1" ht="36" hidden="1" customHeight="1" x14ac:dyDescent="0.25">
      <c r="B21" s="28">
        <v>4143</v>
      </c>
      <c r="C21" s="24" t="s">
        <v>40</v>
      </c>
      <c r="D21" s="19" t="s">
        <v>4297</v>
      </c>
      <c r="E21" s="18">
        <v>42376</v>
      </c>
      <c r="F21" s="27">
        <f t="shared" ca="1" si="0"/>
        <v>2097</v>
      </c>
      <c r="G21" s="69" t="s">
        <v>4298</v>
      </c>
      <c r="H21" s="68"/>
      <c r="I21" s="25"/>
      <c r="J21" s="25"/>
      <c r="K21" s="68"/>
      <c r="L21" s="68">
        <v>42384</v>
      </c>
      <c r="M21" s="68"/>
      <c r="N21" s="22" t="s">
        <v>4333</v>
      </c>
      <c r="O21" s="26"/>
      <c r="P21" s="35"/>
      <c r="Q21" s="35"/>
      <c r="R21" s="20"/>
      <c r="S21" s="35"/>
      <c r="T21" s="35"/>
      <c r="U21" s="35"/>
      <c r="V21" s="35"/>
      <c r="W21" s="35"/>
      <c r="X21" s="35"/>
      <c r="Y21" s="35"/>
      <c r="Z21" s="35"/>
      <c r="AA21" s="35"/>
      <c r="AB21" s="35"/>
      <c r="AC21" s="35"/>
      <c r="AD21" s="35"/>
      <c r="AE21" s="35"/>
      <c r="AF21" s="35"/>
      <c r="AG21" s="35"/>
      <c r="AH21" s="35"/>
      <c r="AI21" s="35"/>
      <c r="AJ21" s="35"/>
      <c r="AK21" s="35"/>
      <c r="AL21" s="35"/>
      <c r="AM21" s="35"/>
      <c r="AN21" s="35"/>
      <c r="AO21" s="35"/>
      <c r="AP21" s="35"/>
      <c r="AQ21" s="35"/>
      <c r="AR21" s="35"/>
      <c r="AS21" s="35"/>
      <c r="AT21" s="35"/>
      <c r="AU21" s="35"/>
      <c r="AV21" s="35"/>
      <c r="AW21" s="35"/>
      <c r="AX21" s="35"/>
      <c r="AY21" s="35"/>
      <c r="AZ21" s="35"/>
      <c r="BA21" s="35"/>
      <c r="BB21" s="35"/>
      <c r="BC21" s="35"/>
      <c r="BD21" s="35"/>
      <c r="BE21" s="35"/>
      <c r="BF21" s="35"/>
      <c r="BG21" s="35"/>
      <c r="BH21" s="35"/>
      <c r="BI21" s="35"/>
      <c r="BJ21" s="35"/>
      <c r="BK21" s="35"/>
      <c r="BL21" s="35"/>
      <c r="BM21" s="35"/>
      <c r="BN21" s="35"/>
      <c r="BO21" s="35"/>
      <c r="BP21" s="35"/>
      <c r="BQ21" s="35"/>
      <c r="BR21" s="35"/>
      <c r="BS21" s="35"/>
      <c r="BT21" s="35"/>
      <c r="BU21" s="35"/>
      <c r="BV21" s="35"/>
      <c r="BW21" s="35"/>
      <c r="BX21" s="35"/>
      <c r="BY21" s="35"/>
      <c r="BZ21" s="35"/>
      <c r="CA21" s="35"/>
      <c r="CB21" s="35"/>
      <c r="CC21" s="35"/>
      <c r="CD21" s="35"/>
      <c r="CE21" s="35"/>
      <c r="CF21" s="35"/>
      <c r="CG21" s="35"/>
      <c r="CH21" s="35"/>
      <c r="CI21" s="35"/>
      <c r="CJ21" s="35"/>
      <c r="CK21" s="35"/>
      <c r="CL21" s="35"/>
      <c r="CM21" s="35"/>
      <c r="CN21" s="35"/>
      <c r="CO21" s="35"/>
      <c r="CP21" s="35"/>
      <c r="CQ21" s="35"/>
      <c r="CR21" s="35"/>
      <c r="CS21" s="35"/>
      <c r="CT21" s="35"/>
      <c r="CU21" s="35"/>
      <c r="CV21" s="35"/>
      <c r="CW21" s="35"/>
      <c r="CX21" s="35"/>
      <c r="CY21" s="35"/>
      <c r="CZ21" s="35"/>
      <c r="DA21" s="35"/>
      <c r="DB21" s="35"/>
      <c r="DC21" s="35"/>
      <c r="DD21" s="35"/>
      <c r="DE21" s="35"/>
      <c r="DF21" s="35"/>
      <c r="DG21" s="35"/>
      <c r="DH21" s="35"/>
      <c r="DI21" s="35"/>
      <c r="DJ21" s="35"/>
      <c r="DK21" s="35"/>
      <c r="DL21" s="35"/>
      <c r="DM21" s="35"/>
      <c r="DN21" s="35"/>
      <c r="DO21" s="35"/>
      <c r="DP21" s="35"/>
      <c r="DQ21" s="35"/>
      <c r="DR21" s="35"/>
      <c r="DS21" s="35"/>
      <c r="DT21" s="35"/>
      <c r="DU21" s="35"/>
      <c r="DV21" s="35"/>
      <c r="DW21" s="35"/>
      <c r="DX21" s="35"/>
      <c r="DY21" s="35"/>
      <c r="DZ21" s="35"/>
      <c r="EA21" s="35"/>
      <c r="EB21" s="35"/>
      <c r="EC21" s="35"/>
      <c r="ED21" s="35"/>
      <c r="EE21" s="35"/>
      <c r="EF21" s="35"/>
      <c r="EG21" s="35"/>
      <c r="EH21" s="35"/>
      <c r="EI21" s="35"/>
      <c r="EJ21" s="35"/>
      <c r="EK21" s="35"/>
      <c r="EL21" s="35"/>
      <c r="EM21" s="35"/>
      <c r="EN21" s="35"/>
      <c r="EO21" s="35"/>
      <c r="EP21" s="35"/>
      <c r="EQ21" s="35"/>
      <c r="ER21" s="35"/>
      <c r="ES21" s="35"/>
      <c r="ET21" s="35"/>
      <c r="EU21" s="35"/>
      <c r="EV21" s="35"/>
      <c r="EW21" s="35"/>
      <c r="EX21" s="35"/>
      <c r="EY21" s="35"/>
      <c r="EZ21" s="35"/>
      <c r="FA21" s="35"/>
      <c r="FB21" s="35"/>
      <c r="FC21" s="35"/>
      <c r="FD21" s="35"/>
      <c r="FE21" s="35"/>
      <c r="FF21" s="35"/>
      <c r="FG21" s="35"/>
      <c r="FH21" s="35"/>
      <c r="FI21" s="35"/>
      <c r="FJ21" s="35"/>
      <c r="FK21" s="35"/>
      <c r="FL21" s="35"/>
      <c r="FM21" s="35"/>
      <c r="FN21" s="35"/>
      <c r="FO21" s="35"/>
      <c r="FP21" s="35"/>
      <c r="FQ21" s="35"/>
      <c r="FR21" s="35"/>
      <c r="FS21" s="35"/>
      <c r="FT21" s="35"/>
      <c r="FU21" s="35"/>
      <c r="FV21" s="35"/>
      <c r="FW21" s="35"/>
      <c r="FX21" s="35"/>
      <c r="FY21" s="35"/>
      <c r="FZ21" s="35"/>
      <c r="GA21" s="35"/>
      <c r="GB21" s="35"/>
      <c r="GC21" s="35"/>
      <c r="GD21" s="35"/>
      <c r="GE21" s="35"/>
      <c r="GF21" s="35"/>
      <c r="GG21" s="35"/>
      <c r="GH21" s="35"/>
      <c r="GI21" s="35"/>
      <c r="GJ21" s="35"/>
      <c r="GK21" s="35"/>
      <c r="GL21" s="35"/>
      <c r="GM21" s="35"/>
      <c r="GN21" s="35"/>
      <c r="GO21" s="35"/>
      <c r="GP21" s="35"/>
      <c r="GQ21" s="35"/>
      <c r="GR21" s="35"/>
      <c r="GS21" s="35"/>
      <c r="GT21" s="35"/>
      <c r="GU21" s="35"/>
      <c r="GV21" s="35"/>
      <c r="GW21" s="35"/>
      <c r="GX21" s="35"/>
      <c r="GY21" s="35"/>
      <c r="GZ21" s="35"/>
      <c r="HA21" s="35"/>
      <c r="HB21" s="35"/>
      <c r="HC21" s="35"/>
      <c r="HD21" s="35"/>
      <c r="HE21" s="35"/>
      <c r="HF21" s="35"/>
      <c r="HG21" s="35"/>
      <c r="HH21" s="35"/>
      <c r="HI21" s="35"/>
      <c r="HJ21" s="35"/>
      <c r="HK21" s="35"/>
      <c r="HL21" s="35"/>
      <c r="HM21" s="35"/>
      <c r="HN21" s="35"/>
      <c r="HO21" s="35"/>
      <c r="HP21" s="35"/>
      <c r="HQ21" s="35"/>
      <c r="HR21" s="35"/>
      <c r="HS21" s="35"/>
      <c r="HT21" s="35"/>
      <c r="HU21" s="35"/>
      <c r="HV21" s="35"/>
      <c r="HW21" s="35"/>
      <c r="HX21" s="35"/>
      <c r="HY21" s="35"/>
      <c r="HZ21" s="35"/>
      <c r="IA21" s="35"/>
      <c r="IB21" s="35"/>
      <c r="IC21" s="35"/>
      <c r="ID21" s="35"/>
      <c r="IE21" s="35"/>
      <c r="IF21" s="35"/>
      <c r="IG21" s="35"/>
      <c r="IH21" s="35"/>
      <c r="II21" s="35"/>
      <c r="IJ21" s="35"/>
      <c r="IK21" s="35"/>
      <c r="IL21" s="35"/>
      <c r="IM21" s="35"/>
      <c r="IN21" s="35"/>
      <c r="IO21" s="35"/>
      <c r="IP21" s="35"/>
      <c r="IQ21" s="35"/>
      <c r="IR21" s="35"/>
      <c r="IS21" s="35"/>
      <c r="IT21" s="35"/>
      <c r="IU21" s="35"/>
      <c r="IV21" s="35"/>
      <c r="IW21" s="35"/>
      <c r="IX21" s="35"/>
      <c r="IY21" s="35"/>
      <c r="IZ21" s="35"/>
      <c r="JA21" s="35"/>
      <c r="JB21" s="35"/>
      <c r="JC21" s="35"/>
      <c r="JD21" s="35"/>
      <c r="JE21" s="35"/>
      <c r="JF21" s="35"/>
      <c r="JG21" s="35"/>
      <c r="JH21" s="35"/>
      <c r="JI21" s="35"/>
      <c r="JJ21" s="35"/>
      <c r="JK21" s="35"/>
      <c r="JL21" s="35"/>
      <c r="JM21" s="35"/>
      <c r="JN21" s="35"/>
      <c r="JO21" s="35"/>
      <c r="JP21" s="35"/>
      <c r="JQ21" s="35"/>
      <c r="JR21" s="35"/>
      <c r="JS21" s="35"/>
      <c r="JT21" s="35"/>
      <c r="JU21" s="35"/>
      <c r="JV21" s="35"/>
      <c r="JW21" s="35"/>
      <c r="JX21" s="35"/>
      <c r="JY21" s="35"/>
      <c r="JZ21" s="35"/>
      <c r="KA21" s="35"/>
      <c r="KB21" s="35"/>
      <c r="KC21" s="35"/>
      <c r="KD21" s="35"/>
      <c r="KE21" s="35"/>
      <c r="KF21" s="35"/>
      <c r="KG21" s="35"/>
      <c r="KH21" s="35"/>
      <c r="KI21" s="35"/>
      <c r="KJ21" s="35"/>
      <c r="KK21" s="35"/>
      <c r="KL21" s="35"/>
      <c r="KM21" s="35"/>
      <c r="KN21" s="35"/>
      <c r="KO21" s="35"/>
      <c r="KP21" s="35"/>
      <c r="KQ21" s="35"/>
      <c r="KR21" s="35"/>
      <c r="KS21" s="35"/>
      <c r="KT21" s="35"/>
      <c r="KU21" s="35"/>
      <c r="KV21" s="35"/>
      <c r="KW21" s="35"/>
      <c r="KX21" s="35"/>
      <c r="KY21" s="35"/>
      <c r="KZ21" s="35"/>
      <c r="LA21" s="35"/>
      <c r="LB21" s="35"/>
      <c r="LC21" s="35"/>
      <c r="LD21" s="35"/>
      <c r="LE21" s="35"/>
      <c r="LF21" s="35"/>
      <c r="LG21" s="35"/>
      <c r="LH21" s="35"/>
      <c r="LI21" s="35"/>
      <c r="LJ21" s="35"/>
      <c r="LK21" s="35"/>
      <c r="LL21" s="35"/>
      <c r="LM21" s="35"/>
      <c r="LN21" s="35"/>
      <c r="LO21" s="35"/>
      <c r="LP21" s="35"/>
      <c r="LQ21" s="35"/>
      <c r="LR21" s="35"/>
      <c r="LS21" s="35"/>
      <c r="LT21" s="35"/>
      <c r="LU21" s="35"/>
      <c r="LV21" s="35"/>
      <c r="LW21" s="35"/>
      <c r="LX21" s="35"/>
      <c r="LY21" s="35"/>
      <c r="LZ21" s="35"/>
      <c r="MA21" s="35"/>
      <c r="MB21" s="35"/>
      <c r="MC21" s="35"/>
      <c r="MD21" s="35"/>
      <c r="ME21" s="35"/>
      <c r="MF21" s="35"/>
      <c r="MG21" s="35"/>
    </row>
    <row r="22" spans="2:345" s="67" customFormat="1" ht="36" hidden="1" customHeight="1" x14ac:dyDescent="0.25">
      <c r="B22" s="28">
        <v>4153</v>
      </c>
      <c r="C22" s="24" t="s">
        <v>40</v>
      </c>
      <c r="D22" s="19" t="s">
        <v>4321</v>
      </c>
      <c r="E22" s="18">
        <v>42376</v>
      </c>
      <c r="F22" s="27">
        <f t="shared" ca="1" si="0"/>
        <v>2097</v>
      </c>
      <c r="G22" s="69" t="s">
        <v>4354</v>
      </c>
      <c r="H22" s="68"/>
      <c r="I22" s="25"/>
      <c r="J22" s="25">
        <v>42390</v>
      </c>
      <c r="K22" s="68" t="s">
        <v>2532</v>
      </c>
      <c r="L22" s="68">
        <v>42389</v>
      </c>
      <c r="M22" s="68"/>
      <c r="N22" s="22" t="s">
        <v>4357</v>
      </c>
      <c r="O22" s="26"/>
      <c r="P22" s="35"/>
      <c r="Q22" s="35"/>
      <c r="R22" s="20"/>
      <c r="S22" s="35"/>
      <c r="T22" s="35"/>
      <c r="U22" s="35"/>
      <c r="V22" s="35"/>
      <c r="W22" s="35"/>
      <c r="X22" s="35"/>
      <c r="Y22" s="35"/>
      <c r="Z22" s="35"/>
      <c r="AA22" s="35"/>
      <c r="AB22" s="35"/>
      <c r="AC22" s="35"/>
      <c r="AD22" s="35"/>
      <c r="AE22" s="35"/>
      <c r="AF22" s="35"/>
      <c r="AG22" s="35"/>
      <c r="AH22" s="35"/>
      <c r="AI22" s="35"/>
      <c r="AJ22" s="35"/>
      <c r="AK22" s="35"/>
      <c r="AL22" s="35"/>
      <c r="AM22" s="35"/>
      <c r="AN22" s="35"/>
      <c r="AO22" s="35"/>
      <c r="AP22" s="35"/>
      <c r="AQ22" s="35"/>
      <c r="AR22" s="35"/>
      <c r="AS22" s="35"/>
      <c r="AT22" s="35"/>
      <c r="AU22" s="35"/>
      <c r="AV22" s="35"/>
      <c r="AW22" s="35"/>
      <c r="AX22" s="35"/>
      <c r="AY22" s="35"/>
      <c r="AZ22" s="35"/>
      <c r="BA22" s="35"/>
      <c r="BB22" s="35"/>
      <c r="BC22" s="35"/>
      <c r="BD22" s="35"/>
      <c r="BE22" s="35"/>
      <c r="BF22" s="35"/>
      <c r="BG22" s="35"/>
      <c r="BH22" s="35"/>
      <c r="BI22" s="35"/>
      <c r="BJ22" s="35"/>
      <c r="BK22" s="35"/>
      <c r="BL22" s="35"/>
      <c r="BM22" s="35"/>
      <c r="BN22" s="35"/>
      <c r="BO22" s="35"/>
      <c r="BP22" s="35"/>
      <c r="BQ22" s="35"/>
      <c r="BR22" s="35"/>
      <c r="BS22" s="35"/>
      <c r="BT22" s="35"/>
      <c r="BU22" s="35"/>
      <c r="BV22" s="35"/>
      <c r="BW22" s="35"/>
      <c r="BX22" s="35"/>
      <c r="BY22" s="35"/>
      <c r="BZ22" s="35"/>
      <c r="CA22" s="35"/>
      <c r="CB22" s="35"/>
      <c r="CC22" s="35"/>
      <c r="CD22" s="35"/>
      <c r="CE22" s="35"/>
      <c r="CF22" s="35"/>
      <c r="CG22" s="35"/>
      <c r="CH22" s="35"/>
      <c r="CI22" s="35"/>
      <c r="CJ22" s="35"/>
      <c r="CK22" s="35"/>
      <c r="CL22" s="35"/>
      <c r="CM22" s="35"/>
      <c r="CN22" s="35"/>
      <c r="CO22" s="35"/>
      <c r="CP22" s="35"/>
      <c r="CQ22" s="35"/>
      <c r="CR22" s="35"/>
      <c r="CS22" s="35"/>
      <c r="CT22" s="35"/>
      <c r="CU22" s="35"/>
      <c r="CV22" s="35"/>
      <c r="CW22" s="35"/>
      <c r="CX22" s="35"/>
      <c r="CY22" s="35"/>
      <c r="CZ22" s="35"/>
      <c r="DA22" s="35"/>
      <c r="DB22" s="35"/>
      <c r="DC22" s="35"/>
      <c r="DD22" s="35"/>
      <c r="DE22" s="35"/>
      <c r="DF22" s="35"/>
      <c r="DG22" s="35"/>
      <c r="DH22" s="35"/>
      <c r="DI22" s="35"/>
      <c r="DJ22" s="35"/>
      <c r="DK22" s="35"/>
      <c r="DL22" s="35"/>
      <c r="DM22" s="35"/>
      <c r="DN22" s="35"/>
      <c r="DO22" s="35"/>
      <c r="DP22" s="35"/>
      <c r="DQ22" s="35"/>
      <c r="DR22" s="35"/>
      <c r="DS22" s="35"/>
      <c r="DT22" s="35"/>
      <c r="DU22" s="35"/>
      <c r="DV22" s="35"/>
      <c r="DW22" s="35"/>
      <c r="DX22" s="35"/>
      <c r="DY22" s="35"/>
      <c r="DZ22" s="35"/>
      <c r="EA22" s="35"/>
      <c r="EB22" s="35"/>
      <c r="EC22" s="35"/>
      <c r="ED22" s="35"/>
      <c r="EE22" s="35"/>
      <c r="EF22" s="35"/>
      <c r="EG22" s="35"/>
      <c r="EH22" s="35"/>
      <c r="EI22" s="35"/>
      <c r="EJ22" s="35"/>
      <c r="EK22" s="35"/>
      <c r="EL22" s="35"/>
      <c r="EM22" s="35"/>
      <c r="EN22" s="35"/>
      <c r="EO22" s="35"/>
      <c r="EP22" s="35"/>
      <c r="EQ22" s="35"/>
      <c r="ER22" s="35"/>
      <c r="ES22" s="35"/>
      <c r="ET22" s="35"/>
      <c r="EU22" s="35"/>
      <c r="EV22" s="35"/>
      <c r="EW22" s="35"/>
      <c r="EX22" s="35"/>
      <c r="EY22" s="35"/>
      <c r="EZ22" s="35"/>
      <c r="FA22" s="35"/>
      <c r="FB22" s="35"/>
      <c r="FC22" s="35"/>
      <c r="FD22" s="35"/>
      <c r="FE22" s="35"/>
      <c r="FF22" s="35"/>
      <c r="FG22" s="35"/>
      <c r="FH22" s="35"/>
      <c r="FI22" s="35"/>
      <c r="FJ22" s="35"/>
      <c r="FK22" s="35"/>
      <c r="FL22" s="35"/>
      <c r="FM22" s="35"/>
      <c r="FN22" s="35"/>
      <c r="FO22" s="35"/>
      <c r="FP22" s="35"/>
      <c r="FQ22" s="35"/>
      <c r="FR22" s="35"/>
      <c r="FS22" s="35"/>
      <c r="FT22" s="35"/>
      <c r="FU22" s="35"/>
      <c r="FV22" s="35"/>
      <c r="FW22" s="35"/>
      <c r="FX22" s="35"/>
      <c r="FY22" s="35"/>
      <c r="FZ22" s="35"/>
      <c r="GA22" s="35"/>
      <c r="GB22" s="35"/>
      <c r="GC22" s="35"/>
      <c r="GD22" s="35"/>
      <c r="GE22" s="35"/>
      <c r="GF22" s="35"/>
      <c r="GG22" s="35"/>
      <c r="GH22" s="35"/>
      <c r="GI22" s="35"/>
      <c r="GJ22" s="35"/>
      <c r="GK22" s="35"/>
      <c r="GL22" s="35"/>
      <c r="GM22" s="35"/>
      <c r="GN22" s="35"/>
      <c r="GO22" s="35"/>
      <c r="GP22" s="35"/>
      <c r="GQ22" s="35"/>
      <c r="GR22" s="35"/>
      <c r="GS22" s="35"/>
      <c r="GT22" s="35"/>
      <c r="GU22" s="35"/>
      <c r="GV22" s="35"/>
      <c r="GW22" s="35"/>
      <c r="GX22" s="35"/>
      <c r="GY22" s="35"/>
      <c r="GZ22" s="35"/>
      <c r="HA22" s="35"/>
      <c r="HB22" s="35"/>
      <c r="HC22" s="35"/>
      <c r="HD22" s="35"/>
      <c r="HE22" s="35"/>
      <c r="HF22" s="35"/>
      <c r="HG22" s="35"/>
      <c r="HH22" s="35"/>
      <c r="HI22" s="35"/>
      <c r="HJ22" s="35"/>
      <c r="HK22" s="35"/>
      <c r="HL22" s="35"/>
      <c r="HM22" s="35"/>
      <c r="HN22" s="35"/>
      <c r="HO22" s="35"/>
      <c r="HP22" s="35"/>
      <c r="HQ22" s="35"/>
      <c r="HR22" s="35"/>
      <c r="HS22" s="35"/>
      <c r="HT22" s="35"/>
      <c r="HU22" s="35"/>
      <c r="HV22" s="35"/>
      <c r="HW22" s="35"/>
      <c r="HX22" s="35"/>
      <c r="HY22" s="35"/>
      <c r="HZ22" s="35"/>
      <c r="IA22" s="35"/>
      <c r="IB22" s="35"/>
      <c r="IC22" s="35"/>
      <c r="ID22" s="35"/>
      <c r="IE22" s="35"/>
      <c r="IF22" s="35"/>
      <c r="IG22" s="35"/>
      <c r="IH22" s="35"/>
      <c r="II22" s="35"/>
      <c r="IJ22" s="35"/>
      <c r="IK22" s="35"/>
      <c r="IL22" s="35"/>
      <c r="IM22" s="35"/>
      <c r="IN22" s="35"/>
      <c r="IO22" s="35"/>
      <c r="IP22" s="35"/>
      <c r="IQ22" s="35"/>
      <c r="IR22" s="35"/>
      <c r="IS22" s="35"/>
      <c r="IT22" s="35"/>
      <c r="IU22" s="35"/>
      <c r="IV22" s="35"/>
      <c r="IW22" s="35"/>
      <c r="IX22" s="35"/>
      <c r="IY22" s="35"/>
      <c r="IZ22" s="35"/>
      <c r="JA22" s="35"/>
      <c r="JB22" s="35"/>
      <c r="JC22" s="35"/>
      <c r="JD22" s="35"/>
      <c r="JE22" s="35"/>
      <c r="JF22" s="35"/>
      <c r="JG22" s="35"/>
      <c r="JH22" s="35"/>
      <c r="JI22" s="35"/>
      <c r="JJ22" s="35"/>
      <c r="JK22" s="35"/>
      <c r="JL22" s="35"/>
      <c r="JM22" s="35"/>
      <c r="JN22" s="35"/>
      <c r="JO22" s="35"/>
      <c r="JP22" s="35"/>
      <c r="JQ22" s="35"/>
      <c r="JR22" s="35"/>
      <c r="JS22" s="35"/>
      <c r="JT22" s="35"/>
      <c r="JU22" s="35"/>
      <c r="JV22" s="35"/>
      <c r="JW22" s="35"/>
      <c r="JX22" s="35"/>
      <c r="JY22" s="35"/>
      <c r="JZ22" s="35"/>
      <c r="KA22" s="35"/>
      <c r="KB22" s="35"/>
      <c r="KC22" s="35"/>
      <c r="KD22" s="35"/>
      <c r="KE22" s="35"/>
      <c r="KF22" s="35"/>
      <c r="KG22" s="35"/>
      <c r="KH22" s="35"/>
      <c r="KI22" s="35"/>
      <c r="KJ22" s="35"/>
      <c r="KK22" s="35"/>
      <c r="KL22" s="35"/>
      <c r="KM22" s="35"/>
      <c r="KN22" s="35"/>
      <c r="KO22" s="35"/>
      <c r="KP22" s="35"/>
      <c r="KQ22" s="35"/>
      <c r="KR22" s="35"/>
      <c r="KS22" s="35"/>
      <c r="KT22" s="35"/>
      <c r="KU22" s="35"/>
      <c r="KV22" s="35"/>
      <c r="KW22" s="35"/>
      <c r="KX22" s="35"/>
      <c r="KY22" s="35"/>
      <c r="KZ22" s="35"/>
      <c r="LA22" s="35"/>
      <c r="LB22" s="35"/>
      <c r="LC22" s="35"/>
      <c r="LD22" s="35"/>
      <c r="LE22" s="35"/>
      <c r="LF22" s="35"/>
      <c r="LG22" s="35"/>
      <c r="LH22" s="35"/>
      <c r="LI22" s="35"/>
      <c r="LJ22" s="35"/>
      <c r="LK22" s="35"/>
      <c r="LL22" s="35"/>
      <c r="LM22" s="35"/>
      <c r="LN22" s="35"/>
      <c r="LO22" s="35"/>
      <c r="LP22" s="35"/>
      <c r="LQ22" s="35"/>
      <c r="LR22" s="35"/>
      <c r="LS22" s="35"/>
      <c r="LT22" s="35"/>
      <c r="LU22" s="35"/>
      <c r="LV22" s="35"/>
      <c r="LW22" s="35"/>
      <c r="LX22" s="35"/>
      <c r="LY22" s="35"/>
      <c r="LZ22" s="35"/>
      <c r="MA22" s="35"/>
      <c r="MB22" s="35"/>
      <c r="MC22" s="35"/>
      <c r="MD22" s="35"/>
      <c r="ME22" s="35"/>
      <c r="MF22" s="35"/>
      <c r="MG22" s="35"/>
    </row>
    <row r="23" spans="2:345" s="67" customFormat="1" ht="36" hidden="1" customHeight="1" x14ac:dyDescent="0.25">
      <c r="B23" s="28" t="s">
        <v>4392</v>
      </c>
      <c r="C23" s="24" t="s">
        <v>40</v>
      </c>
      <c r="D23" s="19" t="s">
        <v>4321</v>
      </c>
      <c r="E23" s="18">
        <v>42376</v>
      </c>
      <c r="F23" s="27">
        <f t="shared" ca="1" si="0"/>
        <v>2097</v>
      </c>
      <c r="G23" s="69" t="s">
        <v>4298</v>
      </c>
      <c r="H23" s="68"/>
      <c r="I23" s="25"/>
      <c r="J23" s="25"/>
      <c r="K23" s="68"/>
      <c r="L23" s="68">
        <v>42385</v>
      </c>
      <c r="M23" s="68"/>
      <c r="N23" s="22"/>
      <c r="O23" s="26"/>
      <c r="P23" s="35"/>
      <c r="Q23" s="35"/>
      <c r="R23" s="20"/>
      <c r="S23" s="35"/>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c r="AX23" s="35"/>
      <c r="AY23" s="35"/>
      <c r="AZ23" s="35"/>
      <c r="BA23" s="35"/>
      <c r="BB23" s="35"/>
      <c r="BC23" s="35"/>
      <c r="BD23" s="35"/>
      <c r="BE23" s="35"/>
      <c r="BF23" s="35"/>
      <c r="BG23" s="35"/>
      <c r="BH23" s="35"/>
      <c r="BI23" s="35"/>
      <c r="BJ23" s="35"/>
      <c r="BK23" s="35"/>
      <c r="BL23" s="35"/>
      <c r="BM23" s="35"/>
      <c r="BN23" s="35"/>
      <c r="BO23" s="35"/>
      <c r="BP23" s="35"/>
      <c r="BQ23" s="35"/>
      <c r="BR23" s="35"/>
      <c r="BS23" s="35"/>
      <c r="BT23" s="35"/>
      <c r="BU23" s="35"/>
      <c r="BV23" s="35"/>
      <c r="BW23" s="35"/>
      <c r="BX23" s="35"/>
      <c r="BY23" s="35"/>
      <c r="BZ23" s="35"/>
      <c r="CA23" s="35"/>
      <c r="CB23" s="35"/>
      <c r="CC23" s="35"/>
      <c r="CD23" s="35"/>
      <c r="CE23" s="35"/>
      <c r="CF23" s="35"/>
      <c r="CG23" s="35"/>
      <c r="CH23" s="35"/>
      <c r="CI23" s="35"/>
      <c r="CJ23" s="35"/>
      <c r="CK23" s="35"/>
      <c r="CL23" s="35"/>
      <c r="CM23" s="35"/>
      <c r="CN23" s="35"/>
      <c r="CO23" s="35"/>
      <c r="CP23" s="35"/>
      <c r="CQ23" s="35"/>
      <c r="CR23" s="35"/>
      <c r="CS23" s="35"/>
      <c r="CT23" s="35"/>
      <c r="CU23" s="35"/>
      <c r="CV23" s="35"/>
      <c r="CW23" s="35"/>
      <c r="CX23" s="35"/>
      <c r="CY23" s="35"/>
      <c r="CZ23" s="35"/>
      <c r="DA23" s="35"/>
      <c r="DB23" s="35"/>
      <c r="DC23" s="35"/>
      <c r="DD23" s="35"/>
      <c r="DE23" s="35"/>
      <c r="DF23" s="35"/>
      <c r="DG23" s="35"/>
      <c r="DH23" s="35"/>
      <c r="DI23" s="35"/>
      <c r="DJ23" s="35"/>
      <c r="DK23" s="35"/>
      <c r="DL23" s="35"/>
      <c r="DM23" s="35"/>
      <c r="DN23" s="35"/>
      <c r="DO23" s="35"/>
      <c r="DP23" s="35"/>
      <c r="DQ23" s="35"/>
      <c r="DR23" s="35"/>
      <c r="DS23" s="35"/>
      <c r="DT23" s="35"/>
      <c r="DU23" s="35"/>
      <c r="DV23" s="35"/>
      <c r="DW23" s="35"/>
      <c r="DX23" s="35"/>
      <c r="DY23" s="35"/>
      <c r="DZ23" s="35"/>
      <c r="EA23" s="35"/>
      <c r="EB23" s="35"/>
      <c r="EC23" s="35"/>
      <c r="ED23" s="35"/>
      <c r="EE23" s="35"/>
      <c r="EF23" s="35"/>
      <c r="EG23" s="35"/>
      <c r="EH23" s="35"/>
      <c r="EI23" s="35"/>
      <c r="EJ23" s="35"/>
      <c r="EK23" s="35"/>
      <c r="EL23" s="35"/>
      <c r="EM23" s="35"/>
      <c r="EN23" s="35"/>
      <c r="EO23" s="35"/>
      <c r="EP23" s="35"/>
      <c r="EQ23" s="35"/>
      <c r="ER23" s="35"/>
      <c r="ES23" s="35"/>
      <c r="ET23" s="35"/>
      <c r="EU23" s="35"/>
      <c r="EV23" s="35"/>
      <c r="EW23" s="35"/>
      <c r="EX23" s="35"/>
      <c r="EY23" s="35"/>
      <c r="EZ23" s="35"/>
      <c r="FA23" s="35"/>
      <c r="FB23" s="35"/>
      <c r="FC23" s="35"/>
      <c r="FD23" s="35"/>
      <c r="FE23" s="35"/>
      <c r="FF23" s="35"/>
      <c r="FG23" s="35"/>
      <c r="FH23" s="35"/>
      <c r="FI23" s="35"/>
      <c r="FJ23" s="35"/>
      <c r="FK23" s="35"/>
      <c r="FL23" s="35"/>
      <c r="FM23" s="35"/>
      <c r="FN23" s="35"/>
      <c r="FO23" s="35"/>
      <c r="FP23" s="35"/>
      <c r="FQ23" s="35"/>
      <c r="FR23" s="35"/>
      <c r="FS23" s="35"/>
      <c r="FT23" s="35"/>
      <c r="FU23" s="35"/>
      <c r="FV23" s="35"/>
      <c r="FW23" s="35"/>
      <c r="FX23" s="35"/>
      <c r="FY23" s="35"/>
      <c r="FZ23" s="35"/>
      <c r="GA23" s="35"/>
      <c r="GB23" s="35"/>
      <c r="GC23" s="35"/>
      <c r="GD23" s="35"/>
      <c r="GE23" s="35"/>
      <c r="GF23" s="35"/>
      <c r="GG23" s="35"/>
      <c r="GH23" s="35"/>
      <c r="GI23" s="35"/>
      <c r="GJ23" s="35"/>
      <c r="GK23" s="35"/>
      <c r="GL23" s="35"/>
      <c r="GM23" s="35"/>
      <c r="GN23" s="35"/>
      <c r="GO23" s="35"/>
      <c r="GP23" s="35"/>
      <c r="GQ23" s="35"/>
      <c r="GR23" s="35"/>
      <c r="GS23" s="35"/>
      <c r="GT23" s="35"/>
      <c r="GU23" s="35"/>
      <c r="GV23" s="35"/>
      <c r="GW23" s="35"/>
      <c r="GX23" s="35"/>
      <c r="GY23" s="35"/>
      <c r="GZ23" s="35"/>
      <c r="HA23" s="35"/>
      <c r="HB23" s="35"/>
      <c r="HC23" s="35"/>
      <c r="HD23" s="35"/>
      <c r="HE23" s="35"/>
      <c r="HF23" s="35"/>
      <c r="HG23" s="35"/>
      <c r="HH23" s="35"/>
      <c r="HI23" s="35"/>
      <c r="HJ23" s="35"/>
      <c r="HK23" s="35"/>
      <c r="HL23" s="35"/>
      <c r="HM23" s="35"/>
      <c r="HN23" s="35"/>
      <c r="HO23" s="35"/>
      <c r="HP23" s="35"/>
      <c r="HQ23" s="35"/>
      <c r="HR23" s="35"/>
      <c r="HS23" s="35"/>
      <c r="HT23" s="35"/>
      <c r="HU23" s="35"/>
      <c r="HV23" s="35"/>
      <c r="HW23" s="35"/>
      <c r="HX23" s="35"/>
      <c r="HY23" s="35"/>
      <c r="HZ23" s="35"/>
      <c r="IA23" s="35"/>
      <c r="IB23" s="35"/>
      <c r="IC23" s="35"/>
      <c r="ID23" s="35"/>
      <c r="IE23" s="35"/>
      <c r="IF23" s="35"/>
      <c r="IG23" s="35"/>
      <c r="IH23" s="35"/>
      <c r="II23" s="35"/>
      <c r="IJ23" s="35"/>
      <c r="IK23" s="35"/>
      <c r="IL23" s="35"/>
      <c r="IM23" s="35"/>
      <c r="IN23" s="35"/>
      <c r="IO23" s="35"/>
      <c r="IP23" s="35"/>
      <c r="IQ23" s="35"/>
      <c r="IR23" s="35"/>
      <c r="IS23" s="35"/>
      <c r="IT23" s="35"/>
      <c r="IU23" s="35"/>
      <c r="IV23" s="35"/>
      <c r="IW23" s="35"/>
      <c r="IX23" s="35"/>
      <c r="IY23" s="35"/>
      <c r="IZ23" s="35"/>
      <c r="JA23" s="35"/>
      <c r="JB23" s="35"/>
      <c r="JC23" s="35"/>
      <c r="JD23" s="35"/>
      <c r="JE23" s="35"/>
      <c r="JF23" s="35"/>
      <c r="JG23" s="35"/>
      <c r="JH23" s="35"/>
      <c r="JI23" s="35"/>
      <c r="JJ23" s="35"/>
      <c r="JK23" s="35"/>
      <c r="JL23" s="35"/>
      <c r="JM23" s="35"/>
      <c r="JN23" s="35"/>
      <c r="JO23" s="35"/>
      <c r="JP23" s="35"/>
      <c r="JQ23" s="35"/>
      <c r="JR23" s="35"/>
      <c r="JS23" s="35"/>
      <c r="JT23" s="35"/>
      <c r="JU23" s="35"/>
      <c r="JV23" s="35"/>
      <c r="JW23" s="35"/>
      <c r="JX23" s="35"/>
      <c r="JY23" s="35"/>
      <c r="JZ23" s="35"/>
      <c r="KA23" s="35"/>
      <c r="KB23" s="35"/>
      <c r="KC23" s="35"/>
      <c r="KD23" s="35"/>
      <c r="KE23" s="35"/>
      <c r="KF23" s="35"/>
      <c r="KG23" s="35"/>
      <c r="KH23" s="35"/>
      <c r="KI23" s="35"/>
      <c r="KJ23" s="35"/>
      <c r="KK23" s="35"/>
      <c r="KL23" s="35"/>
      <c r="KM23" s="35"/>
      <c r="KN23" s="35"/>
      <c r="KO23" s="35"/>
      <c r="KP23" s="35"/>
      <c r="KQ23" s="35"/>
      <c r="KR23" s="35"/>
      <c r="KS23" s="35"/>
      <c r="KT23" s="35"/>
      <c r="KU23" s="35"/>
      <c r="KV23" s="35"/>
      <c r="KW23" s="35"/>
      <c r="KX23" s="35"/>
      <c r="KY23" s="35"/>
      <c r="KZ23" s="35"/>
      <c r="LA23" s="35"/>
      <c r="LB23" s="35"/>
      <c r="LC23" s="35"/>
      <c r="LD23" s="35"/>
      <c r="LE23" s="35"/>
      <c r="LF23" s="35"/>
      <c r="LG23" s="35"/>
      <c r="LH23" s="35"/>
      <c r="LI23" s="35"/>
      <c r="LJ23" s="35"/>
      <c r="LK23" s="35"/>
      <c r="LL23" s="35"/>
      <c r="LM23" s="35"/>
      <c r="LN23" s="35"/>
      <c r="LO23" s="35"/>
      <c r="LP23" s="35"/>
      <c r="LQ23" s="35"/>
      <c r="LR23" s="35"/>
      <c r="LS23" s="35"/>
      <c r="LT23" s="35"/>
      <c r="LU23" s="35"/>
      <c r="LV23" s="35"/>
      <c r="LW23" s="35"/>
      <c r="LX23" s="35"/>
      <c r="LY23" s="35"/>
      <c r="LZ23" s="35"/>
      <c r="MA23" s="35"/>
      <c r="MB23" s="35"/>
      <c r="MC23" s="35"/>
      <c r="MD23" s="35"/>
      <c r="ME23" s="35"/>
      <c r="MF23" s="35"/>
      <c r="MG23" s="35"/>
    </row>
    <row r="24" spans="2:345" s="67" customFormat="1" ht="36" hidden="1" customHeight="1" x14ac:dyDescent="0.25">
      <c r="B24" s="28" t="s">
        <v>4404</v>
      </c>
      <c r="C24" s="24" t="s">
        <v>40</v>
      </c>
      <c r="D24" s="19" t="s">
        <v>4321</v>
      </c>
      <c r="E24" s="18">
        <v>42376</v>
      </c>
      <c r="F24" s="27">
        <f t="shared" ca="1" si="0"/>
        <v>2097</v>
      </c>
      <c r="G24" s="69" t="s">
        <v>4298</v>
      </c>
      <c r="H24" s="68"/>
      <c r="I24" s="25"/>
      <c r="J24" s="25"/>
      <c r="K24" s="68"/>
      <c r="L24" s="68">
        <v>42382</v>
      </c>
      <c r="M24" s="68"/>
      <c r="N24" s="22"/>
      <c r="O24" s="26"/>
      <c r="P24" s="35"/>
      <c r="Q24" s="35"/>
      <c r="R24" s="20"/>
      <c r="S24" s="35"/>
      <c r="T24" s="35"/>
      <c r="U24" s="35"/>
      <c r="V24" s="35"/>
      <c r="W24" s="35"/>
      <c r="X24" s="35"/>
      <c r="Y24" s="35"/>
      <c r="Z24" s="35"/>
      <c r="AA24" s="35"/>
      <c r="AB24" s="35"/>
      <c r="AC24" s="35"/>
      <c r="AD24" s="35"/>
      <c r="AE24" s="35"/>
      <c r="AF24" s="35"/>
      <c r="AG24" s="35"/>
      <c r="AH24" s="35"/>
      <c r="AI24" s="35"/>
      <c r="AJ24" s="35"/>
      <c r="AK24" s="35"/>
      <c r="AL24" s="35"/>
      <c r="AM24" s="35"/>
      <c r="AN24" s="35"/>
      <c r="AO24" s="35"/>
      <c r="AP24" s="35"/>
      <c r="AQ24" s="35"/>
      <c r="AR24" s="35"/>
      <c r="AS24" s="35"/>
      <c r="AT24" s="35"/>
      <c r="AU24" s="35"/>
      <c r="AV24" s="35"/>
      <c r="AW24" s="35"/>
      <c r="AX24" s="35"/>
      <c r="AY24" s="35"/>
      <c r="AZ24" s="35"/>
      <c r="BA24" s="35"/>
      <c r="BB24" s="35"/>
      <c r="BC24" s="35"/>
      <c r="BD24" s="35"/>
      <c r="BE24" s="35"/>
      <c r="BF24" s="35"/>
      <c r="BG24" s="35"/>
      <c r="BH24" s="35"/>
      <c r="BI24" s="35"/>
      <c r="BJ24" s="35"/>
      <c r="BK24" s="35"/>
      <c r="BL24" s="35"/>
      <c r="BM24" s="35"/>
      <c r="BN24" s="35"/>
      <c r="BO24" s="35"/>
      <c r="BP24" s="35"/>
      <c r="BQ24" s="35"/>
      <c r="BR24" s="35"/>
      <c r="BS24" s="35"/>
      <c r="BT24" s="35"/>
      <c r="BU24" s="35"/>
      <c r="BV24" s="35"/>
      <c r="BW24" s="35"/>
      <c r="BX24" s="35"/>
      <c r="BY24" s="35"/>
      <c r="BZ24" s="35"/>
      <c r="CA24" s="35"/>
      <c r="CB24" s="35"/>
      <c r="CC24" s="35"/>
      <c r="CD24" s="35"/>
      <c r="CE24" s="35"/>
      <c r="CF24" s="35"/>
      <c r="CG24" s="35"/>
      <c r="CH24" s="35"/>
      <c r="CI24" s="35"/>
      <c r="CJ24" s="35"/>
      <c r="CK24" s="35"/>
      <c r="CL24" s="35"/>
      <c r="CM24" s="35"/>
      <c r="CN24" s="35"/>
      <c r="CO24" s="35"/>
      <c r="CP24" s="35"/>
      <c r="CQ24" s="35"/>
      <c r="CR24" s="35"/>
      <c r="CS24" s="35"/>
      <c r="CT24" s="35"/>
      <c r="CU24" s="35"/>
      <c r="CV24" s="35"/>
      <c r="CW24" s="35"/>
      <c r="CX24" s="35"/>
      <c r="CY24" s="35"/>
      <c r="CZ24" s="35"/>
      <c r="DA24" s="35"/>
      <c r="DB24" s="35"/>
      <c r="DC24" s="35"/>
      <c r="DD24" s="35"/>
      <c r="DE24" s="35"/>
      <c r="DF24" s="35"/>
      <c r="DG24" s="35"/>
      <c r="DH24" s="35"/>
      <c r="DI24" s="35"/>
      <c r="DJ24" s="35"/>
      <c r="DK24" s="35"/>
      <c r="DL24" s="35"/>
      <c r="DM24" s="35"/>
      <c r="DN24" s="35"/>
      <c r="DO24" s="35"/>
      <c r="DP24" s="35"/>
      <c r="DQ24" s="35"/>
      <c r="DR24" s="35"/>
      <c r="DS24" s="35"/>
      <c r="DT24" s="35"/>
      <c r="DU24" s="35"/>
      <c r="DV24" s="35"/>
      <c r="DW24" s="35"/>
      <c r="DX24" s="35"/>
      <c r="DY24" s="35"/>
      <c r="DZ24" s="35"/>
      <c r="EA24" s="35"/>
      <c r="EB24" s="35"/>
      <c r="EC24" s="35"/>
      <c r="ED24" s="35"/>
      <c r="EE24" s="35"/>
      <c r="EF24" s="35"/>
      <c r="EG24" s="35"/>
      <c r="EH24" s="35"/>
      <c r="EI24" s="35"/>
      <c r="EJ24" s="35"/>
      <c r="EK24" s="35"/>
      <c r="EL24" s="35"/>
      <c r="EM24" s="35"/>
      <c r="EN24" s="35"/>
      <c r="EO24" s="35"/>
      <c r="EP24" s="35"/>
      <c r="EQ24" s="35"/>
      <c r="ER24" s="35"/>
      <c r="ES24" s="35"/>
      <c r="ET24" s="35"/>
      <c r="EU24" s="35"/>
      <c r="EV24" s="35"/>
      <c r="EW24" s="35"/>
      <c r="EX24" s="35"/>
      <c r="EY24" s="35"/>
      <c r="EZ24" s="35"/>
      <c r="FA24" s="35"/>
      <c r="FB24" s="35"/>
      <c r="FC24" s="35"/>
      <c r="FD24" s="35"/>
      <c r="FE24" s="35"/>
      <c r="FF24" s="35"/>
      <c r="FG24" s="35"/>
      <c r="FH24" s="35"/>
      <c r="FI24" s="35"/>
      <c r="FJ24" s="35"/>
      <c r="FK24" s="35"/>
      <c r="FL24" s="35"/>
      <c r="FM24" s="35"/>
      <c r="FN24" s="35"/>
      <c r="FO24" s="35"/>
      <c r="FP24" s="35"/>
      <c r="FQ24" s="35"/>
      <c r="FR24" s="35"/>
      <c r="FS24" s="35"/>
      <c r="FT24" s="35"/>
      <c r="FU24" s="35"/>
      <c r="FV24" s="35"/>
      <c r="FW24" s="35"/>
      <c r="FX24" s="35"/>
      <c r="FY24" s="35"/>
      <c r="FZ24" s="35"/>
      <c r="GA24" s="35"/>
      <c r="GB24" s="35"/>
      <c r="GC24" s="35"/>
      <c r="GD24" s="35"/>
      <c r="GE24" s="35"/>
      <c r="GF24" s="35"/>
      <c r="GG24" s="35"/>
      <c r="GH24" s="35"/>
      <c r="GI24" s="35"/>
      <c r="GJ24" s="35"/>
      <c r="GK24" s="35"/>
      <c r="GL24" s="35"/>
      <c r="GM24" s="35"/>
      <c r="GN24" s="35"/>
      <c r="GO24" s="35"/>
      <c r="GP24" s="35"/>
      <c r="GQ24" s="35"/>
      <c r="GR24" s="35"/>
      <c r="GS24" s="35"/>
      <c r="GT24" s="35"/>
      <c r="GU24" s="35"/>
      <c r="GV24" s="35"/>
      <c r="GW24" s="35"/>
      <c r="GX24" s="35"/>
      <c r="GY24" s="35"/>
      <c r="GZ24" s="35"/>
      <c r="HA24" s="35"/>
      <c r="HB24" s="35"/>
      <c r="HC24" s="35"/>
      <c r="HD24" s="35"/>
      <c r="HE24" s="35"/>
      <c r="HF24" s="35"/>
      <c r="HG24" s="35"/>
      <c r="HH24" s="35"/>
      <c r="HI24" s="35"/>
      <c r="HJ24" s="35"/>
      <c r="HK24" s="35"/>
      <c r="HL24" s="35"/>
      <c r="HM24" s="35"/>
      <c r="HN24" s="35"/>
      <c r="HO24" s="35"/>
      <c r="HP24" s="35"/>
      <c r="HQ24" s="35"/>
      <c r="HR24" s="35"/>
      <c r="HS24" s="35"/>
      <c r="HT24" s="35"/>
      <c r="HU24" s="35"/>
      <c r="HV24" s="35"/>
      <c r="HW24" s="35"/>
      <c r="HX24" s="35"/>
      <c r="HY24" s="35"/>
      <c r="HZ24" s="35"/>
      <c r="IA24" s="35"/>
      <c r="IB24" s="35"/>
      <c r="IC24" s="35"/>
      <c r="ID24" s="35"/>
      <c r="IE24" s="35"/>
      <c r="IF24" s="35"/>
      <c r="IG24" s="35"/>
      <c r="IH24" s="35"/>
      <c r="II24" s="35"/>
      <c r="IJ24" s="35"/>
      <c r="IK24" s="35"/>
      <c r="IL24" s="35"/>
      <c r="IM24" s="35"/>
      <c r="IN24" s="35"/>
      <c r="IO24" s="35"/>
      <c r="IP24" s="35"/>
      <c r="IQ24" s="35"/>
      <c r="IR24" s="35"/>
      <c r="IS24" s="35"/>
      <c r="IT24" s="35"/>
      <c r="IU24" s="35"/>
      <c r="IV24" s="35"/>
      <c r="IW24" s="35"/>
      <c r="IX24" s="35"/>
      <c r="IY24" s="35"/>
      <c r="IZ24" s="35"/>
      <c r="JA24" s="35"/>
      <c r="JB24" s="35"/>
      <c r="JC24" s="35"/>
      <c r="JD24" s="35"/>
      <c r="JE24" s="35"/>
      <c r="JF24" s="35"/>
      <c r="JG24" s="35"/>
      <c r="JH24" s="35"/>
      <c r="JI24" s="35"/>
      <c r="JJ24" s="35"/>
      <c r="JK24" s="35"/>
      <c r="JL24" s="35"/>
      <c r="JM24" s="35"/>
      <c r="JN24" s="35"/>
      <c r="JO24" s="35"/>
      <c r="JP24" s="35"/>
      <c r="JQ24" s="35"/>
      <c r="JR24" s="35"/>
      <c r="JS24" s="35"/>
      <c r="JT24" s="35"/>
      <c r="JU24" s="35"/>
      <c r="JV24" s="35"/>
      <c r="JW24" s="35"/>
      <c r="JX24" s="35"/>
      <c r="JY24" s="35"/>
      <c r="JZ24" s="35"/>
      <c r="KA24" s="35"/>
      <c r="KB24" s="35"/>
      <c r="KC24" s="35"/>
      <c r="KD24" s="35"/>
      <c r="KE24" s="35"/>
      <c r="KF24" s="35"/>
      <c r="KG24" s="35"/>
      <c r="KH24" s="35"/>
      <c r="KI24" s="35"/>
      <c r="KJ24" s="35"/>
      <c r="KK24" s="35"/>
      <c r="KL24" s="35"/>
      <c r="KM24" s="35"/>
      <c r="KN24" s="35"/>
      <c r="KO24" s="35"/>
      <c r="KP24" s="35"/>
      <c r="KQ24" s="35"/>
      <c r="KR24" s="35"/>
      <c r="KS24" s="35"/>
      <c r="KT24" s="35"/>
      <c r="KU24" s="35"/>
      <c r="KV24" s="35"/>
      <c r="KW24" s="35"/>
      <c r="KX24" s="35"/>
      <c r="KY24" s="35"/>
      <c r="KZ24" s="35"/>
      <c r="LA24" s="35"/>
      <c r="LB24" s="35"/>
      <c r="LC24" s="35"/>
      <c r="LD24" s="35"/>
      <c r="LE24" s="35"/>
      <c r="LF24" s="35"/>
      <c r="LG24" s="35"/>
      <c r="LH24" s="35"/>
      <c r="LI24" s="35"/>
      <c r="LJ24" s="35"/>
      <c r="LK24" s="35"/>
      <c r="LL24" s="35"/>
      <c r="LM24" s="35"/>
      <c r="LN24" s="35"/>
      <c r="LO24" s="35"/>
      <c r="LP24" s="35"/>
      <c r="LQ24" s="35"/>
      <c r="LR24" s="35"/>
      <c r="LS24" s="35"/>
      <c r="LT24" s="35"/>
      <c r="LU24" s="35"/>
      <c r="LV24" s="35"/>
      <c r="LW24" s="35"/>
      <c r="LX24" s="35"/>
      <c r="LY24" s="35"/>
      <c r="LZ24" s="35"/>
      <c r="MA24" s="35"/>
      <c r="MB24" s="35"/>
      <c r="MC24" s="35"/>
      <c r="MD24" s="35"/>
      <c r="ME24" s="35"/>
      <c r="MF24" s="35"/>
      <c r="MG24" s="35"/>
    </row>
    <row r="25" spans="2:345" s="67" customFormat="1" ht="36" hidden="1" customHeight="1" x14ac:dyDescent="0.25">
      <c r="B25" s="28">
        <v>4153</v>
      </c>
      <c r="C25" s="24" t="s">
        <v>40</v>
      </c>
      <c r="D25" s="19" t="s">
        <v>4358</v>
      </c>
      <c r="E25" s="18">
        <v>42382</v>
      </c>
      <c r="F25" s="27">
        <f t="shared" ca="1" si="0"/>
        <v>2091</v>
      </c>
      <c r="G25" s="69" t="s">
        <v>4354</v>
      </c>
      <c r="H25" s="68"/>
      <c r="I25" s="25"/>
      <c r="J25" s="25">
        <v>42390</v>
      </c>
      <c r="K25" s="68" t="s">
        <v>2532</v>
      </c>
      <c r="L25" s="68">
        <v>42389</v>
      </c>
      <c r="M25" s="68"/>
      <c r="N25" s="22" t="s">
        <v>4357</v>
      </c>
      <c r="O25" s="26"/>
      <c r="P25" s="35"/>
      <c r="Q25" s="35"/>
      <c r="R25" s="20"/>
      <c r="S25" s="35"/>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c r="AX25" s="35"/>
      <c r="AY25" s="35"/>
      <c r="AZ25" s="35"/>
      <c r="BA25" s="35"/>
      <c r="BB25" s="35"/>
      <c r="BC25" s="35"/>
      <c r="BD25" s="35"/>
      <c r="BE25" s="35"/>
      <c r="BF25" s="35"/>
      <c r="BG25" s="35"/>
      <c r="BH25" s="35"/>
      <c r="BI25" s="35"/>
      <c r="BJ25" s="35"/>
      <c r="BK25" s="35"/>
      <c r="BL25" s="35"/>
      <c r="BM25" s="35"/>
      <c r="BN25" s="35"/>
      <c r="BO25" s="35"/>
      <c r="BP25" s="35"/>
      <c r="BQ25" s="35"/>
      <c r="BR25" s="35"/>
      <c r="BS25" s="35"/>
      <c r="BT25" s="35"/>
      <c r="BU25" s="35"/>
      <c r="BV25" s="35"/>
      <c r="BW25" s="35"/>
      <c r="BX25" s="35"/>
      <c r="BY25" s="35"/>
      <c r="BZ25" s="35"/>
      <c r="CA25" s="35"/>
      <c r="CB25" s="35"/>
      <c r="CC25" s="35"/>
      <c r="CD25" s="35"/>
      <c r="CE25" s="35"/>
      <c r="CF25" s="35"/>
      <c r="CG25" s="35"/>
      <c r="CH25" s="35"/>
      <c r="CI25" s="35"/>
      <c r="CJ25" s="35"/>
      <c r="CK25" s="35"/>
      <c r="CL25" s="35"/>
      <c r="CM25" s="35"/>
      <c r="CN25" s="35"/>
      <c r="CO25" s="35"/>
      <c r="CP25" s="35"/>
      <c r="CQ25" s="35"/>
      <c r="CR25" s="35"/>
      <c r="CS25" s="35"/>
      <c r="CT25" s="35"/>
      <c r="CU25" s="35"/>
      <c r="CV25" s="35"/>
      <c r="CW25" s="35"/>
      <c r="CX25" s="35"/>
      <c r="CY25" s="35"/>
      <c r="CZ25" s="35"/>
      <c r="DA25" s="35"/>
      <c r="DB25" s="35"/>
      <c r="DC25" s="35"/>
      <c r="DD25" s="35"/>
      <c r="DE25" s="35"/>
      <c r="DF25" s="35"/>
      <c r="DG25" s="35"/>
      <c r="DH25" s="35"/>
      <c r="DI25" s="35"/>
      <c r="DJ25" s="35"/>
      <c r="DK25" s="35"/>
      <c r="DL25" s="35"/>
      <c r="DM25" s="35"/>
      <c r="DN25" s="35"/>
      <c r="DO25" s="35"/>
      <c r="DP25" s="35"/>
      <c r="DQ25" s="35"/>
      <c r="DR25" s="35"/>
      <c r="DS25" s="35"/>
      <c r="DT25" s="35"/>
      <c r="DU25" s="35"/>
      <c r="DV25" s="35"/>
      <c r="DW25" s="35"/>
      <c r="DX25" s="35"/>
      <c r="DY25" s="35"/>
      <c r="DZ25" s="35"/>
      <c r="EA25" s="35"/>
      <c r="EB25" s="35"/>
      <c r="EC25" s="35"/>
      <c r="ED25" s="35"/>
      <c r="EE25" s="35"/>
      <c r="EF25" s="35"/>
      <c r="EG25" s="35"/>
      <c r="EH25" s="35"/>
      <c r="EI25" s="35"/>
      <c r="EJ25" s="35"/>
      <c r="EK25" s="35"/>
      <c r="EL25" s="35"/>
      <c r="EM25" s="35"/>
      <c r="EN25" s="35"/>
      <c r="EO25" s="35"/>
      <c r="EP25" s="35"/>
      <c r="EQ25" s="35"/>
      <c r="ER25" s="35"/>
      <c r="ES25" s="35"/>
      <c r="ET25" s="35"/>
      <c r="EU25" s="35"/>
      <c r="EV25" s="35"/>
      <c r="EW25" s="35"/>
      <c r="EX25" s="35"/>
      <c r="EY25" s="35"/>
      <c r="EZ25" s="35"/>
      <c r="FA25" s="35"/>
      <c r="FB25" s="35"/>
      <c r="FC25" s="35"/>
      <c r="FD25" s="35"/>
      <c r="FE25" s="35"/>
      <c r="FF25" s="35"/>
      <c r="FG25" s="35"/>
      <c r="FH25" s="35"/>
      <c r="FI25" s="35"/>
      <c r="FJ25" s="35"/>
      <c r="FK25" s="35"/>
      <c r="FL25" s="35"/>
      <c r="FM25" s="35"/>
      <c r="FN25" s="35"/>
      <c r="FO25" s="35"/>
      <c r="FP25" s="35"/>
      <c r="FQ25" s="35"/>
      <c r="FR25" s="35"/>
      <c r="FS25" s="35"/>
      <c r="FT25" s="35"/>
      <c r="FU25" s="35"/>
      <c r="FV25" s="35"/>
      <c r="FW25" s="35"/>
      <c r="FX25" s="35"/>
      <c r="FY25" s="35"/>
      <c r="FZ25" s="35"/>
      <c r="GA25" s="35"/>
      <c r="GB25" s="35"/>
      <c r="GC25" s="35"/>
      <c r="GD25" s="35"/>
      <c r="GE25" s="35"/>
      <c r="GF25" s="35"/>
      <c r="GG25" s="35"/>
      <c r="GH25" s="35"/>
      <c r="GI25" s="35"/>
      <c r="GJ25" s="35"/>
      <c r="GK25" s="35"/>
      <c r="GL25" s="35"/>
      <c r="GM25" s="35"/>
      <c r="GN25" s="35"/>
      <c r="GO25" s="35"/>
      <c r="GP25" s="35"/>
      <c r="GQ25" s="35"/>
      <c r="GR25" s="35"/>
      <c r="GS25" s="35"/>
      <c r="GT25" s="35"/>
      <c r="GU25" s="35"/>
      <c r="GV25" s="35"/>
      <c r="GW25" s="35"/>
      <c r="GX25" s="35"/>
      <c r="GY25" s="35"/>
      <c r="GZ25" s="35"/>
      <c r="HA25" s="35"/>
      <c r="HB25" s="35"/>
      <c r="HC25" s="35"/>
      <c r="HD25" s="35"/>
      <c r="HE25" s="35"/>
      <c r="HF25" s="35"/>
      <c r="HG25" s="35"/>
      <c r="HH25" s="35"/>
      <c r="HI25" s="35"/>
      <c r="HJ25" s="35"/>
      <c r="HK25" s="35"/>
      <c r="HL25" s="35"/>
      <c r="HM25" s="35"/>
      <c r="HN25" s="35"/>
      <c r="HO25" s="35"/>
      <c r="HP25" s="35"/>
      <c r="HQ25" s="35"/>
      <c r="HR25" s="35"/>
      <c r="HS25" s="35"/>
      <c r="HT25" s="35"/>
      <c r="HU25" s="35"/>
      <c r="HV25" s="35"/>
      <c r="HW25" s="35"/>
      <c r="HX25" s="35"/>
      <c r="HY25" s="35"/>
      <c r="HZ25" s="35"/>
      <c r="IA25" s="35"/>
      <c r="IB25" s="35"/>
      <c r="IC25" s="35"/>
      <c r="ID25" s="35"/>
      <c r="IE25" s="35"/>
      <c r="IF25" s="35"/>
      <c r="IG25" s="35"/>
      <c r="IH25" s="35"/>
      <c r="II25" s="35"/>
      <c r="IJ25" s="35"/>
      <c r="IK25" s="35"/>
      <c r="IL25" s="35"/>
      <c r="IM25" s="35"/>
      <c r="IN25" s="35"/>
      <c r="IO25" s="35"/>
      <c r="IP25" s="35"/>
      <c r="IQ25" s="35"/>
      <c r="IR25" s="35"/>
      <c r="IS25" s="35"/>
      <c r="IT25" s="35"/>
      <c r="IU25" s="35"/>
      <c r="IV25" s="35"/>
      <c r="IW25" s="35"/>
      <c r="IX25" s="35"/>
      <c r="IY25" s="35"/>
      <c r="IZ25" s="35"/>
      <c r="JA25" s="35"/>
      <c r="JB25" s="35"/>
      <c r="JC25" s="35"/>
      <c r="JD25" s="35"/>
      <c r="JE25" s="35"/>
      <c r="JF25" s="35"/>
      <c r="JG25" s="35"/>
      <c r="JH25" s="35"/>
      <c r="JI25" s="35"/>
      <c r="JJ25" s="35"/>
      <c r="JK25" s="35"/>
      <c r="JL25" s="35"/>
      <c r="JM25" s="35"/>
      <c r="JN25" s="35"/>
      <c r="JO25" s="35"/>
      <c r="JP25" s="35"/>
      <c r="JQ25" s="35"/>
      <c r="JR25" s="35"/>
      <c r="JS25" s="35"/>
      <c r="JT25" s="35"/>
      <c r="JU25" s="35"/>
      <c r="JV25" s="35"/>
      <c r="JW25" s="35"/>
      <c r="JX25" s="35"/>
      <c r="JY25" s="35"/>
      <c r="JZ25" s="35"/>
      <c r="KA25" s="35"/>
      <c r="KB25" s="35"/>
      <c r="KC25" s="35"/>
      <c r="KD25" s="35"/>
      <c r="KE25" s="35"/>
      <c r="KF25" s="35"/>
      <c r="KG25" s="35"/>
      <c r="KH25" s="35"/>
      <c r="KI25" s="35"/>
      <c r="KJ25" s="35"/>
      <c r="KK25" s="35"/>
      <c r="KL25" s="35"/>
      <c r="KM25" s="35"/>
      <c r="KN25" s="35"/>
      <c r="KO25" s="35"/>
      <c r="KP25" s="35"/>
      <c r="KQ25" s="35"/>
      <c r="KR25" s="35"/>
      <c r="KS25" s="35"/>
      <c r="KT25" s="35"/>
      <c r="KU25" s="35"/>
      <c r="KV25" s="35"/>
      <c r="KW25" s="35"/>
      <c r="KX25" s="35"/>
      <c r="KY25" s="35"/>
      <c r="KZ25" s="35"/>
      <c r="LA25" s="35"/>
      <c r="LB25" s="35"/>
      <c r="LC25" s="35"/>
      <c r="LD25" s="35"/>
      <c r="LE25" s="35"/>
      <c r="LF25" s="35"/>
      <c r="LG25" s="35"/>
      <c r="LH25" s="35"/>
      <c r="LI25" s="35"/>
      <c r="LJ25" s="35"/>
      <c r="LK25" s="35"/>
      <c r="LL25" s="35"/>
      <c r="LM25" s="35"/>
      <c r="LN25" s="35"/>
      <c r="LO25" s="35"/>
      <c r="LP25" s="35"/>
      <c r="LQ25" s="35"/>
      <c r="LR25" s="35"/>
      <c r="LS25" s="35"/>
      <c r="LT25" s="35"/>
      <c r="LU25" s="35"/>
      <c r="LV25" s="35"/>
      <c r="LW25" s="35"/>
      <c r="LX25" s="35"/>
      <c r="LY25" s="35"/>
      <c r="LZ25" s="35"/>
      <c r="MA25" s="35"/>
      <c r="MB25" s="35"/>
      <c r="MC25" s="35"/>
      <c r="MD25" s="35"/>
      <c r="ME25" s="35"/>
      <c r="MF25" s="35"/>
      <c r="MG25" s="35"/>
    </row>
    <row r="26" spans="2:345" s="67" customFormat="1" ht="36" hidden="1" customHeight="1" x14ac:dyDescent="0.25">
      <c r="B26" s="28">
        <v>4153</v>
      </c>
      <c r="C26" s="24" t="s">
        <v>40</v>
      </c>
      <c r="D26" s="19" t="s">
        <v>4353</v>
      </c>
      <c r="E26" s="18">
        <v>42384</v>
      </c>
      <c r="F26" s="27">
        <f t="shared" ca="1" si="0"/>
        <v>2089</v>
      </c>
      <c r="G26" s="69" t="s">
        <v>4354</v>
      </c>
      <c r="H26" s="68"/>
      <c r="I26" s="25"/>
      <c r="J26" s="25">
        <v>42386</v>
      </c>
      <c r="K26" s="68" t="s">
        <v>4355</v>
      </c>
      <c r="L26" s="68">
        <v>42385</v>
      </c>
      <c r="M26" s="68"/>
      <c r="N26" s="22" t="s">
        <v>4356</v>
      </c>
      <c r="O26" s="26"/>
      <c r="P26" s="35"/>
      <c r="Q26" s="35"/>
      <c r="R26" s="20"/>
      <c r="S26" s="35"/>
      <c r="T26" s="35"/>
      <c r="U26" s="35"/>
      <c r="V26" s="35"/>
      <c r="W26" s="35"/>
      <c r="X26" s="35"/>
      <c r="Y26" s="35"/>
      <c r="Z26" s="35"/>
      <c r="AA26" s="35"/>
      <c r="AB26" s="35"/>
      <c r="AC26" s="35"/>
      <c r="AD26" s="35"/>
      <c r="AE26" s="35"/>
      <c r="AF26" s="35"/>
      <c r="AG26" s="35"/>
      <c r="AH26" s="35"/>
      <c r="AI26" s="35"/>
      <c r="AJ26" s="35"/>
      <c r="AK26" s="35"/>
      <c r="AL26" s="35"/>
      <c r="AM26" s="35"/>
      <c r="AN26" s="35"/>
      <c r="AO26" s="35"/>
      <c r="AP26" s="35"/>
      <c r="AQ26" s="35"/>
      <c r="AR26" s="35"/>
      <c r="AS26" s="35"/>
      <c r="AT26" s="35"/>
      <c r="AU26" s="35"/>
      <c r="AV26" s="35"/>
      <c r="AW26" s="35"/>
      <c r="AX26" s="35"/>
      <c r="AY26" s="35"/>
      <c r="AZ26" s="35"/>
      <c r="BA26" s="35"/>
      <c r="BB26" s="35"/>
      <c r="BC26" s="35"/>
      <c r="BD26" s="35"/>
      <c r="BE26" s="35"/>
      <c r="BF26" s="35"/>
      <c r="BG26" s="35"/>
      <c r="BH26" s="35"/>
      <c r="BI26" s="35"/>
      <c r="BJ26" s="35"/>
      <c r="BK26" s="35"/>
      <c r="BL26" s="35"/>
      <c r="BM26" s="35"/>
      <c r="BN26" s="35"/>
      <c r="BO26" s="35"/>
      <c r="BP26" s="35"/>
      <c r="BQ26" s="35"/>
      <c r="BR26" s="35"/>
      <c r="BS26" s="35"/>
      <c r="BT26" s="35"/>
      <c r="BU26" s="35"/>
      <c r="BV26" s="35"/>
      <c r="BW26" s="35"/>
      <c r="BX26" s="35"/>
      <c r="BY26" s="35"/>
      <c r="BZ26" s="35"/>
      <c r="CA26" s="35"/>
      <c r="CB26" s="35"/>
      <c r="CC26" s="35"/>
      <c r="CD26" s="35"/>
      <c r="CE26" s="35"/>
      <c r="CF26" s="35"/>
      <c r="CG26" s="35"/>
      <c r="CH26" s="35"/>
      <c r="CI26" s="35"/>
      <c r="CJ26" s="35"/>
      <c r="CK26" s="35"/>
      <c r="CL26" s="35"/>
      <c r="CM26" s="35"/>
      <c r="CN26" s="35"/>
      <c r="CO26" s="35"/>
      <c r="CP26" s="35"/>
      <c r="CQ26" s="35"/>
      <c r="CR26" s="35"/>
      <c r="CS26" s="35"/>
      <c r="CT26" s="35"/>
      <c r="CU26" s="35"/>
      <c r="CV26" s="35"/>
      <c r="CW26" s="35"/>
      <c r="CX26" s="35"/>
      <c r="CY26" s="35"/>
      <c r="CZ26" s="35"/>
      <c r="DA26" s="35"/>
      <c r="DB26" s="35"/>
      <c r="DC26" s="35"/>
      <c r="DD26" s="35"/>
      <c r="DE26" s="35"/>
      <c r="DF26" s="35"/>
      <c r="DG26" s="35"/>
      <c r="DH26" s="35"/>
      <c r="DI26" s="35"/>
      <c r="DJ26" s="35"/>
      <c r="DK26" s="35"/>
      <c r="DL26" s="35"/>
      <c r="DM26" s="35"/>
      <c r="DN26" s="35"/>
      <c r="DO26" s="35"/>
      <c r="DP26" s="35"/>
      <c r="DQ26" s="35"/>
      <c r="DR26" s="35"/>
      <c r="DS26" s="35"/>
      <c r="DT26" s="35"/>
      <c r="DU26" s="35"/>
      <c r="DV26" s="35"/>
      <c r="DW26" s="35"/>
      <c r="DX26" s="35"/>
      <c r="DY26" s="35"/>
      <c r="DZ26" s="35"/>
      <c r="EA26" s="35"/>
      <c r="EB26" s="35"/>
      <c r="EC26" s="35"/>
      <c r="ED26" s="35"/>
      <c r="EE26" s="35"/>
      <c r="EF26" s="35"/>
      <c r="EG26" s="35"/>
      <c r="EH26" s="35"/>
      <c r="EI26" s="35"/>
      <c r="EJ26" s="35"/>
      <c r="EK26" s="35"/>
      <c r="EL26" s="35"/>
      <c r="EM26" s="35"/>
      <c r="EN26" s="35"/>
      <c r="EO26" s="35"/>
      <c r="EP26" s="35"/>
      <c r="EQ26" s="35"/>
      <c r="ER26" s="35"/>
      <c r="ES26" s="35"/>
      <c r="ET26" s="35"/>
      <c r="EU26" s="35"/>
      <c r="EV26" s="35"/>
      <c r="EW26" s="35"/>
      <c r="EX26" s="35"/>
      <c r="EY26" s="35"/>
      <c r="EZ26" s="35"/>
      <c r="FA26" s="35"/>
      <c r="FB26" s="35"/>
      <c r="FC26" s="35"/>
      <c r="FD26" s="35"/>
      <c r="FE26" s="35"/>
      <c r="FF26" s="35"/>
      <c r="FG26" s="35"/>
      <c r="FH26" s="35"/>
      <c r="FI26" s="35"/>
      <c r="FJ26" s="35"/>
      <c r="FK26" s="35"/>
      <c r="FL26" s="35"/>
      <c r="FM26" s="35"/>
      <c r="FN26" s="35"/>
      <c r="FO26" s="35"/>
      <c r="FP26" s="35"/>
      <c r="FQ26" s="35"/>
      <c r="FR26" s="35"/>
      <c r="FS26" s="35"/>
      <c r="FT26" s="35"/>
      <c r="FU26" s="35"/>
      <c r="FV26" s="35"/>
      <c r="FW26" s="35"/>
      <c r="FX26" s="35"/>
      <c r="FY26" s="35"/>
      <c r="FZ26" s="35"/>
      <c r="GA26" s="35"/>
      <c r="GB26" s="35"/>
      <c r="GC26" s="35"/>
      <c r="GD26" s="35"/>
      <c r="GE26" s="35"/>
      <c r="GF26" s="35"/>
      <c r="GG26" s="35"/>
      <c r="GH26" s="35"/>
      <c r="GI26" s="35"/>
      <c r="GJ26" s="35"/>
      <c r="GK26" s="35"/>
      <c r="GL26" s="35"/>
      <c r="GM26" s="35"/>
      <c r="GN26" s="35"/>
      <c r="GO26" s="35"/>
      <c r="GP26" s="35"/>
      <c r="GQ26" s="35"/>
      <c r="GR26" s="35"/>
      <c r="GS26" s="35"/>
      <c r="GT26" s="35"/>
      <c r="GU26" s="35"/>
      <c r="GV26" s="35"/>
      <c r="GW26" s="35"/>
      <c r="GX26" s="35"/>
      <c r="GY26" s="35"/>
      <c r="GZ26" s="35"/>
      <c r="HA26" s="35"/>
      <c r="HB26" s="35"/>
      <c r="HC26" s="35"/>
      <c r="HD26" s="35"/>
      <c r="HE26" s="35"/>
      <c r="HF26" s="35"/>
      <c r="HG26" s="35"/>
      <c r="HH26" s="35"/>
      <c r="HI26" s="35"/>
      <c r="HJ26" s="35"/>
      <c r="HK26" s="35"/>
      <c r="HL26" s="35"/>
      <c r="HM26" s="35"/>
      <c r="HN26" s="35"/>
      <c r="HO26" s="35"/>
      <c r="HP26" s="35"/>
      <c r="HQ26" s="35"/>
      <c r="HR26" s="35"/>
      <c r="HS26" s="35"/>
      <c r="HT26" s="35"/>
      <c r="HU26" s="35"/>
      <c r="HV26" s="35"/>
      <c r="HW26" s="35"/>
      <c r="HX26" s="35"/>
      <c r="HY26" s="35"/>
      <c r="HZ26" s="35"/>
      <c r="IA26" s="35"/>
      <c r="IB26" s="35"/>
      <c r="IC26" s="35"/>
      <c r="ID26" s="35"/>
      <c r="IE26" s="35"/>
      <c r="IF26" s="35"/>
      <c r="IG26" s="35"/>
      <c r="IH26" s="35"/>
      <c r="II26" s="35"/>
      <c r="IJ26" s="35"/>
      <c r="IK26" s="35"/>
      <c r="IL26" s="35"/>
      <c r="IM26" s="35"/>
      <c r="IN26" s="35"/>
      <c r="IO26" s="35"/>
      <c r="IP26" s="35"/>
      <c r="IQ26" s="35"/>
      <c r="IR26" s="35"/>
      <c r="IS26" s="35"/>
      <c r="IT26" s="35"/>
      <c r="IU26" s="35"/>
      <c r="IV26" s="35"/>
      <c r="IW26" s="35"/>
      <c r="IX26" s="35"/>
      <c r="IY26" s="35"/>
      <c r="IZ26" s="35"/>
      <c r="JA26" s="35"/>
      <c r="JB26" s="35"/>
      <c r="JC26" s="35"/>
      <c r="JD26" s="35"/>
      <c r="JE26" s="35"/>
      <c r="JF26" s="35"/>
      <c r="JG26" s="35"/>
      <c r="JH26" s="35"/>
      <c r="JI26" s="35"/>
      <c r="JJ26" s="35"/>
      <c r="JK26" s="35"/>
      <c r="JL26" s="35"/>
      <c r="JM26" s="35"/>
      <c r="JN26" s="35"/>
      <c r="JO26" s="35"/>
      <c r="JP26" s="35"/>
      <c r="JQ26" s="35"/>
      <c r="JR26" s="35"/>
      <c r="JS26" s="35"/>
      <c r="JT26" s="35"/>
      <c r="JU26" s="35"/>
      <c r="JV26" s="35"/>
      <c r="JW26" s="35"/>
      <c r="JX26" s="35"/>
      <c r="JY26" s="35"/>
      <c r="JZ26" s="35"/>
      <c r="KA26" s="35"/>
      <c r="KB26" s="35"/>
      <c r="KC26" s="35"/>
      <c r="KD26" s="35"/>
      <c r="KE26" s="35"/>
      <c r="KF26" s="35"/>
      <c r="KG26" s="35"/>
      <c r="KH26" s="35"/>
      <c r="KI26" s="35"/>
      <c r="KJ26" s="35"/>
      <c r="KK26" s="35"/>
      <c r="KL26" s="35"/>
      <c r="KM26" s="35"/>
      <c r="KN26" s="35"/>
      <c r="KO26" s="35"/>
      <c r="KP26" s="35"/>
      <c r="KQ26" s="35"/>
      <c r="KR26" s="35"/>
      <c r="KS26" s="35"/>
      <c r="KT26" s="35"/>
      <c r="KU26" s="35"/>
      <c r="KV26" s="35"/>
      <c r="KW26" s="35"/>
      <c r="KX26" s="35"/>
      <c r="KY26" s="35"/>
      <c r="KZ26" s="35"/>
      <c r="LA26" s="35"/>
      <c r="LB26" s="35"/>
      <c r="LC26" s="35"/>
      <c r="LD26" s="35"/>
      <c r="LE26" s="35"/>
      <c r="LF26" s="35"/>
      <c r="LG26" s="35"/>
      <c r="LH26" s="35"/>
      <c r="LI26" s="35"/>
      <c r="LJ26" s="35"/>
      <c r="LK26" s="35"/>
      <c r="LL26" s="35"/>
      <c r="LM26" s="35"/>
      <c r="LN26" s="35"/>
      <c r="LO26" s="35"/>
      <c r="LP26" s="35"/>
      <c r="LQ26" s="35"/>
      <c r="LR26" s="35"/>
      <c r="LS26" s="35"/>
      <c r="LT26" s="35"/>
      <c r="LU26" s="35"/>
      <c r="LV26" s="35"/>
      <c r="LW26" s="35"/>
      <c r="LX26" s="35"/>
      <c r="LY26" s="35"/>
      <c r="LZ26" s="35"/>
      <c r="MA26" s="35"/>
      <c r="MB26" s="35"/>
      <c r="MC26" s="35"/>
      <c r="MD26" s="35"/>
      <c r="ME26" s="35"/>
      <c r="MF26" s="35"/>
      <c r="MG26" s="35"/>
    </row>
    <row r="27" spans="2:345" s="67" customFormat="1" ht="36" hidden="1" customHeight="1" x14ac:dyDescent="0.25">
      <c r="B27" s="28">
        <v>4153</v>
      </c>
      <c r="C27" s="24" t="s">
        <v>40</v>
      </c>
      <c r="D27" s="19" t="s">
        <v>4359</v>
      </c>
      <c r="E27" s="18">
        <v>42384</v>
      </c>
      <c r="F27" s="27">
        <f t="shared" ca="1" si="0"/>
        <v>2089</v>
      </c>
      <c r="G27" s="69" t="s">
        <v>4354</v>
      </c>
      <c r="H27" s="68"/>
      <c r="I27" s="25"/>
      <c r="J27" s="25">
        <v>42390</v>
      </c>
      <c r="K27" s="68" t="s">
        <v>2532</v>
      </c>
      <c r="L27" s="68">
        <v>42389</v>
      </c>
      <c r="M27" s="68"/>
      <c r="N27" s="22" t="s">
        <v>4357</v>
      </c>
      <c r="O27" s="26"/>
      <c r="P27" s="35"/>
      <c r="Q27" s="35"/>
      <c r="R27" s="20"/>
      <c r="S27" s="35"/>
      <c r="T27" s="35"/>
      <c r="U27" s="35"/>
      <c r="V27" s="35"/>
      <c r="W27" s="35"/>
      <c r="X27" s="35"/>
      <c r="Y27" s="35"/>
      <c r="Z27" s="35"/>
      <c r="AA27" s="35"/>
      <c r="AB27" s="35"/>
      <c r="AC27" s="35"/>
      <c r="AD27" s="35"/>
      <c r="AE27" s="35"/>
      <c r="AF27" s="35"/>
      <c r="AG27" s="35"/>
      <c r="AH27" s="35"/>
      <c r="AI27" s="35"/>
      <c r="AJ27" s="35"/>
      <c r="AK27" s="35"/>
      <c r="AL27" s="35"/>
      <c r="AM27" s="35"/>
      <c r="AN27" s="35"/>
      <c r="AO27" s="35"/>
      <c r="AP27" s="35"/>
      <c r="AQ27" s="35"/>
      <c r="AR27" s="35"/>
      <c r="AS27" s="35"/>
      <c r="AT27" s="35"/>
      <c r="AU27" s="35"/>
      <c r="AV27" s="35"/>
      <c r="AW27" s="35"/>
      <c r="AX27" s="35"/>
      <c r="AY27" s="35"/>
      <c r="AZ27" s="35"/>
      <c r="BA27" s="35"/>
      <c r="BB27" s="35"/>
      <c r="BC27" s="35"/>
      <c r="BD27" s="35"/>
      <c r="BE27" s="35"/>
      <c r="BF27" s="35"/>
      <c r="BG27" s="35"/>
      <c r="BH27" s="35"/>
      <c r="BI27" s="35"/>
      <c r="BJ27" s="35"/>
      <c r="BK27" s="35"/>
      <c r="BL27" s="35"/>
      <c r="BM27" s="35"/>
      <c r="BN27" s="35"/>
      <c r="BO27" s="35"/>
      <c r="BP27" s="35"/>
      <c r="BQ27" s="35"/>
      <c r="BR27" s="35"/>
      <c r="BS27" s="35"/>
      <c r="BT27" s="35"/>
      <c r="BU27" s="35"/>
      <c r="BV27" s="35"/>
      <c r="BW27" s="35"/>
      <c r="BX27" s="35"/>
      <c r="BY27" s="35"/>
      <c r="BZ27" s="35"/>
      <c r="CA27" s="35"/>
      <c r="CB27" s="35"/>
      <c r="CC27" s="35"/>
      <c r="CD27" s="35"/>
      <c r="CE27" s="35"/>
      <c r="CF27" s="35"/>
      <c r="CG27" s="35"/>
      <c r="CH27" s="35"/>
      <c r="CI27" s="35"/>
      <c r="CJ27" s="35"/>
      <c r="CK27" s="35"/>
      <c r="CL27" s="35"/>
      <c r="CM27" s="35"/>
      <c r="CN27" s="35"/>
      <c r="CO27" s="35"/>
      <c r="CP27" s="35"/>
      <c r="CQ27" s="35"/>
      <c r="CR27" s="35"/>
      <c r="CS27" s="35"/>
      <c r="CT27" s="35"/>
      <c r="CU27" s="35"/>
      <c r="CV27" s="35"/>
      <c r="CW27" s="35"/>
      <c r="CX27" s="35"/>
      <c r="CY27" s="35"/>
      <c r="CZ27" s="35"/>
      <c r="DA27" s="35"/>
      <c r="DB27" s="35"/>
      <c r="DC27" s="35"/>
      <c r="DD27" s="35"/>
      <c r="DE27" s="35"/>
      <c r="DF27" s="35"/>
      <c r="DG27" s="35"/>
      <c r="DH27" s="35"/>
      <c r="DI27" s="35"/>
      <c r="DJ27" s="35"/>
      <c r="DK27" s="35"/>
      <c r="DL27" s="35"/>
      <c r="DM27" s="35"/>
      <c r="DN27" s="35"/>
      <c r="DO27" s="35"/>
      <c r="DP27" s="35"/>
      <c r="DQ27" s="35"/>
      <c r="DR27" s="35"/>
      <c r="DS27" s="35"/>
      <c r="DT27" s="35"/>
      <c r="DU27" s="35"/>
      <c r="DV27" s="35"/>
      <c r="DW27" s="35"/>
      <c r="DX27" s="35"/>
      <c r="DY27" s="35"/>
      <c r="DZ27" s="35"/>
      <c r="EA27" s="35"/>
      <c r="EB27" s="35"/>
      <c r="EC27" s="35"/>
      <c r="ED27" s="35"/>
      <c r="EE27" s="35"/>
      <c r="EF27" s="35"/>
      <c r="EG27" s="35"/>
      <c r="EH27" s="35"/>
      <c r="EI27" s="35"/>
      <c r="EJ27" s="35"/>
      <c r="EK27" s="35"/>
      <c r="EL27" s="35"/>
      <c r="EM27" s="35"/>
      <c r="EN27" s="35"/>
      <c r="EO27" s="35"/>
      <c r="EP27" s="35"/>
      <c r="EQ27" s="35"/>
      <c r="ER27" s="35"/>
      <c r="ES27" s="35"/>
      <c r="ET27" s="35"/>
      <c r="EU27" s="35"/>
      <c r="EV27" s="35"/>
      <c r="EW27" s="35"/>
      <c r="EX27" s="35"/>
      <c r="EY27" s="35"/>
      <c r="EZ27" s="35"/>
      <c r="FA27" s="35"/>
      <c r="FB27" s="35"/>
      <c r="FC27" s="35"/>
      <c r="FD27" s="35"/>
      <c r="FE27" s="35"/>
      <c r="FF27" s="35"/>
      <c r="FG27" s="35"/>
      <c r="FH27" s="35"/>
      <c r="FI27" s="35"/>
      <c r="FJ27" s="35"/>
      <c r="FK27" s="35"/>
      <c r="FL27" s="35"/>
      <c r="FM27" s="35"/>
      <c r="FN27" s="35"/>
      <c r="FO27" s="35"/>
      <c r="FP27" s="35"/>
      <c r="FQ27" s="35"/>
      <c r="FR27" s="35"/>
      <c r="FS27" s="35"/>
      <c r="FT27" s="35"/>
      <c r="FU27" s="35"/>
      <c r="FV27" s="35"/>
      <c r="FW27" s="35"/>
      <c r="FX27" s="35"/>
      <c r="FY27" s="35"/>
      <c r="FZ27" s="35"/>
      <c r="GA27" s="35"/>
      <c r="GB27" s="35"/>
      <c r="GC27" s="35"/>
      <c r="GD27" s="35"/>
      <c r="GE27" s="35"/>
      <c r="GF27" s="35"/>
      <c r="GG27" s="35"/>
      <c r="GH27" s="35"/>
      <c r="GI27" s="35"/>
      <c r="GJ27" s="35"/>
      <c r="GK27" s="35"/>
      <c r="GL27" s="35"/>
      <c r="GM27" s="35"/>
      <c r="GN27" s="35"/>
      <c r="GO27" s="35"/>
      <c r="GP27" s="35"/>
      <c r="GQ27" s="35"/>
      <c r="GR27" s="35"/>
      <c r="GS27" s="35"/>
      <c r="GT27" s="35"/>
      <c r="GU27" s="35"/>
      <c r="GV27" s="35"/>
      <c r="GW27" s="35"/>
      <c r="GX27" s="35"/>
      <c r="GY27" s="35"/>
      <c r="GZ27" s="35"/>
      <c r="HA27" s="35"/>
      <c r="HB27" s="35"/>
      <c r="HC27" s="35"/>
      <c r="HD27" s="35"/>
      <c r="HE27" s="35"/>
      <c r="HF27" s="35"/>
      <c r="HG27" s="35"/>
      <c r="HH27" s="35"/>
      <c r="HI27" s="35"/>
      <c r="HJ27" s="35"/>
      <c r="HK27" s="35"/>
      <c r="HL27" s="35"/>
      <c r="HM27" s="35"/>
      <c r="HN27" s="35"/>
      <c r="HO27" s="35"/>
      <c r="HP27" s="35"/>
      <c r="HQ27" s="35"/>
      <c r="HR27" s="35"/>
      <c r="HS27" s="35"/>
      <c r="HT27" s="35"/>
      <c r="HU27" s="35"/>
      <c r="HV27" s="35"/>
      <c r="HW27" s="35"/>
      <c r="HX27" s="35"/>
      <c r="HY27" s="35"/>
      <c r="HZ27" s="35"/>
      <c r="IA27" s="35"/>
      <c r="IB27" s="35"/>
      <c r="IC27" s="35"/>
      <c r="ID27" s="35"/>
      <c r="IE27" s="35"/>
      <c r="IF27" s="35"/>
      <c r="IG27" s="35"/>
      <c r="IH27" s="35"/>
      <c r="II27" s="35"/>
      <c r="IJ27" s="35"/>
      <c r="IK27" s="35"/>
      <c r="IL27" s="35"/>
      <c r="IM27" s="35"/>
      <c r="IN27" s="35"/>
      <c r="IO27" s="35"/>
      <c r="IP27" s="35"/>
      <c r="IQ27" s="35"/>
      <c r="IR27" s="35"/>
      <c r="IS27" s="35"/>
      <c r="IT27" s="35"/>
      <c r="IU27" s="35"/>
      <c r="IV27" s="35"/>
      <c r="IW27" s="35"/>
      <c r="IX27" s="35"/>
      <c r="IY27" s="35"/>
      <c r="IZ27" s="35"/>
      <c r="JA27" s="35"/>
      <c r="JB27" s="35"/>
      <c r="JC27" s="35"/>
      <c r="JD27" s="35"/>
      <c r="JE27" s="35"/>
      <c r="JF27" s="35"/>
      <c r="JG27" s="35"/>
      <c r="JH27" s="35"/>
      <c r="JI27" s="35"/>
      <c r="JJ27" s="35"/>
      <c r="JK27" s="35"/>
      <c r="JL27" s="35"/>
      <c r="JM27" s="35"/>
      <c r="JN27" s="35"/>
      <c r="JO27" s="35"/>
      <c r="JP27" s="35"/>
      <c r="JQ27" s="35"/>
      <c r="JR27" s="35"/>
      <c r="JS27" s="35"/>
      <c r="JT27" s="35"/>
      <c r="JU27" s="35"/>
      <c r="JV27" s="35"/>
      <c r="JW27" s="35"/>
      <c r="JX27" s="35"/>
      <c r="JY27" s="35"/>
      <c r="JZ27" s="35"/>
      <c r="KA27" s="35"/>
      <c r="KB27" s="35"/>
      <c r="KC27" s="35"/>
      <c r="KD27" s="35"/>
      <c r="KE27" s="35"/>
      <c r="KF27" s="35"/>
      <c r="KG27" s="35"/>
      <c r="KH27" s="35"/>
      <c r="KI27" s="35"/>
      <c r="KJ27" s="35"/>
      <c r="KK27" s="35"/>
      <c r="KL27" s="35"/>
      <c r="KM27" s="35"/>
      <c r="KN27" s="35"/>
      <c r="KO27" s="35"/>
      <c r="KP27" s="35"/>
      <c r="KQ27" s="35"/>
      <c r="KR27" s="35"/>
      <c r="KS27" s="35"/>
      <c r="KT27" s="35"/>
      <c r="KU27" s="35"/>
      <c r="KV27" s="35"/>
      <c r="KW27" s="35"/>
      <c r="KX27" s="35"/>
      <c r="KY27" s="35"/>
      <c r="KZ27" s="35"/>
      <c r="LA27" s="35"/>
      <c r="LB27" s="35"/>
      <c r="LC27" s="35"/>
      <c r="LD27" s="35"/>
      <c r="LE27" s="35"/>
      <c r="LF27" s="35"/>
      <c r="LG27" s="35"/>
      <c r="LH27" s="35"/>
      <c r="LI27" s="35"/>
      <c r="LJ27" s="35"/>
      <c r="LK27" s="35"/>
      <c r="LL27" s="35"/>
      <c r="LM27" s="35"/>
      <c r="LN27" s="35"/>
      <c r="LO27" s="35"/>
      <c r="LP27" s="35"/>
      <c r="LQ27" s="35"/>
      <c r="LR27" s="35"/>
      <c r="LS27" s="35"/>
      <c r="LT27" s="35"/>
      <c r="LU27" s="35"/>
      <c r="LV27" s="35"/>
      <c r="LW27" s="35"/>
      <c r="LX27" s="35"/>
      <c r="LY27" s="35"/>
      <c r="LZ27" s="35"/>
      <c r="MA27" s="35"/>
      <c r="MB27" s="35"/>
      <c r="MC27" s="35"/>
      <c r="MD27" s="35"/>
      <c r="ME27" s="35"/>
      <c r="MF27" s="35"/>
      <c r="MG27" s="35"/>
    </row>
    <row r="28" spans="2:345" s="67" customFormat="1" ht="36" hidden="1" customHeight="1" x14ac:dyDescent="0.25">
      <c r="B28" s="28" t="s">
        <v>4392</v>
      </c>
      <c r="C28" s="24" t="s">
        <v>40</v>
      </c>
      <c r="D28" s="19" t="s">
        <v>4393</v>
      </c>
      <c r="E28" s="18">
        <v>42384</v>
      </c>
      <c r="F28" s="27">
        <f t="shared" ca="1" si="0"/>
        <v>2089</v>
      </c>
      <c r="G28" s="69" t="s">
        <v>4298</v>
      </c>
      <c r="H28" s="68"/>
      <c r="I28" s="25"/>
      <c r="J28" s="25"/>
      <c r="K28" s="68"/>
      <c r="L28" s="68">
        <v>42385</v>
      </c>
      <c r="M28" s="68"/>
      <c r="N28" s="22"/>
      <c r="O28" s="26"/>
      <c r="P28" s="35"/>
      <c r="Q28" s="35"/>
      <c r="R28" s="20"/>
      <c r="S28" s="35"/>
      <c r="T28" s="35"/>
      <c r="U28" s="35"/>
      <c r="V28" s="35"/>
      <c r="W28" s="35"/>
      <c r="X28" s="35"/>
      <c r="Y28" s="35"/>
      <c r="Z28" s="35"/>
      <c r="AA28" s="35"/>
      <c r="AB28" s="35"/>
      <c r="AC28" s="35"/>
      <c r="AD28" s="35"/>
      <c r="AE28" s="35"/>
      <c r="AF28" s="35"/>
      <c r="AG28" s="35"/>
      <c r="AH28" s="35"/>
      <c r="AI28" s="35"/>
      <c r="AJ28" s="35"/>
      <c r="AK28" s="35"/>
      <c r="AL28" s="35"/>
      <c r="AM28" s="35"/>
      <c r="AN28" s="35"/>
      <c r="AO28" s="35"/>
      <c r="AP28" s="35"/>
      <c r="AQ28" s="35"/>
      <c r="AR28" s="35"/>
      <c r="AS28" s="35"/>
      <c r="AT28" s="35"/>
      <c r="AU28" s="35"/>
      <c r="AV28" s="35"/>
      <c r="AW28" s="35"/>
      <c r="AX28" s="35"/>
      <c r="AY28" s="35"/>
      <c r="AZ28" s="35"/>
      <c r="BA28" s="35"/>
      <c r="BB28" s="35"/>
      <c r="BC28" s="35"/>
      <c r="BD28" s="35"/>
      <c r="BE28" s="35"/>
      <c r="BF28" s="35"/>
      <c r="BG28" s="35"/>
      <c r="BH28" s="35"/>
      <c r="BI28" s="35"/>
      <c r="BJ28" s="35"/>
      <c r="BK28" s="35"/>
      <c r="BL28" s="35"/>
      <c r="BM28" s="35"/>
      <c r="BN28" s="35"/>
      <c r="BO28" s="35"/>
      <c r="BP28" s="35"/>
      <c r="BQ28" s="35"/>
      <c r="BR28" s="35"/>
      <c r="BS28" s="35"/>
      <c r="BT28" s="35"/>
      <c r="BU28" s="35"/>
      <c r="BV28" s="35"/>
      <c r="BW28" s="35"/>
      <c r="BX28" s="35"/>
      <c r="BY28" s="35"/>
      <c r="BZ28" s="35"/>
      <c r="CA28" s="35"/>
      <c r="CB28" s="35"/>
      <c r="CC28" s="35"/>
      <c r="CD28" s="35"/>
      <c r="CE28" s="35"/>
      <c r="CF28" s="35"/>
      <c r="CG28" s="35"/>
      <c r="CH28" s="35"/>
      <c r="CI28" s="35"/>
      <c r="CJ28" s="35"/>
      <c r="CK28" s="35"/>
      <c r="CL28" s="35"/>
      <c r="CM28" s="35"/>
      <c r="CN28" s="35"/>
      <c r="CO28" s="35"/>
      <c r="CP28" s="35"/>
      <c r="CQ28" s="35"/>
      <c r="CR28" s="35"/>
      <c r="CS28" s="35"/>
      <c r="CT28" s="35"/>
      <c r="CU28" s="35"/>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c r="DV28" s="35"/>
      <c r="DW28" s="35"/>
      <c r="DX28" s="35"/>
      <c r="DY28" s="35"/>
      <c r="DZ28" s="35"/>
      <c r="EA28" s="35"/>
      <c r="EB28" s="35"/>
      <c r="EC28" s="35"/>
      <c r="ED28" s="35"/>
      <c r="EE28" s="35"/>
      <c r="EF28" s="35"/>
      <c r="EG28" s="35"/>
      <c r="EH28" s="35"/>
      <c r="EI28" s="35"/>
      <c r="EJ28" s="35"/>
      <c r="EK28" s="35"/>
      <c r="EL28" s="35"/>
      <c r="EM28" s="35"/>
      <c r="EN28" s="35"/>
      <c r="EO28" s="35"/>
      <c r="EP28" s="35"/>
      <c r="EQ28" s="35"/>
      <c r="ER28" s="35"/>
      <c r="ES28" s="35"/>
      <c r="ET28" s="35"/>
      <c r="EU28" s="35"/>
      <c r="EV28" s="35"/>
      <c r="EW28" s="35"/>
      <c r="EX28" s="35"/>
      <c r="EY28" s="35"/>
      <c r="EZ28" s="35"/>
      <c r="FA28" s="35"/>
      <c r="FB28" s="35"/>
      <c r="FC28" s="35"/>
      <c r="FD28" s="35"/>
      <c r="FE28" s="35"/>
      <c r="FF28" s="35"/>
      <c r="FG28" s="35"/>
      <c r="FH28" s="35"/>
      <c r="FI28" s="35"/>
      <c r="FJ28" s="35"/>
      <c r="FK28" s="35"/>
      <c r="FL28" s="35"/>
      <c r="FM28" s="35"/>
      <c r="FN28" s="35"/>
      <c r="FO28" s="35"/>
      <c r="FP28" s="35"/>
      <c r="FQ28" s="35"/>
      <c r="FR28" s="35"/>
      <c r="FS28" s="35"/>
      <c r="FT28" s="35"/>
      <c r="FU28" s="35"/>
      <c r="FV28" s="35"/>
      <c r="FW28" s="35"/>
      <c r="FX28" s="35"/>
      <c r="FY28" s="35"/>
      <c r="FZ28" s="35"/>
      <c r="GA28" s="35"/>
      <c r="GB28" s="35"/>
      <c r="GC28" s="35"/>
      <c r="GD28" s="35"/>
      <c r="GE28" s="35"/>
      <c r="GF28" s="35"/>
      <c r="GG28" s="35"/>
      <c r="GH28" s="35"/>
      <c r="GI28" s="35"/>
      <c r="GJ28" s="35"/>
      <c r="GK28" s="35"/>
      <c r="GL28" s="35"/>
      <c r="GM28" s="35"/>
      <c r="GN28" s="35"/>
      <c r="GO28" s="35"/>
      <c r="GP28" s="35"/>
      <c r="GQ28" s="35"/>
      <c r="GR28" s="35"/>
      <c r="GS28" s="35"/>
      <c r="GT28" s="35"/>
      <c r="GU28" s="35"/>
      <c r="GV28" s="35"/>
      <c r="GW28" s="35"/>
      <c r="GX28" s="35"/>
      <c r="GY28" s="35"/>
      <c r="GZ28" s="35"/>
      <c r="HA28" s="35"/>
      <c r="HB28" s="35"/>
      <c r="HC28" s="35"/>
      <c r="HD28" s="35"/>
      <c r="HE28" s="35"/>
      <c r="HF28" s="35"/>
      <c r="HG28" s="35"/>
      <c r="HH28" s="35"/>
      <c r="HI28" s="35"/>
      <c r="HJ28" s="35"/>
      <c r="HK28" s="35"/>
      <c r="HL28" s="35"/>
      <c r="HM28" s="35"/>
      <c r="HN28" s="35"/>
      <c r="HO28" s="35"/>
      <c r="HP28" s="35"/>
      <c r="HQ28" s="35"/>
      <c r="HR28" s="35"/>
      <c r="HS28" s="35"/>
      <c r="HT28" s="35"/>
      <c r="HU28" s="35"/>
      <c r="HV28" s="35"/>
      <c r="HW28" s="35"/>
      <c r="HX28" s="35"/>
      <c r="HY28" s="35"/>
      <c r="HZ28" s="35"/>
      <c r="IA28" s="35"/>
      <c r="IB28" s="35"/>
      <c r="IC28" s="35"/>
      <c r="ID28" s="35"/>
      <c r="IE28" s="35"/>
      <c r="IF28" s="35"/>
      <c r="IG28" s="35"/>
      <c r="IH28" s="35"/>
      <c r="II28" s="35"/>
      <c r="IJ28" s="35"/>
      <c r="IK28" s="35"/>
      <c r="IL28" s="35"/>
      <c r="IM28" s="35"/>
      <c r="IN28" s="35"/>
      <c r="IO28" s="35"/>
      <c r="IP28" s="35"/>
      <c r="IQ28" s="35"/>
      <c r="IR28" s="35"/>
      <c r="IS28" s="35"/>
      <c r="IT28" s="35"/>
      <c r="IU28" s="35"/>
      <c r="IV28" s="35"/>
      <c r="IW28" s="35"/>
      <c r="IX28" s="35"/>
      <c r="IY28" s="35"/>
      <c r="IZ28" s="35"/>
      <c r="JA28" s="35"/>
      <c r="JB28" s="35"/>
      <c r="JC28" s="35"/>
      <c r="JD28" s="35"/>
      <c r="JE28" s="35"/>
      <c r="JF28" s="35"/>
      <c r="JG28" s="35"/>
      <c r="JH28" s="35"/>
      <c r="JI28" s="35"/>
      <c r="JJ28" s="35"/>
      <c r="JK28" s="35"/>
      <c r="JL28" s="35"/>
      <c r="JM28" s="35"/>
      <c r="JN28" s="35"/>
      <c r="JO28" s="35"/>
      <c r="JP28" s="35"/>
      <c r="JQ28" s="35"/>
      <c r="JR28" s="35"/>
      <c r="JS28" s="35"/>
      <c r="JT28" s="35"/>
      <c r="JU28" s="35"/>
      <c r="JV28" s="35"/>
      <c r="JW28" s="35"/>
      <c r="JX28" s="35"/>
      <c r="JY28" s="35"/>
      <c r="JZ28" s="35"/>
      <c r="KA28" s="35"/>
      <c r="KB28" s="35"/>
      <c r="KC28" s="35"/>
      <c r="KD28" s="35"/>
      <c r="KE28" s="35"/>
      <c r="KF28" s="35"/>
      <c r="KG28" s="35"/>
      <c r="KH28" s="35"/>
      <c r="KI28" s="35"/>
      <c r="KJ28" s="35"/>
      <c r="KK28" s="35"/>
      <c r="KL28" s="35"/>
      <c r="KM28" s="35"/>
      <c r="KN28" s="35"/>
      <c r="KO28" s="35"/>
      <c r="KP28" s="35"/>
      <c r="KQ28" s="35"/>
      <c r="KR28" s="35"/>
      <c r="KS28" s="35"/>
      <c r="KT28" s="35"/>
      <c r="KU28" s="35"/>
      <c r="KV28" s="35"/>
      <c r="KW28" s="35"/>
      <c r="KX28" s="35"/>
      <c r="KY28" s="35"/>
      <c r="KZ28" s="35"/>
      <c r="LA28" s="35"/>
      <c r="LB28" s="35"/>
      <c r="LC28" s="35"/>
      <c r="LD28" s="35"/>
      <c r="LE28" s="35"/>
      <c r="LF28" s="35"/>
      <c r="LG28" s="35"/>
      <c r="LH28" s="35"/>
      <c r="LI28" s="35"/>
      <c r="LJ28" s="35"/>
      <c r="LK28" s="35"/>
      <c r="LL28" s="35"/>
      <c r="LM28" s="35"/>
      <c r="LN28" s="35"/>
      <c r="LO28" s="35"/>
      <c r="LP28" s="35"/>
      <c r="LQ28" s="35"/>
      <c r="LR28" s="35"/>
      <c r="LS28" s="35"/>
      <c r="LT28" s="35"/>
      <c r="LU28" s="35"/>
      <c r="LV28" s="35"/>
      <c r="LW28" s="35"/>
      <c r="LX28" s="35"/>
      <c r="LY28" s="35"/>
      <c r="LZ28" s="35"/>
      <c r="MA28" s="35"/>
      <c r="MB28" s="35"/>
      <c r="MC28" s="35"/>
      <c r="MD28" s="35"/>
      <c r="ME28" s="35"/>
      <c r="MF28" s="35"/>
      <c r="MG28" s="35"/>
    </row>
    <row r="29" spans="2:345" s="67" customFormat="1" ht="36" hidden="1" customHeight="1" x14ac:dyDescent="0.25">
      <c r="B29" s="28">
        <v>4142</v>
      </c>
      <c r="C29" s="24" t="s">
        <v>32</v>
      </c>
      <c r="D29" s="19" t="s">
        <v>4300</v>
      </c>
      <c r="E29" s="18">
        <v>42388</v>
      </c>
      <c r="F29" s="27">
        <f t="shared" ca="1" si="0"/>
        <v>2085</v>
      </c>
      <c r="G29" s="69" t="s">
        <v>4298</v>
      </c>
      <c r="H29" s="68"/>
      <c r="I29" s="25"/>
      <c r="J29" s="25"/>
      <c r="K29" s="68"/>
      <c r="L29" s="68">
        <v>42396</v>
      </c>
      <c r="M29" s="68"/>
      <c r="N29" s="22" t="s">
        <v>4299</v>
      </c>
      <c r="O29" s="26"/>
      <c r="P29" s="35"/>
      <c r="Q29" s="35"/>
      <c r="R29" s="20"/>
      <c r="S29" s="35"/>
      <c r="T29" s="35"/>
      <c r="U29" s="35"/>
      <c r="V29" s="35"/>
      <c r="W29" s="35"/>
      <c r="X29" s="35"/>
      <c r="Y29" s="35"/>
      <c r="Z29" s="35"/>
      <c r="AA29" s="35"/>
      <c r="AB29" s="35"/>
      <c r="AC29" s="35"/>
      <c r="AD29" s="35"/>
      <c r="AE29" s="35"/>
      <c r="AF29" s="35"/>
      <c r="AG29" s="35"/>
      <c r="AH29" s="35"/>
      <c r="AI29" s="35"/>
      <c r="AJ29" s="35"/>
      <c r="AK29" s="35"/>
      <c r="AL29" s="35"/>
      <c r="AM29" s="35"/>
      <c r="AN29" s="35"/>
      <c r="AO29" s="35"/>
      <c r="AP29" s="35"/>
      <c r="AQ29" s="35"/>
      <c r="AR29" s="35"/>
      <c r="AS29" s="35"/>
      <c r="AT29" s="35"/>
      <c r="AU29" s="35"/>
      <c r="AV29" s="35"/>
      <c r="AW29" s="35"/>
      <c r="AX29" s="35"/>
      <c r="AY29" s="35"/>
      <c r="AZ29" s="35"/>
      <c r="BA29" s="35"/>
      <c r="BB29" s="35"/>
      <c r="BC29" s="35"/>
      <c r="BD29" s="35"/>
      <c r="BE29" s="35"/>
      <c r="BF29" s="35"/>
      <c r="BG29" s="35"/>
      <c r="BH29" s="35"/>
      <c r="BI29" s="35"/>
      <c r="BJ29" s="35"/>
      <c r="BK29" s="35"/>
      <c r="BL29" s="35"/>
      <c r="BM29" s="35"/>
      <c r="BN29" s="35"/>
      <c r="BO29" s="35"/>
      <c r="BP29" s="35"/>
      <c r="BQ29" s="35"/>
      <c r="BR29" s="35"/>
      <c r="BS29" s="35"/>
      <c r="BT29" s="35"/>
      <c r="BU29" s="35"/>
      <c r="BV29" s="35"/>
      <c r="BW29" s="35"/>
      <c r="BX29" s="35"/>
      <c r="BY29" s="35"/>
      <c r="BZ29" s="35"/>
      <c r="CA29" s="35"/>
      <c r="CB29" s="35"/>
      <c r="CC29" s="35"/>
      <c r="CD29" s="35"/>
      <c r="CE29" s="35"/>
      <c r="CF29" s="35"/>
      <c r="CG29" s="35"/>
      <c r="CH29" s="35"/>
      <c r="CI29" s="35"/>
      <c r="CJ29" s="35"/>
      <c r="CK29" s="35"/>
      <c r="CL29" s="35"/>
      <c r="CM29" s="35"/>
      <c r="CN29" s="35"/>
      <c r="CO29" s="35"/>
      <c r="CP29" s="35"/>
      <c r="CQ29" s="35"/>
      <c r="CR29" s="35"/>
      <c r="CS29" s="35"/>
      <c r="CT29" s="35"/>
      <c r="CU29" s="35"/>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c r="DV29" s="35"/>
      <c r="DW29" s="35"/>
      <c r="DX29" s="35"/>
      <c r="DY29" s="35"/>
      <c r="DZ29" s="35"/>
      <c r="EA29" s="35"/>
      <c r="EB29" s="35"/>
      <c r="EC29" s="35"/>
      <c r="ED29" s="35"/>
      <c r="EE29" s="35"/>
      <c r="EF29" s="35"/>
      <c r="EG29" s="35"/>
      <c r="EH29" s="35"/>
      <c r="EI29" s="35"/>
      <c r="EJ29" s="35"/>
      <c r="EK29" s="35"/>
      <c r="EL29" s="35"/>
      <c r="EM29" s="35"/>
      <c r="EN29" s="35"/>
      <c r="EO29" s="35"/>
      <c r="EP29" s="35"/>
      <c r="EQ29" s="35"/>
      <c r="ER29" s="35"/>
      <c r="ES29" s="35"/>
      <c r="ET29" s="35"/>
      <c r="EU29" s="35"/>
      <c r="EV29" s="35"/>
      <c r="EW29" s="35"/>
      <c r="EX29" s="35"/>
      <c r="EY29" s="35"/>
      <c r="EZ29" s="35"/>
      <c r="FA29" s="35"/>
      <c r="FB29" s="35"/>
      <c r="FC29" s="35"/>
      <c r="FD29" s="35"/>
      <c r="FE29" s="35"/>
      <c r="FF29" s="35"/>
      <c r="FG29" s="35"/>
      <c r="FH29" s="35"/>
      <c r="FI29" s="35"/>
      <c r="FJ29" s="35"/>
      <c r="FK29" s="35"/>
      <c r="FL29" s="35"/>
      <c r="FM29" s="35"/>
      <c r="FN29" s="35"/>
      <c r="FO29" s="35"/>
      <c r="FP29" s="35"/>
      <c r="FQ29" s="35"/>
      <c r="FR29" s="35"/>
      <c r="FS29" s="35"/>
      <c r="FT29" s="35"/>
      <c r="FU29" s="35"/>
      <c r="FV29" s="35"/>
      <c r="FW29" s="35"/>
      <c r="FX29" s="35"/>
      <c r="FY29" s="35"/>
      <c r="FZ29" s="35"/>
      <c r="GA29" s="35"/>
      <c r="GB29" s="35"/>
      <c r="GC29" s="35"/>
      <c r="GD29" s="35"/>
      <c r="GE29" s="35"/>
      <c r="GF29" s="35"/>
      <c r="GG29" s="35"/>
      <c r="GH29" s="35"/>
      <c r="GI29" s="35"/>
      <c r="GJ29" s="35"/>
      <c r="GK29" s="35"/>
      <c r="GL29" s="35"/>
      <c r="GM29" s="35"/>
      <c r="GN29" s="35"/>
      <c r="GO29" s="35"/>
      <c r="GP29" s="35"/>
      <c r="GQ29" s="35"/>
      <c r="GR29" s="35"/>
      <c r="GS29" s="35"/>
      <c r="GT29" s="35"/>
      <c r="GU29" s="35"/>
      <c r="GV29" s="35"/>
      <c r="GW29" s="35"/>
      <c r="GX29" s="35"/>
      <c r="GY29" s="35"/>
      <c r="GZ29" s="35"/>
      <c r="HA29" s="35"/>
      <c r="HB29" s="35"/>
      <c r="HC29" s="35"/>
      <c r="HD29" s="35"/>
      <c r="HE29" s="35"/>
      <c r="HF29" s="35"/>
      <c r="HG29" s="35"/>
      <c r="HH29" s="35"/>
      <c r="HI29" s="35"/>
      <c r="HJ29" s="35"/>
      <c r="HK29" s="35"/>
      <c r="HL29" s="35"/>
      <c r="HM29" s="35"/>
      <c r="HN29" s="35"/>
      <c r="HO29" s="35"/>
      <c r="HP29" s="35"/>
      <c r="HQ29" s="35"/>
      <c r="HR29" s="35"/>
      <c r="HS29" s="35"/>
      <c r="HT29" s="35"/>
      <c r="HU29" s="35"/>
      <c r="HV29" s="35"/>
      <c r="HW29" s="35"/>
      <c r="HX29" s="35"/>
      <c r="HY29" s="35"/>
      <c r="HZ29" s="35"/>
      <c r="IA29" s="35"/>
      <c r="IB29" s="35"/>
      <c r="IC29" s="35"/>
      <c r="ID29" s="35"/>
      <c r="IE29" s="35"/>
      <c r="IF29" s="35"/>
      <c r="IG29" s="35"/>
      <c r="IH29" s="35"/>
      <c r="II29" s="35"/>
      <c r="IJ29" s="35"/>
      <c r="IK29" s="35"/>
      <c r="IL29" s="35"/>
      <c r="IM29" s="35"/>
      <c r="IN29" s="35"/>
      <c r="IO29" s="35"/>
      <c r="IP29" s="35"/>
      <c r="IQ29" s="35"/>
      <c r="IR29" s="35"/>
      <c r="IS29" s="35"/>
      <c r="IT29" s="35"/>
      <c r="IU29" s="35"/>
      <c r="IV29" s="35"/>
      <c r="IW29" s="35"/>
      <c r="IX29" s="35"/>
      <c r="IY29" s="35"/>
      <c r="IZ29" s="35"/>
      <c r="JA29" s="35"/>
      <c r="JB29" s="35"/>
      <c r="JC29" s="35"/>
      <c r="JD29" s="35"/>
      <c r="JE29" s="35"/>
      <c r="JF29" s="35"/>
      <c r="JG29" s="35"/>
      <c r="JH29" s="35"/>
      <c r="JI29" s="35"/>
      <c r="JJ29" s="35"/>
      <c r="JK29" s="35"/>
      <c r="JL29" s="35"/>
      <c r="JM29" s="35"/>
      <c r="JN29" s="35"/>
      <c r="JO29" s="35"/>
      <c r="JP29" s="35"/>
      <c r="JQ29" s="35"/>
      <c r="JR29" s="35"/>
      <c r="JS29" s="35"/>
      <c r="JT29" s="35"/>
      <c r="JU29" s="35"/>
      <c r="JV29" s="35"/>
      <c r="JW29" s="35"/>
      <c r="JX29" s="35"/>
      <c r="JY29" s="35"/>
      <c r="JZ29" s="35"/>
      <c r="KA29" s="35"/>
      <c r="KB29" s="35"/>
      <c r="KC29" s="35"/>
      <c r="KD29" s="35"/>
      <c r="KE29" s="35"/>
      <c r="KF29" s="35"/>
      <c r="KG29" s="35"/>
      <c r="KH29" s="35"/>
      <c r="KI29" s="35"/>
      <c r="KJ29" s="35"/>
      <c r="KK29" s="35"/>
      <c r="KL29" s="35"/>
      <c r="KM29" s="35"/>
      <c r="KN29" s="35"/>
      <c r="KO29" s="35"/>
      <c r="KP29" s="35"/>
      <c r="KQ29" s="35"/>
      <c r="KR29" s="35"/>
      <c r="KS29" s="35"/>
      <c r="KT29" s="35"/>
      <c r="KU29" s="35"/>
      <c r="KV29" s="35"/>
      <c r="KW29" s="35"/>
      <c r="KX29" s="35"/>
      <c r="KY29" s="35"/>
      <c r="KZ29" s="35"/>
      <c r="LA29" s="35"/>
      <c r="LB29" s="35"/>
      <c r="LC29" s="35"/>
      <c r="LD29" s="35"/>
      <c r="LE29" s="35"/>
      <c r="LF29" s="35"/>
      <c r="LG29" s="35"/>
      <c r="LH29" s="35"/>
      <c r="LI29" s="35"/>
      <c r="LJ29" s="35"/>
      <c r="LK29" s="35"/>
      <c r="LL29" s="35"/>
      <c r="LM29" s="35"/>
      <c r="LN29" s="35"/>
      <c r="LO29" s="35"/>
      <c r="LP29" s="35"/>
      <c r="LQ29" s="35"/>
      <c r="LR29" s="35"/>
      <c r="LS29" s="35"/>
      <c r="LT29" s="35"/>
      <c r="LU29" s="35"/>
      <c r="LV29" s="35"/>
      <c r="LW29" s="35"/>
      <c r="LX29" s="35"/>
      <c r="LY29" s="35"/>
      <c r="LZ29" s="35"/>
      <c r="MA29" s="35"/>
      <c r="MB29" s="35"/>
      <c r="MC29" s="35"/>
      <c r="MD29" s="35"/>
      <c r="ME29" s="35"/>
      <c r="MF29" s="35"/>
      <c r="MG29" s="35"/>
    </row>
    <row r="30" spans="2:345" s="67" customFormat="1" ht="36" hidden="1" customHeight="1" x14ac:dyDescent="0.25">
      <c r="B30" s="28">
        <v>4142</v>
      </c>
      <c r="C30" s="24" t="s">
        <v>39</v>
      </c>
      <c r="D30" s="19" t="s">
        <v>4301</v>
      </c>
      <c r="E30" s="18">
        <v>42388</v>
      </c>
      <c r="F30" s="27">
        <f t="shared" ca="1" si="0"/>
        <v>2085</v>
      </c>
      <c r="G30" s="69" t="s">
        <v>4298</v>
      </c>
      <c r="H30" s="68"/>
      <c r="I30" s="25"/>
      <c r="J30" s="25"/>
      <c r="K30" s="68"/>
      <c r="L30" s="68">
        <v>42396</v>
      </c>
      <c r="M30" s="68"/>
      <c r="N30" s="22" t="s">
        <v>4299</v>
      </c>
      <c r="O30" s="26"/>
      <c r="P30" s="35"/>
      <c r="Q30" s="35"/>
      <c r="R30" s="20"/>
      <c r="S30" s="35"/>
      <c r="T30" s="35"/>
      <c r="U30" s="35"/>
      <c r="V30" s="35"/>
      <c r="W30" s="35"/>
      <c r="X30" s="35"/>
      <c r="Y30" s="35"/>
      <c r="Z30" s="35"/>
      <c r="AA30" s="35"/>
      <c r="AB30" s="35"/>
      <c r="AC30" s="35"/>
      <c r="AD30" s="35"/>
      <c r="AE30" s="35"/>
      <c r="AF30" s="35"/>
      <c r="AG30" s="35"/>
      <c r="AH30" s="35"/>
      <c r="AI30" s="35"/>
      <c r="AJ30" s="35"/>
      <c r="AK30" s="35"/>
      <c r="AL30" s="35"/>
      <c r="AM30" s="35"/>
      <c r="AN30" s="35"/>
      <c r="AO30" s="35"/>
      <c r="AP30" s="35"/>
      <c r="AQ30" s="35"/>
      <c r="AR30" s="35"/>
      <c r="AS30" s="35"/>
      <c r="AT30" s="35"/>
      <c r="AU30" s="35"/>
      <c r="AV30" s="35"/>
      <c r="AW30" s="35"/>
      <c r="AX30" s="35"/>
      <c r="AY30" s="35"/>
      <c r="AZ30" s="35"/>
      <c r="BA30" s="35"/>
      <c r="BB30" s="35"/>
      <c r="BC30" s="35"/>
      <c r="BD30" s="35"/>
      <c r="BE30" s="35"/>
      <c r="BF30" s="35"/>
      <c r="BG30" s="35"/>
      <c r="BH30" s="35"/>
      <c r="BI30" s="35"/>
      <c r="BJ30" s="35"/>
      <c r="BK30" s="35"/>
      <c r="BL30" s="35"/>
      <c r="BM30" s="35"/>
      <c r="BN30" s="35"/>
      <c r="BO30" s="35"/>
      <c r="BP30" s="35"/>
      <c r="BQ30" s="35"/>
      <c r="BR30" s="35"/>
      <c r="BS30" s="35"/>
      <c r="BT30" s="35"/>
      <c r="BU30" s="35"/>
      <c r="BV30" s="35"/>
      <c r="BW30" s="35"/>
      <c r="BX30" s="35"/>
      <c r="BY30" s="35"/>
      <c r="BZ30" s="35"/>
      <c r="CA30" s="35"/>
      <c r="CB30" s="35"/>
      <c r="CC30" s="35"/>
      <c r="CD30" s="35"/>
      <c r="CE30" s="35"/>
      <c r="CF30" s="35"/>
      <c r="CG30" s="35"/>
      <c r="CH30" s="35"/>
      <c r="CI30" s="35"/>
      <c r="CJ30" s="35"/>
      <c r="CK30" s="35"/>
      <c r="CL30" s="35"/>
      <c r="CM30" s="35"/>
      <c r="CN30" s="35"/>
      <c r="CO30" s="35"/>
      <c r="CP30" s="35"/>
      <c r="CQ30" s="35"/>
      <c r="CR30" s="35"/>
      <c r="CS30" s="35"/>
      <c r="CT30" s="35"/>
      <c r="CU30" s="35"/>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c r="DV30" s="35"/>
      <c r="DW30" s="35"/>
      <c r="DX30" s="35"/>
      <c r="DY30" s="35"/>
      <c r="DZ30" s="35"/>
      <c r="EA30" s="35"/>
      <c r="EB30" s="35"/>
      <c r="EC30" s="35"/>
      <c r="ED30" s="35"/>
      <c r="EE30" s="35"/>
      <c r="EF30" s="35"/>
      <c r="EG30" s="35"/>
      <c r="EH30" s="35"/>
      <c r="EI30" s="35"/>
      <c r="EJ30" s="35"/>
      <c r="EK30" s="35"/>
      <c r="EL30" s="35"/>
      <c r="EM30" s="35"/>
      <c r="EN30" s="35"/>
      <c r="EO30" s="35"/>
      <c r="EP30" s="35"/>
      <c r="EQ30" s="35"/>
      <c r="ER30" s="35"/>
      <c r="ES30" s="35"/>
      <c r="ET30" s="35"/>
      <c r="EU30" s="35"/>
      <c r="EV30" s="35"/>
      <c r="EW30" s="35"/>
      <c r="EX30" s="35"/>
      <c r="EY30" s="35"/>
      <c r="EZ30" s="35"/>
      <c r="FA30" s="35"/>
      <c r="FB30" s="35"/>
      <c r="FC30" s="35"/>
      <c r="FD30" s="35"/>
      <c r="FE30" s="35"/>
      <c r="FF30" s="35"/>
      <c r="FG30" s="35"/>
      <c r="FH30" s="35"/>
      <c r="FI30" s="35"/>
      <c r="FJ30" s="35"/>
      <c r="FK30" s="35"/>
      <c r="FL30" s="35"/>
      <c r="FM30" s="35"/>
      <c r="FN30" s="35"/>
      <c r="FO30" s="35"/>
      <c r="FP30" s="35"/>
      <c r="FQ30" s="35"/>
      <c r="FR30" s="35"/>
      <c r="FS30" s="35"/>
      <c r="FT30" s="35"/>
      <c r="FU30" s="35"/>
      <c r="FV30" s="35"/>
      <c r="FW30" s="35"/>
      <c r="FX30" s="35"/>
      <c r="FY30" s="35"/>
      <c r="FZ30" s="35"/>
      <c r="GA30" s="35"/>
      <c r="GB30" s="35"/>
      <c r="GC30" s="35"/>
      <c r="GD30" s="35"/>
      <c r="GE30" s="35"/>
      <c r="GF30" s="35"/>
      <c r="GG30" s="35"/>
      <c r="GH30" s="35"/>
      <c r="GI30" s="35"/>
      <c r="GJ30" s="35"/>
      <c r="GK30" s="35"/>
      <c r="GL30" s="35"/>
      <c r="GM30" s="35"/>
      <c r="GN30" s="35"/>
      <c r="GO30" s="35"/>
      <c r="GP30" s="35"/>
      <c r="GQ30" s="35"/>
      <c r="GR30" s="35"/>
      <c r="GS30" s="35"/>
      <c r="GT30" s="35"/>
      <c r="GU30" s="35"/>
      <c r="GV30" s="35"/>
      <c r="GW30" s="35"/>
      <c r="GX30" s="35"/>
      <c r="GY30" s="35"/>
      <c r="GZ30" s="35"/>
      <c r="HA30" s="35"/>
      <c r="HB30" s="35"/>
      <c r="HC30" s="35"/>
      <c r="HD30" s="35"/>
      <c r="HE30" s="35"/>
      <c r="HF30" s="35"/>
      <c r="HG30" s="35"/>
      <c r="HH30" s="35"/>
      <c r="HI30" s="35"/>
      <c r="HJ30" s="35"/>
      <c r="HK30" s="35"/>
      <c r="HL30" s="35"/>
      <c r="HM30" s="35"/>
      <c r="HN30" s="35"/>
      <c r="HO30" s="35"/>
      <c r="HP30" s="35"/>
      <c r="HQ30" s="35"/>
      <c r="HR30" s="35"/>
      <c r="HS30" s="35"/>
      <c r="HT30" s="35"/>
      <c r="HU30" s="35"/>
      <c r="HV30" s="35"/>
      <c r="HW30" s="35"/>
      <c r="HX30" s="35"/>
      <c r="HY30" s="35"/>
      <c r="HZ30" s="35"/>
      <c r="IA30" s="35"/>
      <c r="IB30" s="35"/>
      <c r="IC30" s="35"/>
      <c r="ID30" s="35"/>
      <c r="IE30" s="35"/>
      <c r="IF30" s="35"/>
      <c r="IG30" s="35"/>
      <c r="IH30" s="35"/>
      <c r="II30" s="35"/>
      <c r="IJ30" s="35"/>
      <c r="IK30" s="35"/>
      <c r="IL30" s="35"/>
      <c r="IM30" s="35"/>
      <c r="IN30" s="35"/>
      <c r="IO30" s="35"/>
      <c r="IP30" s="35"/>
      <c r="IQ30" s="35"/>
      <c r="IR30" s="35"/>
      <c r="IS30" s="35"/>
      <c r="IT30" s="35"/>
      <c r="IU30" s="35"/>
      <c r="IV30" s="35"/>
      <c r="IW30" s="35"/>
      <c r="IX30" s="35"/>
      <c r="IY30" s="35"/>
      <c r="IZ30" s="35"/>
      <c r="JA30" s="35"/>
      <c r="JB30" s="35"/>
      <c r="JC30" s="35"/>
      <c r="JD30" s="35"/>
      <c r="JE30" s="35"/>
      <c r="JF30" s="35"/>
      <c r="JG30" s="35"/>
      <c r="JH30" s="35"/>
      <c r="JI30" s="35"/>
      <c r="JJ30" s="35"/>
      <c r="JK30" s="35"/>
      <c r="JL30" s="35"/>
      <c r="JM30" s="35"/>
      <c r="JN30" s="35"/>
      <c r="JO30" s="35"/>
      <c r="JP30" s="35"/>
      <c r="JQ30" s="35"/>
      <c r="JR30" s="35"/>
      <c r="JS30" s="35"/>
      <c r="JT30" s="35"/>
      <c r="JU30" s="35"/>
      <c r="JV30" s="35"/>
      <c r="JW30" s="35"/>
      <c r="JX30" s="35"/>
      <c r="JY30" s="35"/>
      <c r="JZ30" s="35"/>
      <c r="KA30" s="35"/>
      <c r="KB30" s="35"/>
      <c r="KC30" s="35"/>
      <c r="KD30" s="35"/>
      <c r="KE30" s="35"/>
      <c r="KF30" s="35"/>
      <c r="KG30" s="35"/>
      <c r="KH30" s="35"/>
      <c r="KI30" s="35"/>
      <c r="KJ30" s="35"/>
      <c r="KK30" s="35"/>
      <c r="KL30" s="35"/>
      <c r="KM30" s="35"/>
      <c r="KN30" s="35"/>
      <c r="KO30" s="35"/>
      <c r="KP30" s="35"/>
      <c r="KQ30" s="35"/>
      <c r="KR30" s="35"/>
      <c r="KS30" s="35"/>
      <c r="KT30" s="35"/>
      <c r="KU30" s="35"/>
      <c r="KV30" s="35"/>
      <c r="KW30" s="35"/>
      <c r="KX30" s="35"/>
      <c r="KY30" s="35"/>
      <c r="KZ30" s="35"/>
      <c r="LA30" s="35"/>
      <c r="LB30" s="35"/>
      <c r="LC30" s="35"/>
      <c r="LD30" s="35"/>
      <c r="LE30" s="35"/>
      <c r="LF30" s="35"/>
      <c r="LG30" s="35"/>
      <c r="LH30" s="35"/>
      <c r="LI30" s="35"/>
      <c r="LJ30" s="35"/>
      <c r="LK30" s="35"/>
      <c r="LL30" s="35"/>
      <c r="LM30" s="35"/>
      <c r="LN30" s="35"/>
      <c r="LO30" s="35"/>
      <c r="LP30" s="35"/>
      <c r="LQ30" s="35"/>
      <c r="LR30" s="35"/>
      <c r="LS30" s="35"/>
      <c r="LT30" s="35"/>
      <c r="LU30" s="35"/>
      <c r="LV30" s="35"/>
      <c r="LW30" s="35"/>
      <c r="LX30" s="35"/>
      <c r="LY30" s="35"/>
      <c r="LZ30" s="35"/>
      <c r="MA30" s="35"/>
      <c r="MB30" s="35"/>
      <c r="MC30" s="35"/>
      <c r="MD30" s="35"/>
      <c r="ME30" s="35"/>
      <c r="MF30" s="35"/>
      <c r="MG30" s="35"/>
    </row>
    <row r="31" spans="2:345" s="67" customFormat="1" ht="36" hidden="1" customHeight="1" x14ac:dyDescent="0.25">
      <c r="B31" s="28">
        <v>4143</v>
      </c>
      <c r="C31" s="24" t="s">
        <v>40</v>
      </c>
      <c r="D31" s="19" t="s">
        <v>4334</v>
      </c>
      <c r="E31" s="18">
        <v>42388</v>
      </c>
      <c r="F31" s="27">
        <f t="shared" ca="1" si="0"/>
        <v>2085</v>
      </c>
      <c r="G31" s="69" t="s">
        <v>4335</v>
      </c>
      <c r="H31" s="68"/>
      <c r="I31" s="25"/>
      <c r="J31" s="25">
        <v>42390</v>
      </c>
      <c r="K31" s="68" t="s">
        <v>2532</v>
      </c>
      <c r="L31" s="68">
        <v>42389</v>
      </c>
      <c r="M31" s="68"/>
      <c r="N31" s="22" t="s">
        <v>4336</v>
      </c>
      <c r="O31" s="26"/>
      <c r="P31" s="35"/>
      <c r="Q31" s="35"/>
      <c r="R31" s="20"/>
      <c r="S31" s="35"/>
      <c r="T31" s="35"/>
      <c r="U31" s="35"/>
      <c r="V31" s="35"/>
      <c r="W31" s="35"/>
      <c r="X31" s="35"/>
      <c r="Y31" s="35"/>
      <c r="Z31" s="35"/>
      <c r="AA31" s="35"/>
      <c r="AB31" s="35"/>
      <c r="AC31" s="35"/>
      <c r="AD31" s="35"/>
      <c r="AE31" s="35"/>
      <c r="AF31" s="35"/>
      <c r="AG31" s="35"/>
      <c r="AH31" s="35"/>
      <c r="AI31" s="35"/>
      <c r="AJ31" s="35"/>
      <c r="AK31" s="35"/>
      <c r="AL31" s="35"/>
      <c r="AM31" s="35"/>
      <c r="AN31" s="35"/>
      <c r="AO31" s="35"/>
      <c r="AP31" s="35"/>
      <c r="AQ31" s="35"/>
      <c r="AR31" s="35"/>
      <c r="AS31" s="35"/>
      <c r="AT31" s="35"/>
      <c r="AU31" s="35"/>
      <c r="AV31" s="35"/>
      <c r="AW31" s="35"/>
      <c r="AX31" s="35"/>
      <c r="AY31" s="35"/>
      <c r="AZ31" s="35"/>
      <c r="BA31" s="35"/>
      <c r="BB31" s="35"/>
      <c r="BC31" s="35"/>
      <c r="BD31" s="35"/>
      <c r="BE31" s="35"/>
      <c r="BF31" s="35"/>
      <c r="BG31" s="35"/>
      <c r="BH31" s="35"/>
      <c r="BI31" s="35"/>
      <c r="BJ31" s="35"/>
      <c r="BK31" s="35"/>
      <c r="BL31" s="35"/>
      <c r="BM31" s="35"/>
      <c r="BN31" s="35"/>
      <c r="BO31" s="35"/>
      <c r="BP31" s="35"/>
      <c r="BQ31" s="35"/>
      <c r="BR31" s="35"/>
      <c r="BS31" s="35"/>
      <c r="BT31" s="35"/>
      <c r="BU31" s="35"/>
      <c r="BV31" s="35"/>
      <c r="BW31" s="35"/>
      <c r="BX31" s="35"/>
      <c r="BY31" s="35"/>
      <c r="BZ31" s="35"/>
      <c r="CA31" s="35"/>
      <c r="CB31" s="35"/>
      <c r="CC31" s="35"/>
      <c r="CD31" s="35"/>
      <c r="CE31" s="35"/>
      <c r="CF31" s="35"/>
      <c r="CG31" s="35"/>
      <c r="CH31" s="35"/>
      <c r="CI31" s="35"/>
      <c r="CJ31" s="35"/>
      <c r="CK31" s="35"/>
      <c r="CL31" s="35"/>
      <c r="CM31" s="35"/>
      <c r="CN31" s="35"/>
      <c r="CO31" s="35"/>
      <c r="CP31" s="35"/>
      <c r="CQ31" s="35"/>
      <c r="CR31" s="35"/>
      <c r="CS31" s="35"/>
      <c r="CT31" s="35"/>
      <c r="CU31" s="35"/>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c r="DV31" s="35"/>
      <c r="DW31" s="35"/>
      <c r="DX31" s="35"/>
      <c r="DY31" s="35"/>
      <c r="DZ31" s="35"/>
      <c r="EA31" s="35"/>
      <c r="EB31" s="35"/>
      <c r="EC31" s="35"/>
      <c r="ED31" s="35"/>
      <c r="EE31" s="35"/>
      <c r="EF31" s="35"/>
      <c r="EG31" s="35"/>
      <c r="EH31" s="35"/>
      <c r="EI31" s="35"/>
      <c r="EJ31" s="35"/>
      <c r="EK31" s="35"/>
      <c r="EL31" s="35"/>
      <c r="EM31" s="35"/>
      <c r="EN31" s="35"/>
      <c r="EO31" s="35"/>
      <c r="EP31" s="35"/>
      <c r="EQ31" s="35"/>
      <c r="ER31" s="35"/>
      <c r="ES31" s="35"/>
      <c r="ET31" s="35"/>
      <c r="EU31" s="35"/>
      <c r="EV31" s="35"/>
      <c r="EW31" s="35"/>
      <c r="EX31" s="35"/>
      <c r="EY31" s="35"/>
      <c r="EZ31" s="35"/>
      <c r="FA31" s="35"/>
      <c r="FB31" s="35"/>
      <c r="FC31" s="35"/>
      <c r="FD31" s="35"/>
      <c r="FE31" s="35"/>
      <c r="FF31" s="35"/>
      <c r="FG31" s="35"/>
      <c r="FH31" s="35"/>
      <c r="FI31" s="35"/>
      <c r="FJ31" s="35"/>
      <c r="FK31" s="35"/>
      <c r="FL31" s="35"/>
      <c r="FM31" s="35"/>
      <c r="FN31" s="35"/>
      <c r="FO31" s="35"/>
      <c r="FP31" s="35"/>
      <c r="FQ31" s="35"/>
      <c r="FR31" s="35"/>
      <c r="FS31" s="35"/>
      <c r="FT31" s="35"/>
      <c r="FU31" s="35"/>
      <c r="FV31" s="35"/>
      <c r="FW31" s="35"/>
      <c r="FX31" s="35"/>
      <c r="FY31" s="35"/>
      <c r="FZ31" s="35"/>
      <c r="GA31" s="35"/>
      <c r="GB31" s="35"/>
      <c r="GC31" s="35"/>
      <c r="GD31" s="35"/>
      <c r="GE31" s="35"/>
      <c r="GF31" s="35"/>
      <c r="GG31" s="35"/>
      <c r="GH31" s="35"/>
      <c r="GI31" s="35"/>
      <c r="GJ31" s="35"/>
      <c r="GK31" s="35"/>
      <c r="GL31" s="35"/>
      <c r="GM31" s="35"/>
      <c r="GN31" s="35"/>
      <c r="GO31" s="35"/>
      <c r="GP31" s="35"/>
      <c r="GQ31" s="35"/>
      <c r="GR31" s="35"/>
      <c r="GS31" s="35"/>
      <c r="GT31" s="35"/>
      <c r="GU31" s="35"/>
      <c r="GV31" s="35"/>
      <c r="GW31" s="35"/>
      <c r="GX31" s="35"/>
      <c r="GY31" s="35"/>
      <c r="GZ31" s="35"/>
      <c r="HA31" s="35"/>
      <c r="HB31" s="35"/>
      <c r="HC31" s="35"/>
      <c r="HD31" s="35"/>
      <c r="HE31" s="35"/>
      <c r="HF31" s="35"/>
      <c r="HG31" s="35"/>
      <c r="HH31" s="35"/>
      <c r="HI31" s="35"/>
      <c r="HJ31" s="35"/>
      <c r="HK31" s="35"/>
      <c r="HL31" s="35"/>
      <c r="HM31" s="35"/>
      <c r="HN31" s="35"/>
      <c r="HO31" s="35"/>
      <c r="HP31" s="35"/>
      <c r="HQ31" s="35"/>
      <c r="HR31" s="35"/>
      <c r="HS31" s="35"/>
      <c r="HT31" s="35"/>
      <c r="HU31" s="35"/>
      <c r="HV31" s="35"/>
      <c r="HW31" s="35"/>
      <c r="HX31" s="35"/>
      <c r="HY31" s="35"/>
      <c r="HZ31" s="35"/>
      <c r="IA31" s="35"/>
      <c r="IB31" s="35"/>
      <c r="IC31" s="35"/>
      <c r="ID31" s="35"/>
      <c r="IE31" s="35"/>
      <c r="IF31" s="35"/>
      <c r="IG31" s="35"/>
      <c r="IH31" s="35"/>
      <c r="II31" s="35"/>
      <c r="IJ31" s="35"/>
      <c r="IK31" s="35"/>
      <c r="IL31" s="35"/>
      <c r="IM31" s="35"/>
      <c r="IN31" s="35"/>
      <c r="IO31" s="35"/>
      <c r="IP31" s="35"/>
      <c r="IQ31" s="35"/>
      <c r="IR31" s="35"/>
      <c r="IS31" s="35"/>
      <c r="IT31" s="35"/>
      <c r="IU31" s="35"/>
      <c r="IV31" s="35"/>
      <c r="IW31" s="35"/>
      <c r="IX31" s="35"/>
      <c r="IY31" s="35"/>
      <c r="IZ31" s="35"/>
      <c r="JA31" s="35"/>
      <c r="JB31" s="35"/>
      <c r="JC31" s="35"/>
      <c r="JD31" s="35"/>
      <c r="JE31" s="35"/>
      <c r="JF31" s="35"/>
      <c r="JG31" s="35"/>
      <c r="JH31" s="35"/>
      <c r="JI31" s="35"/>
      <c r="JJ31" s="35"/>
      <c r="JK31" s="35"/>
      <c r="JL31" s="35"/>
      <c r="JM31" s="35"/>
      <c r="JN31" s="35"/>
      <c r="JO31" s="35"/>
      <c r="JP31" s="35"/>
      <c r="JQ31" s="35"/>
      <c r="JR31" s="35"/>
      <c r="JS31" s="35"/>
      <c r="JT31" s="35"/>
      <c r="JU31" s="35"/>
      <c r="JV31" s="35"/>
      <c r="JW31" s="35"/>
      <c r="JX31" s="35"/>
      <c r="JY31" s="35"/>
      <c r="JZ31" s="35"/>
      <c r="KA31" s="35"/>
      <c r="KB31" s="35"/>
      <c r="KC31" s="35"/>
      <c r="KD31" s="35"/>
      <c r="KE31" s="35"/>
      <c r="KF31" s="35"/>
      <c r="KG31" s="35"/>
      <c r="KH31" s="35"/>
      <c r="KI31" s="35"/>
      <c r="KJ31" s="35"/>
      <c r="KK31" s="35"/>
      <c r="KL31" s="35"/>
      <c r="KM31" s="35"/>
      <c r="KN31" s="35"/>
      <c r="KO31" s="35"/>
      <c r="KP31" s="35"/>
      <c r="KQ31" s="35"/>
      <c r="KR31" s="35"/>
      <c r="KS31" s="35"/>
      <c r="KT31" s="35"/>
      <c r="KU31" s="35"/>
      <c r="KV31" s="35"/>
      <c r="KW31" s="35"/>
      <c r="KX31" s="35"/>
      <c r="KY31" s="35"/>
      <c r="KZ31" s="35"/>
      <c r="LA31" s="35"/>
      <c r="LB31" s="35"/>
      <c r="LC31" s="35"/>
      <c r="LD31" s="35"/>
      <c r="LE31" s="35"/>
      <c r="LF31" s="35"/>
      <c r="LG31" s="35"/>
      <c r="LH31" s="35"/>
      <c r="LI31" s="35"/>
      <c r="LJ31" s="35"/>
      <c r="LK31" s="35"/>
      <c r="LL31" s="35"/>
      <c r="LM31" s="35"/>
      <c r="LN31" s="35"/>
      <c r="LO31" s="35"/>
      <c r="LP31" s="35"/>
      <c r="LQ31" s="35"/>
      <c r="LR31" s="35"/>
      <c r="LS31" s="35"/>
      <c r="LT31" s="35"/>
      <c r="LU31" s="35"/>
      <c r="LV31" s="35"/>
      <c r="LW31" s="35"/>
      <c r="LX31" s="35"/>
      <c r="LY31" s="35"/>
      <c r="LZ31" s="35"/>
      <c r="MA31" s="35"/>
      <c r="MB31" s="35"/>
      <c r="MC31" s="35"/>
      <c r="MD31" s="35"/>
      <c r="ME31" s="35"/>
      <c r="MF31" s="35"/>
      <c r="MG31" s="35"/>
    </row>
    <row r="32" spans="2:345" s="67" customFormat="1" ht="36" hidden="1" customHeight="1" x14ac:dyDescent="0.25">
      <c r="B32" s="28">
        <v>4143</v>
      </c>
      <c r="C32" s="24" t="s">
        <v>40</v>
      </c>
      <c r="D32" s="19" t="s">
        <v>4337</v>
      </c>
      <c r="E32" s="18">
        <v>42388</v>
      </c>
      <c r="F32" s="27">
        <f t="shared" ca="1" si="0"/>
        <v>2085</v>
      </c>
      <c r="G32" s="69" t="s">
        <v>4335</v>
      </c>
      <c r="H32" s="68"/>
      <c r="I32" s="25"/>
      <c r="J32" s="25">
        <v>42390</v>
      </c>
      <c r="K32" s="68" t="s">
        <v>2532</v>
      </c>
      <c r="L32" s="68">
        <v>42389</v>
      </c>
      <c r="M32" s="68"/>
      <c r="N32" s="22" t="s">
        <v>4336</v>
      </c>
      <c r="O32" s="26"/>
      <c r="P32" s="35"/>
      <c r="Q32" s="35"/>
      <c r="R32" s="20"/>
      <c r="S32" s="35"/>
      <c r="T32" s="35"/>
      <c r="U32" s="35"/>
      <c r="V32" s="35"/>
      <c r="W32" s="35"/>
      <c r="X32" s="35"/>
      <c r="Y32" s="35"/>
      <c r="Z32" s="35"/>
      <c r="AA32" s="35"/>
      <c r="AB32" s="35"/>
      <c r="AC32" s="35"/>
      <c r="AD32" s="35"/>
      <c r="AE32" s="35"/>
      <c r="AF32" s="35"/>
      <c r="AG32" s="35"/>
      <c r="AH32" s="35"/>
      <c r="AI32" s="35"/>
      <c r="AJ32" s="35"/>
      <c r="AK32" s="35"/>
      <c r="AL32" s="35"/>
      <c r="AM32" s="35"/>
      <c r="AN32" s="35"/>
      <c r="AO32" s="35"/>
      <c r="AP32" s="35"/>
      <c r="AQ32" s="35"/>
      <c r="AR32" s="35"/>
      <c r="AS32" s="35"/>
      <c r="AT32" s="35"/>
      <c r="AU32" s="35"/>
      <c r="AV32" s="35"/>
      <c r="AW32" s="35"/>
      <c r="AX32" s="35"/>
      <c r="AY32" s="35"/>
      <c r="AZ32" s="35"/>
      <c r="BA32" s="35"/>
      <c r="BB32" s="35"/>
      <c r="BC32" s="35"/>
      <c r="BD32" s="35"/>
      <c r="BE32" s="35"/>
      <c r="BF32" s="35"/>
      <c r="BG32" s="35"/>
      <c r="BH32" s="35"/>
      <c r="BI32" s="35"/>
      <c r="BJ32" s="35"/>
      <c r="BK32" s="35"/>
      <c r="BL32" s="35"/>
      <c r="BM32" s="35"/>
      <c r="BN32" s="35"/>
      <c r="BO32" s="35"/>
      <c r="BP32" s="35"/>
      <c r="BQ32" s="35"/>
      <c r="BR32" s="35"/>
      <c r="BS32" s="35"/>
      <c r="BT32" s="35"/>
      <c r="BU32" s="35"/>
      <c r="BV32" s="35"/>
      <c r="BW32" s="35"/>
      <c r="BX32" s="35"/>
      <c r="BY32" s="35"/>
      <c r="BZ32" s="35"/>
      <c r="CA32" s="35"/>
      <c r="CB32" s="35"/>
      <c r="CC32" s="35"/>
      <c r="CD32" s="35"/>
      <c r="CE32" s="35"/>
      <c r="CF32" s="35"/>
      <c r="CG32" s="35"/>
      <c r="CH32" s="35"/>
      <c r="CI32" s="35"/>
      <c r="CJ32" s="35"/>
      <c r="CK32" s="35"/>
      <c r="CL32" s="35"/>
      <c r="CM32" s="35"/>
      <c r="CN32" s="35"/>
      <c r="CO32" s="35"/>
      <c r="CP32" s="35"/>
      <c r="CQ32" s="35"/>
      <c r="CR32" s="35"/>
      <c r="CS32" s="35"/>
      <c r="CT32" s="35"/>
      <c r="CU32" s="35"/>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c r="DV32" s="35"/>
      <c r="DW32" s="35"/>
      <c r="DX32" s="35"/>
      <c r="DY32" s="35"/>
      <c r="DZ32" s="35"/>
      <c r="EA32" s="35"/>
      <c r="EB32" s="35"/>
      <c r="EC32" s="35"/>
      <c r="ED32" s="35"/>
      <c r="EE32" s="35"/>
      <c r="EF32" s="35"/>
      <c r="EG32" s="35"/>
      <c r="EH32" s="35"/>
      <c r="EI32" s="35"/>
      <c r="EJ32" s="35"/>
      <c r="EK32" s="35"/>
      <c r="EL32" s="35"/>
      <c r="EM32" s="35"/>
      <c r="EN32" s="35"/>
      <c r="EO32" s="35"/>
      <c r="EP32" s="35"/>
      <c r="EQ32" s="35"/>
      <c r="ER32" s="35"/>
      <c r="ES32" s="35"/>
      <c r="ET32" s="35"/>
      <c r="EU32" s="35"/>
      <c r="EV32" s="35"/>
      <c r="EW32" s="35"/>
      <c r="EX32" s="35"/>
      <c r="EY32" s="35"/>
      <c r="EZ32" s="35"/>
      <c r="FA32" s="35"/>
      <c r="FB32" s="35"/>
      <c r="FC32" s="35"/>
      <c r="FD32" s="35"/>
      <c r="FE32" s="35"/>
      <c r="FF32" s="35"/>
      <c r="FG32" s="35"/>
      <c r="FH32" s="35"/>
      <c r="FI32" s="35"/>
      <c r="FJ32" s="35"/>
      <c r="FK32" s="35"/>
      <c r="FL32" s="35"/>
      <c r="FM32" s="35"/>
      <c r="FN32" s="35"/>
      <c r="FO32" s="35"/>
      <c r="FP32" s="35"/>
      <c r="FQ32" s="35"/>
      <c r="FR32" s="35"/>
      <c r="FS32" s="35"/>
      <c r="FT32" s="35"/>
      <c r="FU32" s="35"/>
      <c r="FV32" s="35"/>
      <c r="FW32" s="35"/>
      <c r="FX32" s="35"/>
      <c r="FY32" s="35"/>
      <c r="FZ32" s="35"/>
      <c r="GA32" s="35"/>
      <c r="GB32" s="35"/>
      <c r="GC32" s="35"/>
      <c r="GD32" s="35"/>
      <c r="GE32" s="35"/>
      <c r="GF32" s="35"/>
      <c r="GG32" s="35"/>
      <c r="GH32" s="35"/>
      <c r="GI32" s="35"/>
      <c r="GJ32" s="35"/>
      <c r="GK32" s="35"/>
      <c r="GL32" s="35"/>
      <c r="GM32" s="35"/>
      <c r="GN32" s="35"/>
      <c r="GO32" s="35"/>
      <c r="GP32" s="35"/>
      <c r="GQ32" s="35"/>
      <c r="GR32" s="35"/>
      <c r="GS32" s="35"/>
      <c r="GT32" s="35"/>
      <c r="GU32" s="35"/>
      <c r="GV32" s="35"/>
      <c r="GW32" s="35"/>
      <c r="GX32" s="35"/>
      <c r="GY32" s="35"/>
      <c r="GZ32" s="35"/>
      <c r="HA32" s="35"/>
      <c r="HB32" s="35"/>
      <c r="HC32" s="35"/>
      <c r="HD32" s="35"/>
      <c r="HE32" s="35"/>
      <c r="HF32" s="35"/>
      <c r="HG32" s="35"/>
      <c r="HH32" s="35"/>
      <c r="HI32" s="35"/>
      <c r="HJ32" s="35"/>
      <c r="HK32" s="35"/>
      <c r="HL32" s="35"/>
      <c r="HM32" s="35"/>
      <c r="HN32" s="35"/>
      <c r="HO32" s="35"/>
      <c r="HP32" s="35"/>
      <c r="HQ32" s="35"/>
      <c r="HR32" s="35"/>
      <c r="HS32" s="35"/>
      <c r="HT32" s="35"/>
      <c r="HU32" s="35"/>
      <c r="HV32" s="35"/>
      <c r="HW32" s="35"/>
      <c r="HX32" s="35"/>
      <c r="HY32" s="35"/>
      <c r="HZ32" s="35"/>
      <c r="IA32" s="35"/>
      <c r="IB32" s="35"/>
      <c r="IC32" s="35"/>
      <c r="ID32" s="35"/>
      <c r="IE32" s="35"/>
      <c r="IF32" s="35"/>
      <c r="IG32" s="35"/>
      <c r="IH32" s="35"/>
      <c r="II32" s="35"/>
      <c r="IJ32" s="35"/>
      <c r="IK32" s="35"/>
      <c r="IL32" s="35"/>
      <c r="IM32" s="35"/>
      <c r="IN32" s="35"/>
      <c r="IO32" s="35"/>
      <c r="IP32" s="35"/>
      <c r="IQ32" s="35"/>
      <c r="IR32" s="35"/>
      <c r="IS32" s="35"/>
      <c r="IT32" s="35"/>
      <c r="IU32" s="35"/>
      <c r="IV32" s="35"/>
      <c r="IW32" s="35"/>
      <c r="IX32" s="35"/>
      <c r="IY32" s="35"/>
      <c r="IZ32" s="35"/>
      <c r="JA32" s="35"/>
      <c r="JB32" s="35"/>
      <c r="JC32" s="35"/>
      <c r="JD32" s="35"/>
      <c r="JE32" s="35"/>
      <c r="JF32" s="35"/>
      <c r="JG32" s="35"/>
      <c r="JH32" s="35"/>
      <c r="JI32" s="35"/>
      <c r="JJ32" s="35"/>
      <c r="JK32" s="35"/>
      <c r="JL32" s="35"/>
      <c r="JM32" s="35"/>
      <c r="JN32" s="35"/>
      <c r="JO32" s="35"/>
      <c r="JP32" s="35"/>
      <c r="JQ32" s="35"/>
      <c r="JR32" s="35"/>
      <c r="JS32" s="35"/>
      <c r="JT32" s="35"/>
      <c r="JU32" s="35"/>
      <c r="JV32" s="35"/>
      <c r="JW32" s="35"/>
      <c r="JX32" s="35"/>
      <c r="JY32" s="35"/>
      <c r="JZ32" s="35"/>
      <c r="KA32" s="35"/>
      <c r="KB32" s="35"/>
      <c r="KC32" s="35"/>
      <c r="KD32" s="35"/>
      <c r="KE32" s="35"/>
      <c r="KF32" s="35"/>
      <c r="KG32" s="35"/>
      <c r="KH32" s="35"/>
      <c r="KI32" s="35"/>
      <c r="KJ32" s="35"/>
      <c r="KK32" s="35"/>
      <c r="KL32" s="35"/>
      <c r="KM32" s="35"/>
      <c r="KN32" s="35"/>
      <c r="KO32" s="35"/>
      <c r="KP32" s="35"/>
      <c r="KQ32" s="35"/>
      <c r="KR32" s="35"/>
      <c r="KS32" s="35"/>
      <c r="KT32" s="35"/>
      <c r="KU32" s="35"/>
      <c r="KV32" s="35"/>
      <c r="KW32" s="35"/>
      <c r="KX32" s="35"/>
      <c r="KY32" s="35"/>
      <c r="KZ32" s="35"/>
      <c r="LA32" s="35"/>
      <c r="LB32" s="35"/>
      <c r="LC32" s="35"/>
      <c r="LD32" s="35"/>
      <c r="LE32" s="35"/>
      <c r="LF32" s="35"/>
      <c r="LG32" s="35"/>
      <c r="LH32" s="35"/>
      <c r="LI32" s="35"/>
      <c r="LJ32" s="35"/>
      <c r="LK32" s="35"/>
      <c r="LL32" s="35"/>
      <c r="LM32" s="35"/>
      <c r="LN32" s="35"/>
      <c r="LO32" s="35"/>
      <c r="LP32" s="35"/>
      <c r="LQ32" s="35"/>
      <c r="LR32" s="35"/>
      <c r="LS32" s="35"/>
      <c r="LT32" s="35"/>
      <c r="LU32" s="35"/>
      <c r="LV32" s="35"/>
      <c r="LW32" s="35"/>
      <c r="LX32" s="35"/>
      <c r="LY32" s="35"/>
      <c r="LZ32" s="35"/>
      <c r="MA32" s="35"/>
      <c r="MB32" s="35"/>
      <c r="MC32" s="35"/>
      <c r="MD32" s="35"/>
      <c r="ME32" s="35"/>
      <c r="MF32" s="35"/>
      <c r="MG32" s="35"/>
    </row>
    <row r="33" spans="2:345" s="67" customFormat="1" ht="36" hidden="1" customHeight="1" x14ac:dyDescent="0.25">
      <c r="B33" s="28">
        <v>4143</v>
      </c>
      <c r="C33" s="24" t="s">
        <v>40</v>
      </c>
      <c r="D33" s="19" t="s">
        <v>4338</v>
      </c>
      <c r="E33" s="18">
        <v>42388</v>
      </c>
      <c r="F33" s="27">
        <f t="shared" ca="1" si="0"/>
        <v>2085</v>
      </c>
      <c r="G33" s="69"/>
      <c r="H33" s="68"/>
      <c r="I33" s="25"/>
      <c r="J33" s="25"/>
      <c r="K33" s="68"/>
      <c r="L33" s="68">
        <v>42389</v>
      </c>
      <c r="M33" s="68"/>
      <c r="N33" s="22"/>
      <c r="O33" s="26"/>
      <c r="P33" s="35"/>
      <c r="Q33" s="35"/>
      <c r="R33" s="20"/>
      <c r="S33" s="35"/>
      <c r="T33" s="35"/>
      <c r="U33" s="35"/>
      <c r="V33" s="35"/>
      <c r="W33" s="35"/>
      <c r="X33" s="35"/>
      <c r="Y33" s="35"/>
      <c r="Z33" s="35"/>
      <c r="AA33" s="35"/>
      <c r="AB33" s="35"/>
      <c r="AC33" s="35"/>
      <c r="AD33" s="35"/>
      <c r="AE33" s="35"/>
      <c r="AF33" s="35"/>
      <c r="AG33" s="35"/>
      <c r="AH33" s="35"/>
      <c r="AI33" s="35"/>
      <c r="AJ33" s="35"/>
      <c r="AK33" s="35"/>
      <c r="AL33" s="35"/>
      <c r="AM33" s="35"/>
      <c r="AN33" s="35"/>
      <c r="AO33" s="35"/>
      <c r="AP33" s="35"/>
      <c r="AQ33" s="35"/>
      <c r="AR33" s="35"/>
      <c r="AS33" s="35"/>
      <c r="AT33" s="35"/>
      <c r="AU33" s="35"/>
      <c r="AV33" s="35"/>
      <c r="AW33" s="35"/>
      <c r="AX33" s="35"/>
      <c r="AY33" s="35"/>
      <c r="AZ33" s="35"/>
      <c r="BA33" s="35"/>
      <c r="BB33" s="35"/>
      <c r="BC33" s="35"/>
      <c r="BD33" s="35"/>
      <c r="BE33" s="35"/>
      <c r="BF33" s="35"/>
      <c r="BG33" s="35"/>
      <c r="BH33" s="35"/>
      <c r="BI33" s="35"/>
      <c r="BJ33" s="35"/>
      <c r="BK33" s="35"/>
      <c r="BL33" s="35"/>
      <c r="BM33" s="35"/>
      <c r="BN33" s="35"/>
      <c r="BO33" s="35"/>
      <c r="BP33" s="35"/>
      <c r="BQ33" s="35"/>
      <c r="BR33" s="35"/>
      <c r="BS33" s="35"/>
      <c r="BT33" s="35"/>
      <c r="BU33" s="35"/>
      <c r="BV33" s="35"/>
      <c r="BW33" s="35"/>
      <c r="BX33" s="35"/>
      <c r="BY33" s="35"/>
      <c r="BZ33" s="35"/>
      <c r="CA33" s="35"/>
      <c r="CB33" s="35"/>
      <c r="CC33" s="35"/>
      <c r="CD33" s="35"/>
      <c r="CE33" s="35"/>
      <c r="CF33" s="35"/>
      <c r="CG33" s="35"/>
      <c r="CH33" s="35"/>
      <c r="CI33" s="35"/>
      <c r="CJ33" s="35"/>
      <c r="CK33" s="35"/>
      <c r="CL33" s="35"/>
      <c r="CM33" s="35"/>
      <c r="CN33" s="35"/>
      <c r="CO33" s="35"/>
      <c r="CP33" s="35"/>
      <c r="CQ33" s="35"/>
      <c r="CR33" s="35"/>
      <c r="CS33" s="35"/>
      <c r="CT33" s="35"/>
      <c r="CU33" s="35"/>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c r="DV33" s="35"/>
      <c r="DW33" s="35"/>
      <c r="DX33" s="35"/>
      <c r="DY33" s="35"/>
      <c r="DZ33" s="35"/>
      <c r="EA33" s="35"/>
      <c r="EB33" s="35"/>
      <c r="EC33" s="35"/>
      <c r="ED33" s="35"/>
      <c r="EE33" s="35"/>
      <c r="EF33" s="35"/>
      <c r="EG33" s="35"/>
      <c r="EH33" s="35"/>
      <c r="EI33" s="35"/>
      <c r="EJ33" s="35"/>
      <c r="EK33" s="35"/>
      <c r="EL33" s="35"/>
      <c r="EM33" s="35"/>
      <c r="EN33" s="35"/>
      <c r="EO33" s="35"/>
      <c r="EP33" s="35"/>
      <c r="EQ33" s="35"/>
      <c r="ER33" s="35"/>
      <c r="ES33" s="35"/>
      <c r="ET33" s="35"/>
      <c r="EU33" s="35"/>
      <c r="EV33" s="35"/>
      <c r="EW33" s="35"/>
      <c r="EX33" s="35"/>
      <c r="EY33" s="35"/>
      <c r="EZ33" s="35"/>
      <c r="FA33" s="35"/>
      <c r="FB33" s="35"/>
      <c r="FC33" s="35"/>
      <c r="FD33" s="35"/>
      <c r="FE33" s="35"/>
      <c r="FF33" s="35"/>
      <c r="FG33" s="35"/>
      <c r="FH33" s="35"/>
      <c r="FI33" s="35"/>
      <c r="FJ33" s="35"/>
      <c r="FK33" s="35"/>
      <c r="FL33" s="35"/>
      <c r="FM33" s="35"/>
      <c r="FN33" s="35"/>
      <c r="FO33" s="35"/>
      <c r="FP33" s="35"/>
      <c r="FQ33" s="35"/>
      <c r="FR33" s="35"/>
      <c r="FS33" s="35"/>
      <c r="FT33" s="35"/>
      <c r="FU33" s="35"/>
      <c r="FV33" s="35"/>
      <c r="FW33" s="35"/>
      <c r="FX33" s="35"/>
      <c r="FY33" s="35"/>
      <c r="FZ33" s="35"/>
      <c r="GA33" s="35"/>
      <c r="GB33" s="35"/>
      <c r="GC33" s="35"/>
      <c r="GD33" s="35"/>
      <c r="GE33" s="35"/>
      <c r="GF33" s="35"/>
      <c r="GG33" s="35"/>
      <c r="GH33" s="35"/>
      <c r="GI33" s="35"/>
      <c r="GJ33" s="35"/>
      <c r="GK33" s="35"/>
      <c r="GL33" s="35"/>
      <c r="GM33" s="35"/>
      <c r="GN33" s="35"/>
      <c r="GO33" s="35"/>
      <c r="GP33" s="35"/>
      <c r="GQ33" s="35"/>
      <c r="GR33" s="35"/>
      <c r="GS33" s="35"/>
      <c r="GT33" s="35"/>
      <c r="GU33" s="35"/>
      <c r="GV33" s="35"/>
      <c r="GW33" s="35"/>
      <c r="GX33" s="35"/>
      <c r="GY33" s="35"/>
      <c r="GZ33" s="35"/>
      <c r="HA33" s="35"/>
      <c r="HB33" s="35"/>
      <c r="HC33" s="35"/>
      <c r="HD33" s="35"/>
      <c r="HE33" s="35"/>
      <c r="HF33" s="35"/>
      <c r="HG33" s="35"/>
      <c r="HH33" s="35"/>
      <c r="HI33" s="35"/>
      <c r="HJ33" s="35"/>
      <c r="HK33" s="35"/>
      <c r="HL33" s="35"/>
      <c r="HM33" s="35"/>
      <c r="HN33" s="35"/>
      <c r="HO33" s="35"/>
      <c r="HP33" s="35"/>
      <c r="HQ33" s="35"/>
      <c r="HR33" s="35"/>
      <c r="HS33" s="35"/>
      <c r="HT33" s="35"/>
      <c r="HU33" s="35"/>
      <c r="HV33" s="35"/>
      <c r="HW33" s="35"/>
      <c r="HX33" s="35"/>
      <c r="HY33" s="35"/>
      <c r="HZ33" s="35"/>
      <c r="IA33" s="35"/>
      <c r="IB33" s="35"/>
      <c r="IC33" s="35"/>
      <c r="ID33" s="35"/>
      <c r="IE33" s="35"/>
      <c r="IF33" s="35"/>
      <c r="IG33" s="35"/>
      <c r="IH33" s="35"/>
      <c r="II33" s="35"/>
      <c r="IJ33" s="35"/>
      <c r="IK33" s="35"/>
      <c r="IL33" s="35"/>
      <c r="IM33" s="35"/>
      <c r="IN33" s="35"/>
      <c r="IO33" s="35"/>
      <c r="IP33" s="35"/>
      <c r="IQ33" s="35"/>
      <c r="IR33" s="35"/>
      <c r="IS33" s="35"/>
      <c r="IT33" s="35"/>
      <c r="IU33" s="35"/>
      <c r="IV33" s="35"/>
      <c r="IW33" s="35"/>
      <c r="IX33" s="35"/>
      <c r="IY33" s="35"/>
      <c r="IZ33" s="35"/>
      <c r="JA33" s="35"/>
      <c r="JB33" s="35"/>
      <c r="JC33" s="35"/>
      <c r="JD33" s="35"/>
      <c r="JE33" s="35"/>
      <c r="JF33" s="35"/>
      <c r="JG33" s="35"/>
      <c r="JH33" s="35"/>
      <c r="JI33" s="35"/>
      <c r="JJ33" s="35"/>
      <c r="JK33" s="35"/>
      <c r="JL33" s="35"/>
      <c r="JM33" s="35"/>
      <c r="JN33" s="35"/>
      <c r="JO33" s="35"/>
      <c r="JP33" s="35"/>
      <c r="JQ33" s="35"/>
      <c r="JR33" s="35"/>
      <c r="JS33" s="35"/>
      <c r="JT33" s="35"/>
      <c r="JU33" s="35"/>
      <c r="JV33" s="35"/>
      <c r="JW33" s="35"/>
      <c r="JX33" s="35"/>
      <c r="JY33" s="35"/>
      <c r="JZ33" s="35"/>
      <c r="KA33" s="35"/>
      <c r="KB33" s="35"/>
      <c r="KC33" s="35"/>
      <c r="KD33" s="35"/>
      <c r="KE33" s="35"/>
      <c r="KF33" s="35"/>
      <c r="KG33" s="35"/>
      <c r="KH33" s="35"/>
      <c r="KI33" s="35"/>
      <c r="KJ33" s="35"/>
      <c r="KK33" s="35"/>
      <c r="KL33" s="35"/>
      <c r="KM33" s="35"/>
      <c r="KN33" s="35"/>
      <c r="KO33" s="35"/>
      <c r="KP33" s="35"/>
      <c r="KQ33" s="35"/>
      <c r="KR33" s="35"/>
      <c r="KS33" s="35"/>
      <c r="KT33" s="35"/>
      <c r="KU33" s="35"/>
      <c r="KV33" s="35"/>
      <c r="KW33" s="35"/>
      <c r="KX33" s="35"/>
      <c r="KY33" s="35"/>
      <c r="KZ33" s="35"/>
      <c r="LA33" s="35"/>
      <c r="LB33" s="35"/>
      <c r="LC33" s="35"/>
      <c r="LD33" s="35"/>
      <c r="LE33" s="35"/>
      <c r="LF33" s="35"/>
      <c r="LG33" s="35"/>
      <c r="LH33" s="35"/>
      <c r="LI33" s="35"/>
      <c r="LJ33" s="35"/>
      <c r="LK33" s="35"/>
      <c r="LL33" s="35"/>
      <c r="LM33" s="35"/>
      <c r="LN33" s="35"/>
      <c r="LO33" s="35"/>
      <c r="LP33" s="35"/>
      <c r="LQ33" s="35"/>
      <c r="LR33" s="35"/>
      <c r="LS33" s="35"/>
      <c r="LT33" s="35"/>
      <c r="LU33" s="35"/>
      <c r="LV33" s="35"/>
      <c r="LW33" s="35"/>
      <c r="LX33" s="35"/>
      <c r="LY33" s="35"/>
      <c r="LZ33" s="35"/>
      <c r="MA33" s="35"/>
      <c r="MB33" s="35"/>
      <c r="MC33" s="35"/>
      <c r="MD33" s="35"/>
      <c r="ME33" s="35"/>
      <c r="MF33" s="35"/>
      <c r="MG33" s="35"/>
    </row>
    <row r="34" spans="2:345" s="67" customFormat="1" ht="36" hidden="1" customHeight="1" x14ac:dyDescent="0.25">
      <c r="B34" s="28">
        <v>4153</v>
      </c>
      <c r="C34" s="24" t="s">
        <v>14</v>
      </c>
      <c r="D34" s="19" t="s">
        <v>4360</v>
      </c>
      <c r="E34" s="18">
        <v>42388</v>
      </c>
      <c r="F34" s="27">
        <f t="shared" ca="1" si="0"/>
        <v>2085</v>
      </c>
      <c r="G34" s="69" t="s">
        <v>4354</v>
      </c>
      <c r="H34" s="68"/>
      <c r="I34" s="25"/>
      <c r="J34" s="25">
        <v>42390</v>
      </c>
      <c r="K34" s="68" t="s">
        <v>2532</v>
      </c>
      <c r="L34" s="68">
        <v>42389</v>
      </c>
      <c r="M34" s="68"/>
      <c r="N34" s="22" t="s">
        <v>4357</v>
      </c>
      <c r="O34" s="26"/>
      <c r="P34" s="35"/>
      <c r="Q34" s="35"/>
      <c r="R34" s="20"/>
      <c r="S34" s="35"/>
      <c r="T34" s="35"/>
      <c r="U34" s="35"/>
      <c r="V34" s="35"/>
      <c r="W34" s="35"/>
      <c r="X34" s="35"/>
      <c r="Y34" s="35"/>
      <c r="Z34" s="35"/>
      <c r="AA34" s="35"/>
      <c r="AB34" s="35"/>
      <c r="AC34" s="35"/>
      <c r="AD34" s="35"/>
      <c r="AE34" s="35"/>
      <c r="AF34" s="35"/>
      <c r="AG34" s="35"/>
      <c r="AH34" s="35"/>
      <c r="AI34" s="35"/>
      <c r="AJ34" s="35"/>
      <c r="AK34" s="35"/>
      <c r="AL34" s="35"/>
      <c r="AM34" s="35"/>
      <c r="AN34" s="35"/>
      <c r="AO34" s="35"/>
      <c r="AP34" s="35"/>
      <c r="AQ34" s="35"/>
      <c r="AR34" s="35"/>
      <c r="AS34" s="35"/>
      <c r="AT34" s="35"/>
      <c r="AU34" s="35"/>
      <c r="AV34" s="35"/>
      <c r="AW34" s="35"/>
      <c r="AX34" s="35"/>
      <c r="AY34" s="35"/>
      <c r="AZ34" s="35"/>
      <c r="BA34" s="35"/>
      <c r="BB34" s="35"/>
      <c r="BC34" s="35"/>
      <c r="BD34" s="35"/>
      <c r="BE34" s="35"/>
      <c r="BF34" s="35"/>
      <c r="BG34" s="35"/>
      <c r="BH34" s="35"/>
      <c r="BI34" s="35"/>
      <c r="BJ34" s="35"/>
      <c r="BK34" s="35"/>
      <c r="BL34" s="35"/>
      <c r="BM34" s="35"/>
      <c r="BN34" s="35"/>
      <c r="BO34" s="35"/>
      <c r="BP34" s="35"/>
      <c r="BQ34" s="35"/>
      <c r="BR34" s="35"/>
      <c r="BS34" s="35"/>
      <c r="BT34" s="35"/>
      <c r="BU34" s="35"/>
      <c r="BV34" s="35"/>
      <c r="BW34" s="35"/>
      <c r="BX34" s="35"/>
      <c r="BY34" s="35"/>
      <c r="BZ34" s="35"/>
      <c r="CA34" s="35"/>
      <c r="CB34" s="35"/>
      <c r="CC34" s="35"/>
      <c r="CD34" s="35"/>
      <c r="CE34" s="35"/>
      <c r="CF34" s="35"/>
      <c r="CG34" s="35"/>
      <c r="CH34" s="35"/>
      <c r="CI34" s="35"/>
      <c r="CJ34" s="35"/>
      <c r="CK34" s="35"/>
      <c r="CL34" s="35"/>
      <c r="CM34" s="35"/>
      <c r="CN34" s="35"/>
      <c r="CO34" s="35"/>
      <c r="CP34" s="35"/>
      <c r="CQ34" s="35"/>
      <c r="CR34" s="35"/>
      <c r="CS34" s="35"/>
      <c r="CT34" s="35"/>
      <c r="CU34" s="35"/>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c r="DV34" s="35"/>
      <c r="DW34" s="35"/>
      <c r="DX34" s="35"/>
      <c r="DY34" s="35"/>
      <c r="DZ34" s="35"/>
      <c r="EA34" s="35"/>
      <c r="EB34" s="35"/>
      <c r="EC34" s="35"/>
      <c r="ED34" s="35"/>
      <c r="EE34" s="35"/>
      <c r="EF34" s="35"/>
      <c r="EG34" s="35"/>
      <c r="EH34" s="35"/>
      <c r="EI34" s="35"/>
      <c r="EJ34" s="35"/>
      <c r="EK34" s="35"/>
      <c r="EL34" s="35"/>
      <c r="EM34" s="35"/>
      <c r="EN34" s="35"/>
      <c r="EO34" s="35"/>
      <c r="EP34" s="35"/>
      <c r="EQ34" s="35"/>
      <c r="ER34" s="35"/>
      <c r="ES34" s="35"/>
      <c r="ET34" s="35"/>
      <c r="EU34" s="35"/>
      <c r="EV34" s="35"/>
      <c r="EW34" s="35"/>
      <c r="EX34" s="35"/>
      <c r="EY34" s="35"/>
      <c r="EZ34" s="35"/>
      <c r="FA34" s="35"/>
      <c r="FB34" s="35"/>
      <c r="FC34" s="35"/>
      <c r="FD34" s="35"/>
      <c r="FE34" s="35"/>
      <c r="FF34" s="35"/>
      <c r="FG34" s="35"/>
      <c r="FH34" s="35"/>
      <c r="FI34" s="35"/>
      <c r="FJ34" s="35"/>
      <c r="FK34" s="35"/>
      <c r="FL34" s="35"/>
      <c r="FM34" s="35"/>
      <c r="FN34" s="35"/>
      <c r="FO34" s="35"/>
      <c r="FP34" s="35"/>
      <c r="FQ34" s="35"/>
      <c r="FR34" s="35"/>
      <c r="FS34" s="35"/>
      <c r="FT34" s="35"/>
      <c r="FU34" s="35"/>
      <c r="FV34" s="35"/>
      <c r="FW34" s="35"/>
      <c r="FX34" s="35"/>
      <c r="FY34" s="35"/>
      <c r="FZ34" s="35"/>
      <c r="GA34" s="35"/>
      <c r="GB34" s="35"/>
      <c r="GC34" s="35"/>
      <c r="GD34" s="35"/>
      <c r="GE34" s="35"/>
      <c r="GF34" s="35"/>
      <c r="GG34" s="35"/>
      <c r="GH34" s="35"/>
      <c r="GI34" s="35"/>
      <c r="GJ34" s="35"/>
      <c r="GK34" s="35"/>
      <c r="GL34" s="35"/>
      <c r="GM34" s="35"/>
      <c r="GN34" s="35"/>
      <c r="GO34" s="35"/>
      <c r="GP34" s="35"/>
      <c r="GQ34" s="35"/>
      <c r="GR34" s="35"/>
      <c r="GS34" s="35"/>
      <c r="GT34" s="35"/>
      <c r="GU34" s="35"/>
      <c r="GV34" s="35"/>
      <c r="GW34" s="35"/>
      <c r="GX34" s="35"/>
      <c r="GY34" s="35"/>
      <c r="GZ34" s="35"/>
      <c r="HA34" s="35"/>
      <c r="HB34" s="35"/>
      <c r="HC34" s="35"/>
      <c r="HD34" s="35"/>
      <c r="HE34" s="35"/>
      <c r="HF34" s="35"/>
      <c r="HG34" s="35"/>
      <c r="HH34" s="35"/>
      <c r="HI34" s="35"/>
      <c r="HJ34" s="35"/>
      <c r="HK34" s="35"/>
      <c r="HL34" s="35"/>
      <c r="HM34" s="35"/>
      <c r="HN34" s="35"/>
      <c r="HO34" s="35"/>
      <c r="HP34" s="35"/>
      <c r="HQ34" s="35"/>
      <c r="HR34" s="35"/>
      <c r="HS34" s="35"/>
      <c r="HT34" s="35"/>
      <c r="HU34" s="35"/>
      <c r="HV34" s="35"/>
      <c r="HW34" s="35"/>
      <c r="HX34" s="35"/>
      <c r="HY34" s="35"/>
      <c r="HZ34" s="35"/>
      <c r="IA34" s="35"/>
      <c r="IB34" s="35"/>
      <c r="IC34" s="35"/>
      <c r="ID34" s="35"/>
      <c r="IE34" s="35"/>
      <c r="IF34" s="35"/>
      <c r="IG34" s="35"/>
      <c r="IH34" s="35"/>
      <c r="II34" s="35"/>
      <c r="IJ34" s="35"/>
      <c r="IK34" s="35"/>
      <c r="IL34" s="35"/>
      <c r="IM34" s="35"/>
      <c r="IN34" s="35"/>
      <c r="IO34" s="35"/>
      <c r="IP34" s="35"/>
      <c r="IQ34" s="35"/>
      <c r="IR34" s="35"/>
      <c r="IS34" s="35"/>
      <c r="IT34" s="35"/>
      <c r="IU34" s="35"/>
      <c r="IV34" s="35"/>
      <c r="IW34" s="35"/>
      <c r="IX34" s="35"/>
      <c r="IY34" s="35"/>
      <c r="IZ34" s="35"/>
      <c r="JA34" s="35"/>
      <c r="JB34" s="35"/>
      <c r="JC34" s="35"/>
      <c r="JD34" s="35"/>
      <c r="JE34" s="35"/>
      <c r="JF34" s="35"/>
      <c r="JG34" s="35"/>
      <c r="JH34" s="35"/>
      <c r="JI34" s="35"/>
      <c r="JJ34" s="35"/>
      <c r="JK34" s="35"/>
      <c r="JL34" s="35"/>
      <c r="JM34" s="35"/>
      <c r="JN34" s="35"/>
      <c r="JO34" s="35"/>
      <c r="JP34" s="35"/>
      <c r="JQ34" s="35"/>
      <c r="JR34" s="35"/>
      <c r="JS34" s="35"/>
      <c r="JT34" s="35"/>
      <c r="JU34" s="35"/>
      <c r="JV34" s="35"/>
      <c r="JW34" s="35"/>
      <c r="JX34" s="35"/>
      <c r="JY34" s="35"/>
      <c r="JZ34" s="35"/>
      <c r="KA34" s="35"/>
      <c r="KB34" s="35"/>
      <c r="KC34" s="35"/>
      <c r="KD34" s="35"/>
      <c r="KE34" s="35"/>
      <c r="KF34" s="35"/>
      <c r="KG34" s="35"/>
      <c r="KH34" s="35"/>
      <c r="KI34" s="35"/>
      <c r="KJ34" s="35"/>
      <c r="KK34" s="35"/>
      <c r="KL34" s="35"/>
      <c r="KM34" s="35"/>
      <c r="KN34" s="35"/>
      <c r="KO34" s="35"/>
      <c r="KP34" s="35"/>
      <c r="KQ34" s="35"/>
      <c r="KR34" s="35"/>
      <c r="KS34" s="35"/>
      <c r="KT34" s="35"/>
      <c r="KU34" s="35"/>
      <c r="KV34" s="35"/>
      <c r="KW34" s="35"/>
      <c r="KX34" s="35"/>
      <c r="KY34" s="35"/>
      <c r="KZ34" s="35"/>
      <c r="LA34" s="35"/>
      <c r="LB34" s="35"/>
      <c r="LC34" s="35"/>
      <c r="LD34" s="35"/>
      <c r="LE34" s="35"/>
      <c r="LF34" s="35"/>
      <c r="LG34" s="35"/>
      <c r="LH34" s="35"/>
      <c r="LI34" s="35"/>
      <c r="LJ34" s="35"/>
      <c r="LK34" s="35"/>
      <c r="LL34" s="35"/>
      <c r="LM34" s="35"/>
      <c r="LN34" s="35"/>
      <c r="LO34" s="35"/>
      <c r="LP34" s="35"/>
      <c r="LQ34" s="35"/>
      <c r="LR34" s="35"/>
      <c r="LS34" s="35"/>
      <c r="LT34" s="35"/>
      <c r="LU34" s="35"/>
      <c r="LV34" s="35"/>
      <c r="LW34" s="35"/>
      <c r="LX34" s="35"/>
      <c r="LY34" s="35"/>
      <c r="LZ34" s="35"/>
      <c r="MA34" s="35"/>
      <c r="MB34" s="35"/>
      <c r="MC34" s="35"/>
      <c r="MD34" s="35"/>
      <c r="ME34" s="35"/>
      <c r="MF34" s="35"/>
      <c r="MG34" s="35"/>
    </row>
    <row r="35" spans="2:345" s="67" customFormat="1" ht="36" hidden="1" customHeight="1" x14ac:dyDescent="0.25">
      <c r="B35" s="28" t="s">
        <v>4392</v>
      </c>
      <c r="C35" s="24" t="s">
        <v>40</v>
      </c>
      <c r="D35" s="19" t="s">
        <v>4394</v>
      </c>
      <c r="E35" s="18">
        <v>42389</v>
      </c>
      <c r="F35" s="27">
        <f t="shared" ca="1" si="0"/>
        <v>2084</v>
      </c>
      <c r="G35" s="69" t="s">
        <v>4298</v>
      </c>
      <c r="H35" s="68"/>
      <c r="I35" s="25"/>
      <c r="J35" s="25"/>
      <c r="K35" s="68"/>
      <c r="L35" s="68">
        <v>42395</v>
      </c>
      <c r="M35" s="68"/>
      <c r="N35" s="22" t="s">
        <v>4395</v>
      </c>
      <c r="O35" s="26"/>
      <c r="P35" s="35"/>
      <c r="Q35" s="35"/>
      <c r="R35" s="20"/>
      <c r="S35" s="35"/>
      <c r="T35" s="35"/>
      <c r="U35" s="35"/>
      <c r="V35" s="35"/>
      <c r="W35" s="35"/>
      <c r="X35" s="35"/>
      <c r="Y35" s="35"/>
      <c r="Z35" s="35"/>
      <c r="AA35" s="35"/>
      <c r="AB35" s="35"/>
      <c r="AC35" s="35"/>
      <c r="AD35" s="35"/>
      <c r="AE35" s="35"/>
      <c r="AF35" s="35"/>
      <c r="AG35" s="35"/>
      <c r="AH35" s="35"/>
      <c r="AI35" s="35"/>
      <c r="AJ35" s="35"/>
      <c r="AK35" s="35"/>
      <c r="AL35" s="35"/>
      <c r="AM35" s="35"/>
      <c r="AN35" s="35"/>
      <c r="AO35" s="35"/>
      <c r="AP35" s="35"/>
      <c r="AQ35" s="35"/>
      <c r="AR35" s="35"/>
      <c r="AS35" s="35"/>
      <c r="AT35" s="35"/>
      <c r="AU35" s="35"/>
      <c r="AV35" s="35"/>
      <c r="AW35" s="35"/>
      <c r="AX35" s="35"/>
      <c r="AY35" s="35"/>
      <c r="AZ35" s="35"/>
      <c r="BA35" s="35"/>
      <c r="BB35" s="35"/>
      <c r="BC35" s="35"/>
      <c r="BD35" s="35"/>
      <c r="BE35" s="35"/>
      <c r="BF35" s="35"/>
      <c r="BG35" s="35"/>
      <c r="BH35" s="35"/>
      <c r="BI35" s="35"/>
      <c r="BJ35" s="35"/>
      <c r="BK35" s="35"/>
      <c r="BL35" s="35"/>
      <c r="BM35" s="35"/>
      <c r="BN35" s="35"/>
      <c r="BO35" s="35"/>
      <c r="BP35" s="35"/>
      <c r="BQ35" s="35"/>
      <c r="BR35" s="35"/>
      <c r="BS35" s="35"/>
      <c r="BT35" s="35"/>
      <c r="BU35" s="35"/>
      <c r="BV35" s="35"/>
      <c r="BW35" s="35"/>
      <c r="BX35" s="35"/>
      <c r="BY35" s="35"/>
      <c r="BZ35" s="35"/>
      <c r="CA35" s="35"/>
      <c r="CB35" s="35"/>
      <c r="CC35" s="35"/>
      <c r="CD35" s="35"/>
      <c r="CE35" s="35"/>
      <c r="CF35" s="35"/>
      <c r="CG35" s="35"/>
      <c r="CH35" s="35"/>
      <c r="CI35" s="35"/>
      <c r="CJ35" s="35"/>
      <c r="CK35" s="35"/>
      <c r="CL35" s="35"/>
      <c r="CM35" s="35"/>
      <c r="CN35" s="35"/>
      <c r="CO35" s="35"/>
      <c r="CP35" s="35"/>
      <c r="CQ35" s="35"/>
      <c r="CR35" s="35"/>
      <c r="CS35" s="35"/>
      <c r="CT35" s="35"/>
      <c r="CU35" s="35"/>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c r="DV35" s="35"/>
      <c r="DW35" s="35"/>
      <c r="DX35" s="35"/>
      <c r="DY35" s="35"/>
      <c r="DZ35" s="35"/>
      <c r="EA35" s="35"/>
      <c r="EB35" s="35"/>
      <c r="EC35" s="35"/>
      <c r="ED35" s="35"/>
      <c r="EE35" s="35"/>
      <c r="EF35" s="35"/>
      <c r="EG35" s="35"/>
      <c r="EH35" s="35"/>
      <c r="EI35" s="35"/>
      <c r="EJ35" s="35"/>
      <c r="EK35" s="35"/>
      <c r="EL35" s="35"/>
      <c r="EM35" s="35"/>
      <c r="EN35" s="35"/>
      <c r="EO35" s="35"/>
      <c r="EP35" s="35"/>
      <c r="EQ35" s="35"/>
      <c r="ER35" s="35"/>
      <c r="ES35" s="35"/>
      <c r="ET35" s="35"/>
      <c r="EU35" s="35"/>
      <c r="EV35" s="35"/>
      <c r="EW35" s="35"/>
      <c r="EX35" s="35"/>
      <c r="EY35" s="35"/>
      <c r="EZ35" s="35"/>
      <c r="FA35" s="35"/>
      <c r="FB35" s="35"/>
      <c r="FC35" s="35"/>
      <c r="FD35" s="35"/>
      <c r="FE35" s="35"/>
      <c r="FF35" s="35"/>
      <c r="FG35" s="35"/>
      <c r="FH35" s="35"/>
      <c r="FI35" s="35"/>
      <c r="FJ35" s="35"/>
      <c r="FK35" s="35"/>
      <c r="FL35" s="35"/>
      <c r="FM35" s="35"/>
      <c r="FN35" s="35"/>
      <c r="FO35" s="35"/>
      <c r="FP35" s="35"/>
      <c r="FQ35" s="35"/>
      <c r="FR35" s="35"/>
      <c r="FS35" s="35"/>
      <c r="FT35" s="35"/>
      <c r="FU35" s="35"/>
      <c r="FV35" s="35"/>
      <c r="FW35" s="35"/>
      <c r="FX35" s="35"/>
      <c r="FY35" s="35"/>
      <c r="FZ35" s="35"/>
      <c r="GA35" s="35"/>
      <c r="GB35" s="35"/>
      <c r="GC35" s="35"/>
      <c r="GD35" s="35"/>
      <c r="GE35" s="35"/>
      <c r="GF35" s="35"/>
      <c r="GG35" s="35"/>
      <c r="GH35" s="35"/>
      <c r="GI35" s="35"/>
      <c r="GJ35" s="35"/>
      <c r="GK35" s="35"/>
      <c r="GL35" s="35"/>
      <c r="GM35" s="35"/>
      <c r="GN35" s="35"/>
      <c r="GO35" s="35"/>
      <c r="GP35" s="35"/>
      <c r="GQ35" s="35"/>
      <c r="GR35" s="35"/>
      <c r="GS35" s="35"/>
      <c r="GT35" s="35"/>
      <c r="GU35" s="35"/>
      <c r="GV35" s="35"/>
      <c r="GW35" s="35"/>
      <c r="GX35" s="35"/>
      <c r="GY35" s="35"/>
      <c r="GZ35" s="35"/>
      <c r="HA35" s="35"/>
      <c r="HB35" s="35"/>
      <c r="HC35" s="35"/>
      <c r="HD35" s="35"/>
      <c r="HE35" s="35"/>
      <c r="HF35" s="35"/>
      <c r="HG35" s="35"/>
      <c r="HH35" s="35"/>
      <c r="HI35" s="35"/>
      <c r="HJ35" s="35"/>
      <c r="HK35" s="35"/>
      <c r="HL35" s="35"/>
      <c r="HM35" s="35"/>
      <c r="HN35" s="35"/>
      <c r="HO35" s="35"/>
      <c r="HP35" s="35"/>
      <c r="HQ35" s="35"/>
      <c r="HR35" s="35"/>
      <c r="HS35" s="35"/>
      <c r="HT35" s="35"/>
      <c r="HU35" s="35"/>
      <c r="HV35" s="35"/>
      <c r="HW35" s="35"/>
      <c r="HX35" s="35"/>
      <c r="HY35" s="35"/>
      <c r="HZ35" s="35"/>
      <c r="IA35" s="35"/>
      <c r="IB35" s="35"/>
      <c r="IC35" s="35"/>
      <c r="ID35" s="35"/>
      <c r="IE35" s="35"/>
      <c r="IF35" s="35"/>
      <c r="IG35" s="35"/>
      <c r="IH35" s="35"/>
      <c r="II35" s="35"/>
      <c r="IJ35" s="35"/>
      <c r="IK35" s="35"/>
      <c r="IL35" s="35"/>
      <c r="IM35" s="35"/>
      <c r="IN35" s="35"/>
      <c r="IO35" s="35"/>
      <c r="IP35" s="35"/>
      <c r="IQ35" s="35"/>
      <c r="IR35" s="35"/>
      <c r="IS35" s="35"/>
      <c r="IT35" s="35"/>
      <c r="IU35" s="35"/>
      <c r="IV35" s="35"/>
      <c r="IW35" s="35"/>
      <c r="IX35" s="35"/>
      <c r="IY35" s="35"/>
      <c r="IZ35" s="35"/>
      <c r="JA35" s="35"/>
      <c r="JB35" s="35"/>
      <c r="JC35" s="35"/>
      <c r="JD35" s="35"/>
      <c r="JE35" s="35"/>
      <c r="JF35" s="35"/>
      <c r="JG35" s="35"/>
      <c r="JH35" s="35"/>
      <c r="JI35" s="35"/>
      <c r="JJ35" s="35"/>
      <c r="JK35" s="35"/>
      <c r="JL35" s="35"/>
      <c r="JM35" s="35"/>
      <c r="JN35" s="35"/>
      <c r="JO35" s="35"/>
      <c r="JP35" s="35"/>
      <c r="JQ35" s="35"/>
      <c r="JR35" s="35"/>
      <c r="JS35" s="35"/>
      <c r="JT35" s="35"/>
      <c r="JU35" s="35"/>
      <c r="JV35" s="35"/>
      <c r="JW35" s="35"/>
      <c r="JX35" s="35"/>
      <c r="JY35" s="35"/>
      <c r="JZ35" s="35"/>
      <c r="KA35" s="35"/>
      <c r="KB35" s="35"/>
      <c r="KC35" s="35"/>
      <c r="KD35" s="35"/>
      <c r="KE35" s="35"/>
      <c r="KF35" s="35"/>
      <c r="KG35" s="35"/>
      <c r="KH35" s="35"/>
      <c r="KI35" s="35"/>
      <c r="KJ35" s="35"/>
      <c r="KK35" s="35"/>
      <c r="KL35" s="35"/>
      <c r="KM35" s="35"/>
      <c r="KN35" s="35"/>
      <c r="KO35" s="35"/>
      <c r="KP35" s="35"/>
      <c r="KQ35" s="35"/>
      <c r="KR35" s="35"/>
      <c r="KS35" s="35"/>
      <c r="KT35" s="35"/>
      <c r="KU35" s="35"/>
      <c r="KV35" s="35"/>
      <c r="KW35" s="35"/>
      <c r="KX35" s="35"/>
      <c r="KY35" s="35"/>
      <c r="KZ35" s="35"/>
      <c r="LA35" s="35"/>
      <c r="LB35" s="35"/>
      <c r="LC35" s="35"/>
      <c r="LD35" s="35"/>
      <c r="LE35" s="35"/>
      <c r="LF35" s="35"/>
      <c r="LG35" s="35"/>
      <c r="LH35" s="35"/>
      <c r="LI35" s="35"/>
      <c r="LJ35" s="35"/>
      <c r="LK35" s="35"/>
      <c r="LL35" s="35"/>
      <c r="LM35" s="35"/>
      <c r="LN35" s="35"/>
      <c r="LO35" s="35"/>
      <c r="LP35" s="35"/>
      <c r="LQ35" s="35"/>
      <c r="LR35" s="35"/>
      <c r="LS35" s="35"/>
      <c r="LT35" s="35"/>
      <c r="LU35" s="35"/>
      <c r="LV35" s="35"/>
      <c r="LW35" s="35"/>
      <c r="LX35" s="35"/>
      <c r="LY35" s="35"/>
      <c r="LZ35" s="35"/>
      <c r="MA35" s="35"/>
      <c r="MB35" s="35"/>
      <c r="MC35" s="35"/>
      <c r="MD35" s="35"/>
      <c r="ME35" s="35"/>
      <c r="MF35" s="35"/>
      <c r="MG35" s="35"/>
    </row>
    <row r="36" spans="2:345" s="67" customFormat="1" ht="36" hidden="1" customHeight="1" x14ac:dyDescent="0.25">
      <c r="B36" s="28" t="s">
        <v>4404</v>
      </c>
      <c r="C36" s="24" t="s">
        <v>40</v>
      </c>
      <c r="D36" s="19" t="s">
        <v>4405</v>
      </c>
      <c r="E36" s="18">
        <v>42389</v>
      </c>
      <c r="F36" s="27">
        <f t="shared" ca="1" si="0"/>
        <v>2084</v>
      </c>
      <c r="G36" s="69"/>
      <c r="H36" s="68"/>
      <c r="I36" s="25"/>
      <c r="J36" s="25"/>
      <c r="K36" s="68"/>
      <c r="L36" s="68">
        <v>42389</v>
      </c>
      <c r="M36" s="68"/>
      <c r="N36" s="22"/>
      <c r="O36" s="26"/>
      <c r="P36" s="35"/>
      <c r="Q36" s="35"/>
      <c r="R36" s="20"/>
      <c r="S36" s="35"/>
      <c r="T36" s="35"/>
      <c r="U36" s="35"/>
      <c r="V36" s="35"/>
      <c r="W36" s="35"/>
      <c r="X36" s="35"/>
      <c r="Y36" s="35"/>
      <c r="Z36" s="35"/>
      <c r="AA36" s="35"/>
      <c r="AB36" s="35"/>
      <c r="AC36" s="35"/>
      <c r="AD36" s="35"/>
      <c r="AE36" s="35"/>
      <c r="AF36" s="35"/>
      <c r="AG36" s="35"/>
      <c r="AH36" s="35"/>
      <c r="AI36" s="35"/>
      <c r="AJ36" s="35"/>
      <c r="AK36" s="35"/>
      <c r="AL36" s="35"/>
      <c r="AM36" s="35"/>
      <c r="AN36" s="35"/>
      <c r="AO36" s="35"/>
      <c r="AP36" s="35"/>
      <c r="AQ36" s="35"/>
      <c r="AR36" s="35"/>
      <c r="AS36" s="35"/>
      <c r="AT36" s="35"/>
      <c r="AU36" s="35"/>
      <c r="AV36" s="35"/>
      <c r="AW36" s="35"/>
      <c r="AX36" s="35"/>
      <c r="AY36" s="35"/>
      <c r="AZ36" s="35"/>
      <c r="BA36" s="35"/>
      <c r="BB36" s="35"/>
      <c r="BC36" s="35"/>
      <c r="BD36" s="35"/>
      <c r="BE36" s="35"/>
      <c r="BF36" s="35"/>
      <c r="BG36" s="35"/>
      <c r="BH36" s="35"/>
      <c r="BI36" s="35"/>
      <c r="BJ36" s="35"/>
      <c r="BK36" s="35"/>
      <c r="BL36" s="35"/>
      <c r="BM36" s="35"/>
      <c r="BN36" s="35"/>
      <c r="BO36" s="35"/>
      <c r="BP36" s="35"/>
      <c r="BQ36" s="35"/>
      <c r="BR36" s="35"/>
      <c r="BS36" s="35"/>
      <c r="BT36" s="35"/>
      <c r="BU36" s="35"/>
      <c r="BV36" s="35"/>
      <c r="BW36" s="35"/>
      <c r="BX36" s="35"/>
      <c r="BY36" s="35"/>
      <c r="BZ36" s="35"/>
      <c r="CA36" s="35"/>
      <c r="CB36" s="35"/>
      <c r="CC36" s="35"/>
      <c r="CD36" s="35"/>
      <c r="CE36" s="35"/>
      <c r="CF36" s="35"/>
      <c r="CG36" s="35"/>
      <c r="CH36" s="35"/>
      <c r="CI36" s="35"/>
      <c r="CJ36" s="35"/>
      <c r="CK36" s="35"/>
      <c r="CL36" s="35"/>
      <c r="CM36" s="35"/>
      <c r="CN36" s="35"/>
      <c r="CO36" s="35"/>
      <c r="CP36" s="35"/>
      <c r="CQ36" s="35"/>
      <c r="CR36" s="35"/>
      <c r="CS36" s="35"/>
      <c r="CT36" s="35"/>
      <c r="CU36" s="35"/>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c r="DV36" s="35"/>
      <c r="DW36" s="35"/>
      <c r="DX36" s="35"/>
      <c r="DY36" s="35"/>
      <c r="DZ36" s="35"/>
      <c r="EA36" s="35"/>
      <c r="EB36" s="35"/>
      <c r="EC36" s="35"/>
      <c r="ED36" s="35"/>
      <c r="EE36" s="35"/>
      <c r="EF36" s="35"/>
      <c r="EG36" s="35"/>
      <c r="EH36" s="35"/>
      <c r="EI36" s="35"/>
      <c r="EJ36" s="35"/>
      <c r="EK36" s="35"/>
      <c r="EL36" s="35"/>
      <c r="EM36" s="35"/>
      <c r="EN36" s="35"/>
      <c r="EO36" s="35"/>
      <c r="EP36" s="35"/>
      <c r="EQ36" s="35"/>
      <c r="ER36" s="35"/>
      <c r="ES36" s="35"/>
      <c r="ET36" s="35"/>
      <c r="EU36" s="35"/>
      <c r="EV36" s="35"/>
      <c r="EW36" s="35"/>
      <c r="EX36" s="35"/>
      <c r="EY36" s="35"/>
      <c r="EZ36" s="35"/>
      <c r="FA36" s="35"/>
      <c r="FB36" s="35"/>
      <c r="FC36" s="35"/>
      <c r="FD36" s="35"/>
      <c r="FE36" s="35"/>
      <c r="FF36" s="35"/>
      <c r="FG36" s="35"/>
      <c r="FH36" s="35"/>
      <c r="FI36" s="35"/>
      <c r="FJ36" s="35"/>
      <c r="FK36" s="35"/>
      <c r="FL36" s="35"/>
      <c r="FM36" s="35"/>
      <c r="FN36" s="35"/>
      <c r="FO36" s="35"/>
      <c r="FP36" s="35"/>
      <c r="FQ36" s="35"/>
      <c r="FR36" s="35"/>
      <c r="FS36" s="35"/>
      <c r="FT36" s="35"/>
      <c r="FU36" s="35"/>
      <c r="FV36" s="35"/>
      <c r="FW36" s="35"/>
      <c r="FX36" s="35"/>
      <c r="FY36" s="35"/>
      <c r="FZ36" s="35"/>
      <c r="GA36" s="35"/>
      <c r="GB36" s="35"/>
      <c r="GC36" s="35"/>
      <c r="GD36" s="35"/>
      <c r="GE36" s="35"/>
      <c r="GF36" s="35"/>
      <c r="GG36" s="35"/>
      <c r="GH36" s="35"/>
      <c r="GI36" s="35"/>
      <c r="GJ36" s="35"/>
      <c r="GK36" s="35"/>
      <c r="GL36" s="35"/>
      <c r="GM36" s="35"/>
      <c r="GN36" s="35"/>
      <c r="GO36" s="35"/>
      <c r="GP36" s="35"/>
      <c r="GQ36" s="35"/>
      <c r="GR36" s="35"/>
      <c r="GS36" s="35"/>
      <c r="GT36" s="35"/>
      <c r="GU36" s="35"/>
      <c r="GV36" s="35"/>
      <c r="GW36" s="35"/>
      <c r="GX36" s="35"/>
      <c r="GY36" s="35"/>
      <c r="GZ36" s="35"/>
      <c r="HA36" s="35"/>
      <c r="HB36" s="35"/>
      <c r="HC36" s="35"/>
      <c r="HD36" s="35"/>
      <c r="HE36" s="35"/>
      <c r="HF36" s="35"/>
      <c r="HG36" s="35"/>
      <c r="HH36" s="35"/>
      <c r="HI36" s="35"/>
      <c r="HJ36" s="35"/>
      <c r="HK36" s="35"/>
      <c r="HL36" s="35"/>
      <c r="HM36" s="35"/>
      <c r="HN36" s="35"/>
      <c r="HO36" s="35"/>
      <c r="HP36" s="35"/>
      <c r="HQ36" s="35"/>
      <c r="HR36" s="35"/>
      <c r="HS36" s="35"/>
      <c r="HT36" s="35"/>
      <c r="HU36" s="35"/>
      <c r="HV36" s="35"/>
      <c r="HW36" s="35"/>
      <c r="HX36" s="35"/>
      <c r="HY36" s="35"/>
      <c r="HZ36" s="35"/>
      <c r="IA36" s="35"/>
      <c r="IB36" s="35"/>
      <c r="IC36" s="35"/>
      <c r="ID36" s="35"/>
      <c r="IE36" s="35"/>
      <c r="IF36" s="35"/>
      <c r="IG36" s="35"/>
      <c r="IH36" s="35"/>
      <c r="II36" s="35"/>
      <c r="IJ36" s="35"/>
      <c r="IK36" s="35"/>
      <c r="IL36" s="35"/>
      <c r="IM36" s="35"/>
      <c r="IN36" s="35"/>
      <c r="IO36" s="35"/>
      <c r="IP36" s="35"/>
      <c r="IQ36" s="35"/>
      <c r="IR36" s="35"/>
      <c r="IS36" s="35"/>
      <c r="IT36" s="35"/>
      <c r="IU36" s="35"/>
      <c r="IV36" s="35"/>
      <c r="IW36" s="35"/>
      <c r="IX36" s="35"/>
      <c r="IY36" s="35"/>
      <c r="IZ36" s="35"/>
      <c r="JA36" s="35"/>
      <c r="JB36" s="35"/>
      <c r="JC36" s="35"/>
      <c r="JD36" s="35"/>
      <c r="JE36" s="35"/>
      <c r="JF36" s="35"/>
      <c r="JG36" s="35"/>
      <c r="JH36" s="35"/>
      <c r="JI36" s="35"/>
      <c r="JJ36" s="35"/>
      <c r="JK36" s="35"/>
      <c r="JL36" s="35"/>
      <c r="JM36" s="35"/>
      <c r="JN36" s="35"/>
      <c r="JO36" s="35"/>
      <c r="JP36" s="35"/>
      <c r="JQ36" s="35"/>
      <c r="JR36" s="35"/>
      <c r="JS36" s="35"/>
      <c r="JT36" s="35"/>
      <c r="JU36" s="35"/>
      <c r="JV36" s="35"/>
      <c r="JW36" s="35"/>
      <c r="JX36" s="35"/>
      <c r="JY36" s="35"/>
      <c r="JZ36" s="35"/>
      <c r="KA36" s="35"/>
      <c r="KB36" s="35"/>
      <c r="KC36" s="35"/>
      <c r="KD36" s="35"/>
      <c r="KE36" s="35"/>
      <c r="KF36" s="35"/>
      <c r="KG36" s="35"/>
      <c r="KH36" s="35"/>
      <c r="KI36" s="35"/>
      <c r="KJ36" s="35"/>
      <c r="KK36" s="35"/>
      <c r="KL36" s="35"/>
      <c r="KM36" s="35"/>
      <c r="KN36" s="35"/>
      <c r="KO36" s="35"/>
      <c r="KP36" s="35"/>
      <c r="KQ36" s="35"/>
      <c r="KR36" s="35"/>
      <c r="KS36" s="35"/>
      <c r="KT36" s="35"/>
      <c r="KU36" s="35"/>
      <c r="KV36" s="35"/>
      <c r="KW36" s="35"/>
      <c r="KX36" s="35"/>
      <c r="KY36" s="35"/>
      <c r="KZ36" s="35"/>
      <c r="LA36" s="35"/>
      <c r="LB36" s="35"/>
      <c r="LC36" s="35"/>
      <c r="LD36" s="35"/>
      <c r="LE36" s="35"/>
      <c r="LF36" s="35"/>
      <c r="LG36" s="35"/>
      <c r="LH36" s="35"/>
      <c r="LI36" s="35"/>
      <c r="LJ36" s="35"/>
      <c r="LK36" s="35"/>
      <c r="LL36" s="35"/>
      <c r="LM36" s="35"/>
      <c r="LN36" s="35"/>
      <c r="LO36" s="35"/>
      <c r="LP36" s="35"/>
      <c r="LQ36" s="35"/>
      <c r="LR36" s="35"/>
      <c r="LS36" s="35"/>
      <c r="LT36" s="35"/>
      <c r="LU36" s="35"/>
      <c r="LV36" s="35"/>
      <c r="LW36" s="35"/>
      <c r="LX36" s="35"/>
      <c r="LY36" s="35"/>
      <c r="LZ36" s="35"/>
      <c r="MA36" s="35"/>
      <c r="MB36" s="35"/>
      <c r="MC36" s="35"/>
      <c r="MD36" s="35"/>
      <c r="ME36" s="35"/>
      <c r="MF36" s="35"/>
      <c r="MG36" s="35"/>
    </row>
    <row r="37" spans="2:345" s="67" customFormat="1" ht="36" hidden="1" customHeight="1" x14ac:dyDescent="0.25">
      <c r="B37" s="28">
        <v>4153</v>
      </c>
      <c r="C37" s="24" t="s">
        <v>23</v>
      </c>
      <c r="D37" s="19" t="s">
        <v>3510</v>
      </c>
      <c r="E37" s="18">
        <v>42390</v>
      </c>
      <c r="F37" s="27">
        <f t="shared" ca="1" si="0"/>
        <v>2083</v>
      </c>
      <c r="G37" s="69" t="s">
        <v>4298</v>
      </c>
      <c r="H37" s="68"/>
      <c r="I37" s="25"/>
      <c r="J37" s="25"/>
      <c r="K37" s="68"/>
      <c r="L37" s="68">
        <v>42394</v>
      </c>
      <c r="M37" s="68"/>
      <c r="N37" s="22"/>
      <c r="O37" s="26"/>
      <c r="P37" s="35"/>
      <c r="Q37" s="35"/>
      <c r="R37" s="20"/>
      <c r="S37" s="35"/>
      <c r="T37" s="35"/>
      <c r="U37" s="35"/>
      <c r="V37" s="35"/>
      <c r="W37" s="35"/>
      <c r="X37" s="35"/>
      <c r="Y37" s="35"/>
      <c r="Z37" s="35"/>
      <c r="AA37" s="35"/>
      <c r="AB37" s="35"/>
      <c r="AC37" s="35"/>
      <c r="AD37" s="35"/>
      <c r="AE37" s="35"/>
      <c r="AF37" s="35"/>
      <c r="AG37" s="35"/>
      <c r="AH37" s="35"/>
      <c r="AI37" s="35"/>
      <c r="AJ37" s="35"/>
      <c r="AK37" s="35"/>
      <c r="AL37" s="35"/>
      <c r="AM37" s="35"/>
      <c r="AN37" s="35"/>
      <c r="AO37" s="35"/>
      <c r="AP37" s="35"/>
      <c r="AQ37" s="35"/>
      <c r="AR37" s="35"/>
      <c r="AS37" s="35"/>
      <c r="AT37" s="35"/>
      <c r="AU37" s="35"/>
      <c r="AV37" s="35"/>
      <c r="AW37" s="35"/>
      <c r="AX37" s="35"/>
      <c r="AY37" s="35"/>
      <c r="AZ37" s="35"/>
      <c r="BA37" s="35"/>
      <c r="BB37" s="35"/>
      <c r="BC37" s="35"/>
      <c r="BD37" s="35"/>
      <c r="BE37" s="35"/>
      <c r="BF37" s="35"/>
      <c r="BG37" s="35"/>
      <c r="BH37" s="35"/>
      <c r="BI37" s="35"/>
      <c r="BJ37" s="35"/>
      <c r="BK37" s="35"/>
      <c r="BL37" s="35"/>
      <c r="BM37" s="35"/>
      <c r="BN37" s="35"/>
      <c r="BO37" s="35"/>
      <c r="BP37" s="35"/>
      <c r="BQ37" s="35"/>
      <c r="BR37" s="35"/>
      <c r="BS37" s="35"/>
      <c r="BT37" s="35"/>
      <c r="BU37" s="35"/>
      <c r="BV37" s="35"/>
      <c r="BW37" s="35"/>
      <c r="BX37" s="35"/>
      <c r="BY37" s="35"/>
      <c r="BZ37" s="35"/>
      <c r="CA37" s="35"/>
      <c r="CB37" s="35"/>
      <c r="CC37" s="35"/>
      <c r="CD37" s="35"/>
      <c r="CE37" s="35"/>
      <c r="CF37" s="35"/>
      <c r="CG37" s="35"/>
      <c r="CH37" s="35"/>
      <c r="CI37" s="35"/>
      <c r="CJ37" s="35"/>
      <c r="CK37" s="35"/>
      <c r="CL37" s="35"/>
      <c r="CM37" s="35"/>
      <c r="CN37" s="35"/>
      <c r="CO37" s="35"/>
      <c r="CP37" s="35"/>
      <c r="CQ37" s="35"/>
      <c r="CR37" s="35"/>
      <c r="CS37" s="35"/>
      <c r="CT37" s="35"/>
      <c r="CU37" s="35"/>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c r="DV37" s="35"/>
      <c r="DW37" s="35"/>
      <c r="DX37" s="35"/>
      <c r="DY37" s="35"/>
      <c r="DZ37" s="35"/>
      <c r="EA37" s="35"/>
      <c r="EB37" s="35"/>
      <c r="EC37" s="35"/>
      <c r="ED37" s="35"/>
      <c r="EE37" s="35"/>
      <c r="EF37" s="35"/>
      <c r="EG37" s="35"/>
      <c r="EH37" s="35"/>
      <c r="EI37" s="35"/>
      <c r="EJ37" s="35"/>
      <c r="EK37" s="35"/>
      <c r="EL37" s="35"/>
      <c r="EM37" s="35"/>
      <c r="EN37" s="35"/>
      <c r="EO37" s="35"/>
      <c r="EP37" s="35"/>
      <c r="EQ37" s="35"/>
      <c r="ER37" s="35"/>
      <c r="ES37" s="35"/>
      <c r="ET37" s="35"/>
      <c r="EU37" s="35"/>
      <c r="EV37" s="35"/>
      <c r="EW37" s="35"/>
      <c r="EX37" s="35"/>
      <c r="EY37" s="35"/>
      <c r="EZ37" s="35"/>
      <c r="FA37" s="35"/>
      <c r="FB37" s="35"/>
      <c r="FC37" s="35"/>
      <c r="FD37" s="35"/>
      <c r="FE37" s="35"/>
      <c r="FF37" s="35"/>
      <c r="FG37" s="35"/>
      <c r="FH37" s="35"/>
      <c r="FI37" s="35"/>
      <c r="FJ37" s="35"/>
      <c r="FK37" s="35"/>
      <c r="FL37" s="35"/>
      <c r="FM37" s="35"/>
      <c r="FN37" s="35"/>
      <c r="FO37" s="35"/>
      <c r="FP37" s="35"/>
      <c r="FQ37" s="35"/>
      <c r="FR37" s="35"/>
      <c r="FS37" s="35"/>
      <c r="FT37" s="35"/>
      <c r="FU37" s="35"/>
      <c r="FV37" s="35"/>
      <c r="FW37" s="35"/>
      <c r="FX37" s="35"/>
      <c r="FY37" s="35"/>
      <c r="FZ37" s="35"/>
      <c r="GA37" s="35"/>
      <c r="GB37" s="35"/>
      <c r="GC37" s="35"/>
      <c r="GD37" s="35"/>
      <c r="GE37" s="35"/>
      <c r="GF37" s="35"/>
      <c r="GG37" s="35"/>
      <c r="GH37" s="35"/>
      <c r="GI37" s="35"/>
      <c r="GJ37" s="35"/>
      <c r="GK37" s="35"/>
      <c r="GL37" s="35"/>
      <c r="GM37" s="35"/>
      <c r="GN37" s="35"/>
      <c r="GO37" s="35"/>
      <c r="GP37" s="35"/>
      <c r="GQ37" s="35"/>
      <c r="GR37" s="35"/>
      <c r="GS37" s="35"/>
      <c r="GT37" s="35"/>
      <c r="GU37" s="35"/>
      <c r="GV37" s="35"/>
      <c r="GW37" s="35"/>
      <c r="GX37" s="35"/>
      <c r="GY37" s="35"/>
      <c r="GZ37" s="35"/>
      <c r="HA37" s="35"/>
      <c r="HB37" s="35"/>
      <c r="HC37" s="35"/>
      <c r="HD37" s="35"/>
      <c r="HE37" s="35"/>
      <c r="HF37" s="35"/>
      <c r="HG37" s="35"/>
      <c r="HH37" s="35"/>
      <c r="HI37" s="35"/>
      <c r="HJ37" s="35"/>
      <c r="HK37" s="35"/>
      <c r="HL37" s="35"/>
      <c r="HM37" s="35"/>
      <c r="HN37" s="35"/>
      <c r="HO37" s="35"/>
      <c r="HP37" s="35"/>
      <c r="HQ37" s="35"/>
      <c r="HR37" s="35"/>
      <c r="HS37" s="35"/>
      <c r="HT37" s="35"/>
      <c r="HU37" s="35"/>
      <c r="HV37" s="35"/>
      <c r="HW37" s="35"/>
      <c r="HX37" s="35"/>
      <c r="HY37" s="35"/>
      <c r="HZ37" s="35"/>
      <c r="IA37" s="35"/>
      <c r="IB37" s="35"/>
      <c r="IC37" s="35"/>
      <c r="ID37" s="35"/>
      <c r="IE37" s="35"/>
      <c r="IF37" s="35"/>
      <c r="IG37" s="35"/>
      <c r="IH37" s="35"/>
      <c r="II37" s="35"/>
      <c r="IJ37" s="35"/>
      <c r="IK37" s="35"/>
      <c r="IL37" s="35"/>
      <c r="IM37" s="35"/>
      <c r="IN37" s="35"/>
      <c r="IO37" s="35"/>
      <c r="IP37" s="35"/>
      <c r="IQ37" s="35"/>
      <c r="IR37" s="35"/>
      <c r="IS37" s="35"/>
      <c r="IT37" s="35"/>
      <c r="IU37" s="35"/>
      <c r="IV37" s="35"/>
      <c r="IW37" s="35"/>
      <c r="IX37" s="35"/>
      <c r="IY37" s="35"/>
      <c r="IZ37" s="35"/>
      <c r="JA37" s="35"/>
      <c r="JB37" s="35"/>
      <c r="JC37" s="35"/>
      <c r="JD37" s="35"/>
      <c r="JE37" s="35"/>
      <c r="JF37" s="35"/>
      <c r="JG37" s="35"/>
      <c r="JH37" s="35"/>
      <c r="JI37" s="35"/>
      <c r="JJ37" s="35"/>
      <c r="JK37" s="35"/>
      <c r="JL37" s="35"/>
      <c r="JM37" s="35"/>
      <c r="JN37" s="35"/>
      <c r="JO37" s="35"/>
      <c r="JP37" s="35"/>
      <c r="JQ37" s="35"/>
      <c r="JR37" s="35"/>
      <c r="JS37" s="35"/>
      <c r="JT37" s="35"/>
      <c r="JU37" s="35"/>
      <c r="JV37" s="35"/>
      <c r="JW37" s="35"/>
      <c r="JX37" s="35"/>
      <c r="JY37" s="35"/>
      <c r="JZ37" s="35"/>
      <c r="KA37" s="35"/>
      <c r="KB37" s="35"/>
      <c r="KC37" s="35"/>
      <c r="KD37" s="35"/>
      <c r="KE37" s="35"/>
      <c r="KF37" s="35"/>
      <c r="KG37" s="35"/>
      <c r="KH37" s="35"/>
      <c r="KI37" s="35"/>
      <c r="KJ37" s="35"/>
      <c r="KK37" s="35"/>
      <c r="KL37" s="35"/>
      <c r="KM37" s="35"/>
      <c r="KN37" s="35"/>
      <c r="KO37" s="35"/>
      <c r="KP37" s="35"/>
      <c r="KQ37" s="35"/>
      <c r="KR37" s="35"/>
      <c r="KS37" s="35"/>
      <c r="KT37" s="35"/>
      <c r="KU37" s="35"/>
      <c r="KV37" s="35"/>
      <c r="KW37" s="35"/>
      <c r="KX37" s="35"/>
      <c r="KY37" s="35"/>
      <c r="KZ37" s="35"/>
      <c r="LA37" s="35"/>
      <c r="LB37" s="35"/>
      <c r="LC37" s="35"/>
      <c r="LD37" s="35"/>
      <c r="LE37" s="35"/>
      <c r="LF37" s="35"/>
      <c r="LG37" s="35"/>
      <c r="LH37" s="35"/>
      <c r="LI37" s="35"/>
      <c r="LJ37" s="35"/>
      <c r="LK37" s="35"/>
      <c r="LL37" s="35"/>
      <c r="LM37" s="35"/>
      <c r="LN37" s="35"/>
      <c r="LO37" s="35"/>
      <c r="LP37" s="35"/>
      <c r="LQ37" s="35"/>
      <c r="LR37" s="35"/>
      <c r="LS37" s="35"/>
      <c r="LT37" s="35"/>
      <c r="LU37" s="35"/>
      <c r="LV37" s="35"/>
      <c r="LW37" s="35"/>
      <c r="LX37" s="35"/>
      <c r="LY37" s="35"/>
      <c r="LZ37" s="35"/>
      <c r="MA37" s="35"/>
      <c r="MB37" s="35"/>
      <c r="MC37" s="35"/>
      <c r="MD37" s="35"/>
      <c r="ME37" s="35"/>
      <c r="MF37" s="35"/>
      <c r="MG37" s="35"/>
    </row>
    <row r="38" spans="2:345" s="67" customFormat="1" ht="36" hidden="1" customHeight="1" x14ac:dyDescent="0.25">
      <c r="B38" s="28">
        <v>4143</v>
      </c>
      <c r="C38" s="24" t="s">
        <v>40</v>
      </c>
      <c r="D38" s="19" t="s">
        <v>4339</v>
      </c>
      <c r="E38" s="18">
        <v>42391</v>
      </c>
      <c r="F38" s="27">
        <f t="shared" ca="1" si="0"/>
        <v>2082</v>
      </c>
      <c r="G38" s="69"/>
      <c r="H38" s="68"/>
      <c r="I38" s="25"/>
      <c r="J38" s="25">
        <v>42444</v>
      </c>
      <c r="K38" s="68" t="s">
        <v>4313</v>
      </c>
      <c r="L38" s="68">
        <v>42443</v>
      </c>
      <c r="M38" s="68"/>
      <c r="N38" s="22" t="s">
        <v>4340</v>
      </c>
      <c r="O38" s="26" t="s">
        <v>4341</v>
      </c>
      <c r="P38" s="35"/>
      <c r="Q38" s="35"/>
      <c r="R38" s="20"/>
      <c r="S38" s="35"/>
      <c r="T38" s="35"/>
      <c r="U38" s="35"/>
      <c r="V38" s="35"/>
      <c r="W38" s="35"/>
      <c r="X38" s="35"/>
      <c r="Y38" s="35"/>
      <c r="Z38" s="35"/>
      <c r="AA38" s="35"/>
      <c r="AB38" s="35"/>
      <c r="AC38" s="35"/>
      <c r="AD38" s="35"/>
      <c r="AE38" s="35"/>
      <c r="AF38" s="35"/>
      <c r="AG38" s="35"/>
      <c r="AH38" s="35"/>
      <c r="AI38" s="35"/>
      <c r="AJ38" s="35"/>
      <c r="AK38" s="35"/>
      <c r="AL38" s="35"/>
      <c r="AM38" s="35"/>
      <c r="AN38" s="35"/>
      <c r="AO38" s="35"/>
      <c r="AP38" s="35"/>
      <c r="AQ38" s="35"/>
      <c r="AR38" s="35"/>
      <c r="AS38" s="35"/>
      <c r="AT38" s="35"/>
      <c r="AU38" s="35"/>
      <c r="AV38" s="35"/>
      <c r="AW38" s="35"/>
      <c r="AX38" s="35"/>
      <c r="AY38" s="35"/>
      <c r="AZ38" s="35"/>
      <c r="BA38" s="35"/>
      <c r="BB38" s="35"/>
      <c r="BC38" s="35"/>
      <c r="BD38" s="35"/>
      <c r="BE38" s="35"/>
      <c r="BF38" s="35"/>
      <c r="BG38" s="35"/>
      <c r="BH38" s="35"/>
      <c r="BI38" s="35"/>
      <c r="BJ38" s="35"/>
      <c r="BK38" s="35"/>
      <c r="BL38" s="35"/>
      <c r="BM38" s="35"/>
      <c r="BN38" s="35"/>
      <c r="BO38" s="35"/>
      <c r="BP38" s="35"/>
      <c r="BQ38" s="35"/>
      <c r="BR38" s="35"/>
      <c r="BS38" s="35"/>
      <c r="BT38" s="35"/>
      <c r="BU38" s="35"/>
      <c r="BV38" s="35"/>
      <c r="BW38" s="35"/>
      <c r="BX38" s="35"/>
      <c r="BY38" s="35"/>
      <c r="BZ38" s="35"/>
      <c r="CA38" s="35"/>
      <c r="CB38" s="35"/>
      <c r="CC38" s="35"/>
      <c r="CD38" s="35"/>
      <c r="CE38" s="35"/>
      <c r="CF38" s="35"/>
      <c r="CG38" s="35"/>
      <c r="CH38" s="35"/>
      <c r="CI38" s="35"/>
      <c r="CJ38" s="35"/>
      <c r="CK38" s="35"/>
      <c r="CL38" s="35"/>
      <c r="CM38" s="35"/>
      <c r="CN38" s="35"/>
      <c r="CO38" s="35"/>
      <c r="CP38" s="35"/>
      <c r="CQ38" s="35"/>
      <c r="CR38" s="35"/>
      <c r="CS38" s="35"/>
      <c r="CT38" s="35"/>
      <c r="CU38" s="35"/>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c r="DV38" s="35"/>
      <c r="DW38" s="35"/>
      <c r="DX38" s="35"/>
      <c r="DY38" s="35"/>
      <c r="DZ38" s="35"/>
      <c r="EA38" s="35"/>
      <c r="EB38" s="35"/>
      <c r="EC38" s="35"/>
      <c r="ED38" s="35"/>
      <c r="EE38" s="35"/>
      <c r="EF38" s="35"/>
      <c r="EG38" s="35"/>
      <c r="EH38" s="35"/>
      <c r="EI38" s="35"/>
      <c r="EJ38" s="35"/>
      <c r="EK38" s="35"/>
      <c r="EL38" s="35"/>
      <c r="EM38" s="35"/>
      <c r="EN38" s="35"/>
      <c r="EO38" s="35"/>
      <c r="EP38" s="35"/>
      <c r="EQ38" s="35"/>
      <c r="ER38" s="35"/>
      <c r="ES38" s="35"/>
      <c r="ET38" s="35"/>
      <c r="EU38" s="35"/>
      <c r="EV38" s="35"/>
      <c r="EW38" s="35"/>
      <c r="EX38" s="35"/>
      <c r="EY38" s="35"/>
      <c r="EZ38" s="35"/>
      <c r="FA38" s="35"/>
      <c r="FB38" s="35"/>
      <c r="FC38" s="35"/>
      <c r="FD38" s="35"/>
      <c r="FE38" s="35"/>
      <c r="FF38" s="35"/>
      <c r="FG38" s="35"/>
      <c r="FH38" s="35"/>
      <c r="FI38" s="35"/>
      <c r="FJ38" s="35"/>
      <c r="FK38" s="35"/>
      <c r="FL38" s="35"/>
      <c r="FM38" s="35"/>
      <c r="FN38" s="35"/>
      <c r="FO38" s="35"/>
      <c r="FP38" s="35"/>
      <c r="FQ38" s="35"/>
      <c r="FR38" s="35"/>
      <c r="FS38" s="35"/>
      <c r="FT38" s="35"/>
      <c r="FU38" s="35"/>
      <c r="FV38" s="35"/>
      <c r="FW38" s="35"/>
      <c r="FX38" s="35"/>
      <c r="FY38" s="35"/>
      <c r="FZ38" s="35"/>
      <c r="GA38" s="35"/>
      <c r="GB38" s="35"/>
      <c r="GC38" s="35"/>
      <c r="GD38" s="35"/>
      <c r="GE38" s="35"/>
      <c r="GF38" s="35"/>
      <c r="GG38" s="35"/>
      <c r="GH38" s="35"/>
      <c r="GI38" s="35"/>
      <c r="GJ38" s="35"/>
      <c r="GK38" s="35"/>
      <c r="GL38" s="35"/>
      <c r="GM38" s="35"/>
      <c r="GN38" s="35"/>
      <c r="GO38" s="35"/>
      <c r="GP38" s="35"/>
      <c r="GQ38" s="35"/>
      <c r="GR38" s="35"/>
      <c r="GS38" s="35"/>
      <c r="GT38" s="35"/>
      <c r="GU38" s="35"/>
      <c r="GV38" s="35"/>
      <c r="GW38" s="35"/>
      <c r="GX38" s="35"/>
      <c r="GY38" s="35"/>
      <c r="GZ38" s="35"/>
      <c r="HA38" s="35"/>
      <c r="HB38" s="35"/>
      <c r="HC38" s="35"/>
      <c r="HD38" s="35"/>
      <c r="HE38" s="35"/>
      <c r="HF38" s="35"/>
      <c r="HG38" s="35"/>
      <c r="HH38" s="35"/>
      <c r="HI38" s="35"/>
      <c r="HJ38" s="35"/>
      <c r="HK38" s="35"/>
      <c r="HL38" s="35"/>
      <c r="HM38" s="35"/>
      <c r="HN38" s="35"/>
      <c r="HO38" s="35"/>
      <c r="HP38" s="35"/>
      <c r="HQ38" s="35"/>
      <c r="HR38" s="35"/>
      <c r="HS38" s="35"/>
      <c r="HT38" s="35"/>
      <c r="HU38" s="35"/>
      <c r="HV38" s="35"/>
      <c r="HW38" s="35"/>
      <c r="HX38" s="35"/>
      <c r="HY38" s="35"/>
      <c r="HZ38" s="35"/>
      <c r="IA38" s="35"/>
      <c r="IB38" s="35"/>
      <c r="IC38" s="35"/>
      <c r="ID38" s="35"/>
      <c r="IE38" s="35"/>
      <c r="IF38" s="35"/>
      <c r="IG38" s="35"/>
      <c r="IH38" s="35"/>
      <c r="II38" s="35"/>
      <c r="IJ38" s="35"/>
      <c r="IK38" s="35"/>
      <c r="IL38" s="35"/>
      <c r="IM38" s="35"/>
      <c r="IN38" s="35"/>
      <c r="IO38" s="35"/>
      <c r="IP38" s="35"/>
      <c r="IQ38" s="35"/>
      <c r="IR38" s="35"/>
      <c r="IS38" s="35"/>
      <c r="IT38" s="35"/>
      <c r="IU38" s="35"/>
      <c r="IV38" s="35"/>
      <c r="IW38" s="35"/>
      <c r="IX38" s="35"/>
      <c r="IY38" s="35"/>
      <c r="IZ38" s="35"/>
      <c r="JA38" s="35"/>
      <c r="JB38" s="35"/>
      <c r="JC38" s="35"/>
      <c r="JD38" s="35"/>
      <c r="JE38" s="35"/>
      <c r="JF38" s="35"/>
      <c r="JG38" s="35"/>
      <c r="JH38" s="35"/>
      <c r="JI38" s="35"/>
      <c r="JJ38" s="35"/>
      <c r="JK38" s="35"/>
      <c r="JL38" s="35"/>
      <c r="JM38" s="35"/>
      <c r="JN38" s="35"/>
      <c r="JO38" s="35"/>
      <c r="JP38" s="35"/>
      <c r="JQ38" s="35"/>
      <c r="JR38" s="35"/>
      <c r="JS38" s="35"/>
      <c r="JT38" s="35"/>
      <c r="JU38" s="35"/>
      <c r="JV38" s="35"/>
      <c r="JW38" s="35"/>
      <c r="JX38" s="35"/>
      <c r="JY38" s="35"/>
      <c r="JZ38" s="35"/>
      <c r="KA38" s="35"/>
      <c r="KB38" s="35"/>
      <c r="KC38" s="35"/>
      <c r="KD38" s="35"/>
      <c r="KE38" s="35"/>
      <c r="KF38" s="35"/>
      <c r="KG38" s="35"/>
      <c r="KH38" s="35"/>
      <c r="KI38" s="35"/>
      <c r="KJ38" s="35"/>
      <c r="KK38" s="35"/>
      <c r="KL38" s="35"/>
      <c r="KM38" s="35"/>
      <c r="KN38" s="35"/>
      <c r="KO38" s="35"/>
      <c r="KP38" s="35"/>
      <c r="KQ38" s="35"/>
      <c r="KR38" s="35"/>
      <c r="KS38" s="35"/>
      <c r="KT38" s="35"/>
      <c r="KU38" s="35"/>
      <c r="KV38" s="35"/>
      <c r="KW38" s="35"/>
      <c r="KX38" s="35"/>
      <c r="KY38" s="35"/>
      <c r="KZ38" s="35"/>
      <c r="LA38" s="35"/>
      <c r="LB38" s="35"/>
      <c r="LC38" s="35"/>
      <c r="LD38" s="35"/>
      <c r="LE38" s="35"/>
      <c r="LF38" s="35"/>
      <c r="LG38" s="35"/>
      <c r="LH38" s="35"/>
      <c r="LI38" s="35"/>
      <c r="LJ38" s="35"/>
      <c r="LK38" s="35"/>
      <c r="LL38" s="35"/>
      <c r="LM38" s="35"/>
      <c r="LN38" s="35"/>
      <c r="LO38" s="35"/>
      <c r="LP38" s="35"/>
      <c r="LQ38" s="35"/>
      <c r="LR38" s="35"/>
      <c r="LS38" s="35"/>
      <c r="LT38" s="35"/>
      <c r="LU38" s="35"/>
      <c r="LV38" s="35"/>
      <c r="LW38" s="35"/>
      <c r="LX38" s="35"/>
      <c r="LY38" s="35"/>
      <c r="LZ38" s="35"/>
      <c r="MA38" s="35"/>
      <c r="MB38" s="35"/>
      <c r="MC38" s="35"/>
      <c r="MD38" s="35"/>
      <c r="ME38" s="35"/>
      <c r="MF38" s="35"/>
      <c r="MG38" s="35"/>
    </row>
    <row r="39" spans="2:345" s="67" customFormat="1" ht="36" hidden="1" customHeight="1" x14ac:dyDescent="0.25">
      <c r="B39" s="28">
        <v>4153</v>
      </c>
      <c r="C39" s="24" t="s">
        <v>9</v>
      </c>
      <c r="D39" s="19" t="s">
        <v>4361</v>
      </c>
      <c r="E39" s="18">
        <v>42394</v>
      </c>
      <c r="F39" s="27">
        <f t="shared" ca="1" si="0"/>
        <v>2079</v>
      </c>
      <c r="G39" s="69" t="s">
        <v>4298</v>
      </c>
      <c r="H39" s="68"/>
      <c r="I39" s="25"/>
      <c r="J39" s="25"/>
      <c r="K39" s="68"/>
      <c r="L39" s="68">
        <v>42394</v>
      </c>
      <c r="M39" s="68"/>
      <c r="N39" s="22"/>
      <c r="O39" s="26"/>
      <c r="P39" s="35"/>
      <c r="Q39" s="35"/>
      <c r="R39" s="20"/>
      <c r="S39" s="35"/>
      <c r="T39" s="35"/>
      <c r="U39" s="35"/>
      <c r="V39" s="35"/>
      <c r="W39" s="35"/>
      <c r="X39" s="35"/>
      <c r="Y39" s="35"/>
      <c r="Z39" s="35"/>
      <c r="AA39" s="35"/>
      <c r="AB39" s="35"/>
      <c r="AC39" s="35"/>
      <c r="AD39" s="35"/>
      <c r="AE39" s="35"/>
      <c r="AF39" s="35"/>
      <c r="AG39" s="35"/>
      <c r="AH39" s="35"/>
      <c r="AI39" s="35"/>
      <c r="AJ39" s="35"/>
      <c r="AK39" s="35"/>
      <c r="AL39" s="35"/>
      <c r="AM39" s="35"/>
      <c r="AN39" s="35"/>
      <c r="AO39" s="35"/>
      <c r="AP39" s="35"/>
      <c r="AQ39" s="35"/>
      <c r="AR39" s="35"/>
      <c r="AS39" s="35"/>
      <c r="AT39" s="35"/>
      <c r="AU39" s="35"/>
      <c r="AV39" s="35"/>
      <c r="AW39" s="35"/>
      <c r="AX39" s="35"/>
      <c r="AY39" s="35"/>
      <c r="AZ39" s="35"/>
      <c r="BA39" s="35"/>
      <c r="BB39" s="35"/>
      <c r="BC39" s="35"/>
      <c r="BD39" s="35"/>
      <c r="BE39" s="35"/>
      <c r="BF39" s="35"/>
      <c r="BG39" s="35"/>
      <c r="BH39" s="35"/>
      <c r="BI39" s="35"/>
      <c r="BJ39" s="35"/>
      <c r="BK39" s="35"/>
      <c r="BL39" s="35"/>
      <c r="BM39" s="35"/>
      <c r="BN39" s="35"/>
      <c r="BO39" s="35"/>
      <c r="BP39" s="35"/>
      <c r="BQ39" s="35"/>
      <c r="BR39" s="35"/>
      <c r="BS39" s="35"/>
      <c r="BT39" s="35"/>
      <c r="BU39" s="35"/>
      <c r="BV39" s="35"/>
      <c r="BW39" s="35"/>
      <c r="BX39" s="35"/>
      <c r="BY39" s="35"/>
      <c r="BZ39" s="35"/>
      <c r="CA39" s="35"/>
      <c r="CB39" s="35"/>
      <c r="CC39" s="35"/>
      <c r="CD39" s="35"/>
      <c r="CE39" s="35"/>
      <c r="CF39" s="35"/>
      <c r="CG39" s="35"/>
      <c r="CH39" s="35"/>
      <c r="CI39" s="35"/>
      <c r="CJ39" s="35"/>
      <c r="CK39" s="35"/>
      <c r="CL39" s="35"/>
      <c r="CM39" s="35"/>
      <c r="CN39" s="35"/>
      <c r="CO39" s="35"/>
      <c r="CP39" s="35"/>
      <c r="CQ39" s="35"/>
      <c r="CR39" s="35"/>
      <c r="CS39" s="35"/>
      <c r="CT39" s="35"/>
      <c r="CU39" s="35"/>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c r="DV39" s="35"/>
      <c r="DW39" s="35"/>
      <c r="DX39" s="35"/>
      <c r="DY39" s="35"/>
      <c r="DZ39" s="35"/>
      <c r="EA39" s="35"/>
      <c r="EB39" s="35"/>
      <c r="EC39" s="35"/>
      <c r="ED39" s="35"/>
      <c r="EE39" s="35"/>
      <c r="EF39" s="35"/>
      <c r="EG39" s="35"/>
      <c r="EH39" s="35"/>
      <c r="EI39" s="35"/>
      <c r="EJ39" s="35"/>
      <c r="EK39" s="35"/>
      <c r="EL39" s="35"/>
      <c r="EM39" s="35"/>
      <c r="EN39" s="35"/>
      <c r="EO39" s="35"/>
      <c r="EP39" s="35"/>
      <c r="EQ39" s="35"/>
      <c r="ER39" s="35"/>
      <c r="ES39" s="35"/>
      <c r="ET39" s="35"/>
      <c r="EU39" s="35"/>
      <c r="EV39" s="35"/>
      <c r="EW39" s="35"/>
      <c r="EX39" s="35"/>
      <c r="EY39" s="35"/>
      <c r="EZ39" s="35"/>
      <c r="FA39" s="35"/>
      <c r="FB39" s="35"/>
      <c r="FC39" s="35"/>
      <c r="FD39" s="35"/>
      <c r="FE39" s="35"/>
      <c r="FF39" s="35"/>
      <c r="FG39" s="35"/>
      <c r="FH39" s="35"/>
      <c r="FI39" s="35"/>
      <c r="FJ39" s="35"/>
      <c r="FK39" s="35"/>
      <c r="FL39" s="35"/>
      <c r="FM39" s="35"/>
      <c r="FN39" s="35"/>
      <c r="FO39" s="35"/>
      <c r="FP39" s="35"/>
      <c r="FQ39" s="35"/>
      <c r="FR39" s="35"/>
      <c r="FS39" s="35"/>
      <c r="FT39" s="35"/>
      <c r="FU39" s="35"/>
      <c r="FV39" s="35"/>
      <c r="FW39" s="35"/>
      <c r="FX39" s="35"/>
      <c r="FY39" s="35"/>
      <c r="FZ39" s="35"/>
      <c r="GA39" s="35"/>
      <c r="GB39" s="35"/>
      <c r="GC39" s="35"/>
      <c r="GD39" s="35"/>
      <c r="GE39" s="35"/>
      <c r="GF39" s="35"/>
      <c r="GG39" s="35"/>
      <c r="GH39" s="35"/>
      <c r="GI39" s="35"/>
      <c r="GJ39" s="35"/>
      <c r="GK39" s="35"/>
      <c r="GL39" s="35"/>
      <c r="GM39" s="35"/>
      <c r="GN39" s="35"/>
      <c r="GO39" s="35"/>
      <c r="GP39" s="35"/>
      <c r="GQ39" s="35"/>
      <c r="GR39" s="35"/>
      <c r="GS39" s="35"/>
      <c r="GT39" s="35"/>
      <c r="GU39" s="35"/>
      <c r="GV39" s="35"/>
      <c r="GW39" s="35"/>
      <c r="GX39" s="35"/>
      <c r="GY39" s="35"/>
      <c r="GZ39" s="35"/>
      <c r="HA39" s="35"/>
      <c r="HB39" s="35"/>
      <c r="HC39" s="35"/>
      <c r="HD39" s="35"/>
      <c r="HE39" s="35"/>
      <c r="HF39" s="35"/>
      <c r="HG39" s="35"/>
      <c r="HH39" s="35"/>
      <c r="HI39" s="35"/>
      <c r="HJ39" s="35"/>
      <c r="HK39" s="35"/>
      <c r="HL39" s="35"/>
      <c r="HM39" s="35"/>
      <c r="HN39" s="35"/>
      <c r="HO39" s="35"/>
      <c r="HP39" s="35"/>
      <c r="HQ39" s="35"/>
      <c r="HR39" s="35"/>
      <c r="HS39" s="35"/>
      <c r="HT39" s="35"/>
      <c r="HU39" s="35"/>
      <c r="HV39" s="35"/>
      <c r="HW39" s="35"/>
      <c r="HX39" s="35"/>
      <c r="HY39" s="35"/>
      <c r="HZ39" s="35"/>
      <c r="IA39" s="35"/>
      <c r="IB39" s="35"/>
      <c r="IC39" s="35"/>
      <c r="ID39" s="35"/>
      <c r="IE39" s="35"/>
      <c r="IF39" s="35"/>
      <c r="IG39" s="35"/>
      <c r="IH39" s="35"/>
      <c r="II39" s="35"/>
      <c r="IJ39" s="35"/>
      <c r="IK39" s="35"/>
      <c r="IL39" s="35"/>
      <c r="IM39" s="35"/>
      <c r="IN39" s="35"/>
      <c r="IO39" s="35"/>
      <c r="IP39" s="35"/>
      <c r="IQ39" s="35"/>
      <c r="IR39" s="35"/>
      <c r="IS39" s="35"/>
      <c r="IT39" s="35"/>
      <c r="IU39" s="35"/>
      <c r="IV39" s="35"/>
      <c r="IW39" s="35"/>
      <c r="IX39" s="35"/>
      <c r="IY39" s="35"/>
      <c r="IZ39" s="35"/>
      <c r="JA39" s="35"/>
      <c r="JB39" s="35"/>
      <c r="JC39" s="35"/>
      <c r="JD39" s="35"/>
      <c r="JE39" s="35"/>
      <c r="JF39" s="35"/>
      <c r="JG39" s="35"/>
      <c r="JH39" s="35"/>
      <c r="JI39" s="35"/>
      <c r="JJ39" s="35"/>
      <c r="JK39" s="35"/>
      <c r="JL39" s="35"/>
      <c r="JM39" s="35"/>
      <c r="JN39" s="35"/>
      <c r="JO39" s="35"/>
      <c r="JP39" s="35"/>
      <c r="JQ39" s="35"/>
      <c r="JR39" s="35"/>
      <c r="JS39" s="35"/>
      <c r="JT39" s="35"/>
      <c r="JU39" s="35"/>
      <c r="JV39" s="35"/>
      <c r="JW39" s="35"/>
      <c r="JX39" s="35"/>
      <c r="JY39" s="35"/>
      <c r="JZ39" s="35"/>
      <c r="KA39" s="35"/>
      <c r="KB39" s="35"/>
      <c r="KC39" s="35"/>
      <c r="KD39" s="35"/>
      <c r="KE39" s="35"/>
      <c r="KF39" s="35"/>
      <c r="KG39" s="35"/>
      <c r="KH39" s="35"/>
      <c r="KI39" s="35"/>
      <c r="KJ39" s="35"/>
      <c r="KK39" s="35"/>
      <c r="KL39" s="35"/>
      <c r="KM39" s="35"/>
      <c r="KN39" s="35"/>
      <c r="KO39" s="35"/>
      <c r="KP39" s="35"/>
      <c r="KQ39" s="35"/>
      <c r="KR39" s="35"/>
      <c r="KS39" s="35"/>
      <c r="KT39" s="35"/>
      <c r="KU39" s="35"/>
      <c r="KV39" s="35"/>
      <c r="KW39" s="35"/>
      <c r="KX39" s="35"/>
      <c r="KY39" s="35"/>
      <c r="KZ39" s="35"/>
      <c r="LA39" s="35"/>
      <c r="LB39" s="35"/>
      <c r="LC39" s="35"/>
      <c r="LD39" s="35"/>
      <c r="LE39" s="35"/>
      <c r="LF39" s="35"/>
      <c r="LG39" s="35"/>
      <c r="LH39" s="35"/>
      <c r="LI39" s="35"/>
      <c r="LJ39" s="35"/>
      <c r="LK39" s="35"/>
      <c r="LL39" s="35"/>
      <c r="LM39" s="35"/>
      <c r="LN39" s="35"/>
      <c r="LO39" s="35"/>
      <c r="LP39" s="35"/>
      <c r="LQ39" s="35"/>
      <c r="LR39" s="35"/>
      <c r="LS39" s="35"/>
      <c r="LT39" s="35"/>
      <c r="LU39" s="35"/>
      <c r="LV39" s="35"/>
      <c r="LW39" s="35"/>
      <c r="LX39" s="35"/>
      <c r="LY39" s="35"/>
      <c r="LZ39" s="35"/>
      <c r="MA39" s="35"/>
      <c r="MB39" s="35"/>
      <c r="MC39" s="35"/>
      <c r="MD39" s="35"/>
      <c r="ME39" s="35"/>
      <c r="MF39" s="35"/>
      <c r="MG39" s="35"/>
    </row>
    <row r="40" spans="2:345" s="67" customFormat="1" ht="36" hidden="1" customHeight="1" x14ac:dyDescent="0.25">
      <c r="B40" s="28" t="s">
        <v>4392</v>
      </c>
      <c r="C40" s="24" t="s">
        <v>19</v>
      </c>
      <c r="D40" s="19" t="s">
        <v>4396</v>
      </c>
      <c r="E40" s="18">
        <v>42394</v>
      </c>
      <c r="F40" s="27">
        <f t="shared" ca="1" si="0"/>
        <v>2079</v>
      </c>
      <c r="G40" s="69" t="s">
        <v>4298</v>
      </c>
      <c r="H40" s="68"/>
      <c r="I40" s="25"/>
      <c r="J40" s="25"/>
      <c r="K40" s="68"/>
      <c r="L40" s="68">
        <v>42395</v>
      </c>
      <c r="M40" s="68"/>
      <c r="N40" s="22" t="s">
        <v>4395</v>
      </c>
      <c r="O40" s="26"/>
      <c r="P40" s="35"/>
      <c r="Q40" s="35"/>
      <c r="R40" s="20"/>
      <c r="S40" s="35"/>
      <c r="T40" s="35"/>
      <c r="U40" s="35"/>
      <c r="V40" s="35"/>
      <c r="W40" s="35"/>
      <c r="X40" s="35"/>
      <c r="Y40" s="35"/>
      <c r="Z40" s="35"/>
      <c r="AA40" s="35"/>
      <c r="AB40" s="35"/>
      <c r="AC40" s="35"/>
      <c r="AD40" s="35"/>
      <c r="AE40" s="35"/>
      <c r="AF40" s="35"/>
      <c r="AG40" s="35"/>
      <c r="AH40" s="35"/>
      <c r="AI40" s="35"/>
      <c r="AJ40" s="35"/>
      <c r="AK40" s="35"/>
      <c r="AL40" s="35"/>
      <c r="AM40" s="35"/>
      <c r="AN40" s="35"/>
      <c r="AO40" s="35"/>
      <c r="AP40" s="35"/>
      <c r="AQ40" s="35"/>
      <c r="AR40" s="35"/>
      <c r="AS40" s="35"/>
      <c r="AT40" s="35"/>
      <c r="AU40" s="35"/>
      <c r="AV40" s="35"/>
      <c r="AW40" s="35"/>
      <c r="AX40" s="35"/>
      <c r="AY40" s="35"/>
      <c r="AZ40" s="35"/>
      <c r="BA40" s="35"/>
      <c r="BB40" s="35"/>
      <c r="BC40" s="35"/>
      <c r="BD40" s="35"/>
      <c r="BE40" s="35"/>
      <c r="BF40" s="35"/>
      <c r="BG40" s="35"/>
      <c r="BH40" s="35"/>
      <c r="BI40" s="35"/>
      <c r="BJ40" s="35"/>
      <c r="BK40" s="35"/>
      <c r="BL40" s="35"/>
      <c r="BM40" s="35"/>
      <c r="BN40" s="35"/>
      <c r="BO40" s="35"/>
      <c r="BP40" s="35"/>
      <c r="BQ40" s="35"/>
      <c r="BR40" s="35"/>
      <c r="BS40" s="35"/>
      <c r="BT40" s="35"/>
      <c r="BU40" s="35"/>
      <c r="BV40" s="35"/>
      <c r="BW40" s="35"/>
      <c r="BX40" s="35"/>
      <c r="BY40" s="35"/>
      <c r="BZ40" s="35"/>
      <c r="CA40" s="35"/>
      <c r="CB40" s="35"/>
      <c r="CC40" s="35"/>
      <c r="CD40" s="35"/>
      <c r="CE40" s="35"/>
      <c r="CF40" s="35"/>
      <c r="CG40" s="35"/>
      <c r="CH40" s="35"/>
      <c r="CI40" s="35"/>
      <c r="CJ40" s="35"/>
      <c r="CK40" s="35"/>
      <c r="CL40" s="35"/>
      <c r="CM40" s="35"/>
      <c r="CN40" s="35"/>
      <c r="CO40" s="35"/>
      <c r="CP40" s="35"/>
      <c r="CQ40" s="35"/>
      <c r="CR40" s="35"/>
      <c r="CS40" s="35"/>
      <c r="CT40" s="35"/>
      <c r="CU40" s="35"/>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c r="DV40" s="35"/>
      <c r="DW40" s="35"/>
      <c r="DX40" s="35"/>
      <c r="DY40" s="35"/>
      <c r="DZ40" s="35"/>
      <c r="EA40" s="35"/>
      <c r="EB40" s="35"/>
      <c r="EC40" s="35"/>
      <c r="ED40" s="35"/>
      <c r="EE40" s="35"/>
      <c r="EF40" s="35"/>
      <c r="EG40" s="35"/>
      <c r="EH40" s="35"/>
      <c r="EI40" s="35"/>
      <c r="EJ40" s="35"/>
      <c r="EK40" s="35"/>
      <c r="EL40" s="35"/>
      <c r="EM40" s="35"/>
      <c r="EN40" s="35"/>
      <c r="EO40" s="35"/>
      <c r="EP40" s="35"/>
      <c r="EQ40" s="35"/>
      <c r="ER40" s="35"/>
      <c r="ES40" s="35"/>
      <c r="ET40" s="35"/>
      <c r="EU40" s="35"/>
      <c r="EV40" s="35"/>
      <c r="EW40" s="35"/>
      <c r="EX40" s="35"/>
      <c r="EY40" s="35"/>
      <c r="EZ40" s="35"/>
      <c r="FA40" s="35"/>
      <c r="FB40" s="35"/>
      <c r="FC40" s="35"/>
      <c r="FD40" s="35"/>
      <c r="FE40" s="35"/>
      <c r="FF40" s="35"/>
      <c r="FG40" s="35"/>
      <c r="FH40" s="35"/>
      <c r="FI40" s="35"/>
      <c r="FJ40" s="35"/>
      <c r="FK40" s="35"/>
      <c r="FL40" s="35"/>
      <c r="FM40" s="35"/>
      <c r="FN40" s="35"/>
      <c r="FO40" s="35"/>
      <c r="FP40" s="35"/>
      <c r="FQ40" s="35"/>
      <c r="FR40" s="35"/>
      <c r="FS40" s="35"/>
      <c r="FT40" s="35"/>
      <c r="FU40" s="35"/>
      <c r="FV40" s="35"/>
      <c r="FW40" s="35"/>
      <c r="FX40" s="35"/>
      <c r="FY40" s="35"/>
      <c r="FZ40" s="35"/>
      <c r="GA40" s="35"/>
      <c r="GB40" s="35"/>
      <c r="GC40" s="35"/>
      <c r="GD40" s="35"/>
      <c r="GE40" s="35"/>
      <c r="GF40" s="35"/>
      <c r="GG40" s="35"/>
      <c r="GH40" s="35"/>
      <c r="GI40" s="35"/>
      <c r="GJ40" s="35"/>
      <c r="GK40" s="35"/>
      <c r="GL40" s="35"/>
      <c r="GM40" s="35"/>
      <c r="GN40" s="35"/>
      <c r="GO40" s="35"/>
      <c r="GP40" s="35"/>
      <c r="GQ40" s="35"/>
      <c r="GR40" s="35"/>
      <c r="GS40" s="35"/>
      <c r="GT40" s="35"/>
      <c r="GU40" s="35"/>
      <c r="GV40" s="35"/>
      <c r="GW40" s="35"/>
      <c r="GX40" s="35"/>
      <c r="GY40" s="35"/>
      <c r="GZ40" s="35"/>
      <c r="HA40" s="35"/>
      <c r="HB40" s="35"/>
      <c r="HC40" s="35"/>
      <c r="HD40" s="35"/>
      <c r="HE40" s="35"/>
      <c r="HF40" s="35"/>
      <c r="HG40" s="35"/>
      <c r="HH40" s="35"/>
      <c r="HI40" s="35"/>
      <c r="HJ40" s="35"/>
      <c r="HK40" s="35"/>
      <c r="HL40" s="35"/>
      <c r="HM40" s="35"/>
      <c r="HN40" s="35"/>
      <c r="HO40" s="35"/>
      <c r="HP40" s="35"/>
      <c r="HQ40" s="35"/>
      <c r="HR40" s="35"/>
      <c r="HS40" s="35"/>
      <c r="HT40" s="35"/>
      <c r="HU40" s="35"/>
      <c r="HV40" s="35"/>
      <c r="HW40" s="35"/>
      <c r="HX40" s="35"/>
      <c r="HY40" s="35"/>
      <c r="HZ40" s="35"/>
      <c r="IA40" s="35"/>
      <c r="IB40" s="35"/>
      <c r="IC40" s="35"/>
      <c r="ID40" s="35"/>
      <c r="IE40" s="35"/>
      <c r="IF40" s="35"/>
      <c r="IG40" s="35"/>
      <c r="IH40" s="35"/>
      <c r="II40" s="35"/>
      <c r="IJ40" s="35"/>
      <c r="IK40" s="35"/>
      <c r="IL40" s="35"/>
      <c r="IM40" s="35"/>
      <c r="IN40" s="35"/>
      <c r="IO40" s="35"/>
      <c r="IP40" s="35"/>
      <c r="IQ40" s="35"/>
      <c r="IR40" s="35"/>
      <c r="IS40" s="35"/>
      <c r="IT40" s="35"/>
      <c r="IU40" s="35"/>
      <c r="IV40" s="35"/>
      <c r="IW40" s="35"/>
      <c r="IX40" s="35"/>
      <c r="IY40" s="35"/>
      <c r="IZ40" s="35"/>
      <c r="JA40" s="35"/>
      <c r="JB40" s="35"/>
      <c r="JC40" s="35"/>
      <c r="JD40" s="35"/>
      <c r="JE40" s="35"/>
      <c r="JF40" s="35"/>
      <c r="JG40" s="35"/>
      <c r="JH40" s="35"/>
      <c r="JI40" s="35"/>
      <c r="JJ40" s="35"/>
      <c r="JK40" s="35"/>
      <c r="JL40" s="35"/>
      <c r="JM40" s="35"/>
      <c r="JN40" s="35"/>
      <c r="JO40" s="35"/>
      <c r="JP40" s="35"/>
      <c r="JQ40" s="35"/>
      <c r="JR40" s="35"/>
      <c r="JS40" s="35"/>
      <c r="JT40" s="35"/>
      <c r="JU40" s="35"/>
      <c r="JV40" s="35"/>
      <c r="JW40" s="35"/>
      <c r="JX40" s="35"/>
      <c r="JY40" s="35"/>
      <c r="JZ40" s="35"/>
      <c r="KA40" s="35"/>
      <c r="KB40" s="35"/>
      <c r="KC40" s="35"/>
      <c r="KD40" s="35"/>
      <c r="KE40" s="35"/>
      <c r="KF40" s="35"/>
      <c r="KG40" s="35"/>
      <c r="KH40" s="35"/>
      <c r="KI40" s="35"/>
      <c r="KJ40" s="35"/>
      <c r="KK40" s="35"/>
      <c r="KL40" s="35"/>
      <c r="KM40" s="35"/>
      <c r="KN40" s="35"/>
      <c r="KO40" s="35"/>
      <c r="KP40" s="35"/>
      <c r="KQ40" s="35"/>
      <c r="KR40" s="35"/>
      <c r="KS40" s="35"/>
      <c r="KT40" s="35"/>
      <c r="KU40" s="35"/>
      <c r="KV40" s="35"/>
      <c r="KW40" s="35"/>
      <c r="KX40" s="35"/>
      <c r="KY40" s="35"/>
      <c r="KZ40" s="35"/>
      <c r="LA40" s="35"/>
      <c r="LB40" s="35"/>
      <c r="LC40" s="35"/>
      <c r="LD40" s="35"/>
      <c r="LE40" s="35"/>
      <c r="LF40" s="35"/>
      <c r="LG40" s="35"/>
      <c r="LH40" s="35"/>
      <c r="LI40" s="35"/>
      <c r="LJ40" s="35"/>
      <c r="LK40" s="35"/>
      <c r="LL40" s="35"/>
      <c r="LM40" s="35"/>
      <c r="LN40" s="35"/>
      <c r="LO40" s="35"/>
      <c r="LP40" s="35"/>
      <c r="LQ40" s="35"/>
      <c r="LR40" s="35"/>
      <c r="LS40" s="35"/>
      <c r="LT40" s="35"/>
      <c r="LU40" s="35"/>
      <c r="LV40" s="35"/>
      <c r="LW40" s="35"/>
      <c r="LX40" s="35"/>
      <c r="LY40" s="35"/>
      <c r="LZ40" s="35"/>
      <c r="MA40" s="35"/>
      <c r="MB40" s="35"/>
      <c r="MC40" s="35"/>
      <c r="MD40" s="35"/>
      <c r="ME40" s="35"/>
      <c r="MF40" s="35"/>
      <c r="MG40" s="35"/>
    </row>
    <row r="41" spans="2:345" s="67" customFormat="1" ht="36" hidden="1" customHeight="1" x14ac:dyDescent="0.25">
      <c r="B41" s="28">
        <v>4153</v>
      </c>
      <c r="C41" s="24" t="s">
        <v>23</v>
      </c>
      <c r="D41" s="19" t="s">
        <v>4362</v>
      </c>
      <c r="E41" s="18">
        <v>42395</v>
      </c>
      <c r="F41" s="27">
        <f t="shared" ca="1" si="0"/>
        <v>2078</v>
      </c>
      <c r="G41" s="69"/>
      <c r="H41" s="68"/>
      <c r="I41" s="25"/>
      <c r="J41" s="25"/>
      <c r="K41" s="68"/>
      <c r="L41" s="68">
        <v>42402</v>
      </c>
      <c r="M41" s="68"/>
      <c r="N41" s="22" t="s">
        <v>4363</v>
      </c>
      <c r="O41" s="26"/>
      <c r="P41" s="35"/>
      <c r="Q41" s="35"/>
      <c r="R41" s="20"/>
      <c r="S41" s="35"/>
      <c r="T41" s="35"/>
      <c r="U41" s="35"/>
      <c r="V41" s="35"/>
      <c r="W41" s="35"/>
      <c r="X41" s="35"/>
      <c r="Y41" s="35"/>
      <c r="Z41" s="35"/>
      <c r="AA41" s="35"/>
      <c r="AB41" s="35"/>
      <c r="AC41" s="35"/>
      <c r="AD41" s="35"/>
      <c r="AE41" s="35"/>
      <c r="AF41" s="35"/>
      <c r="AG41" s="35"/>
      <c r="AH41" s="35"/>
      <c r="AI41" s="35"/>
      <c r="AJ41" s="35"/>
      <c r="AK41" s="35"/>
      <c r="AL41" s="35"/>
      <c r="AM41" s="35"/>
      <c r="AN41" s="35"/>
      <c r="AO41" s="35"/>
      <c r="AP41" s="35"/>
      <c r="AQ41" s="35"/>
      <c r="AR41" s="35"/>
      <c r="AS41" s="35"/>
      <c r="AT41" s="35"/>
      <c r="AU41" s="35"/>
      <c r="AV41" s="35"/>
      <c r="AW41" s="35"/>
      <c r="AX41" s="35"/>
      <c r="AY41" s="35"/>
      <c r="AZ41" s="35"/>
      <c r="BA41" s="35"/>
      <c r="BB41" s="35"/>
      <c r="BC41" s="35"/>
      <c r="BD41" s="35"/>
      <c r="BE41" s="35"/>
      <c r="BF41" s="35"/>
      <c r="BG41" s="35"/>
      <c r="BH41" s="35"/>
      <c r="BI41" s="35"/>
      <c r="BJ41" s="35"/>
      <c r="BK41" s="35"/>
      <c r="BL41" s="35"/>
      <c r="BM41" s="35"/>
      <c r="BN41" s="35"/>
      <c r="BO41" s="35"/>
      <c r="BP41" s="35"/>
      <c r="BQ41" s="35"/>
      <c r="BR41" s="35"/>
      <c r="BS41" s="35"/>
      <c r="BT41" s="35"/>
      <c r="BU41" s="35"/>
      <c r="BV41" s="35"/>
      <c r="BW41" s="35"/>
      <c r="BX41" s="35"/>
      <c r="BY41" s="35"/>
      <c r="BZ41" s="35"/>
      <c r="CA41" s="35"/>
      <c r="CB41" s="35"/>
      <c r="CC41" s="35"/>
      <c r="CD41" s="35"/>
      <c r="CE41" s="35"/>
      <c r="CF41" s="35"/>
      <c r="CG41" s="35"/>
      <c r="CH41" s="35"/>
      <c r="CI41" s="35"/>
      <c r="CJ41" s="35"/>
      <c r="CK41" s="35"/>
      <c r="CL41" s="35"/>
      <c r="CM41" s="35"/>
      <c r="CN41" s="35"/>
      <c r="CO41" s="35"/>
      <c r="CP41" s="35"/>
      <c r="CQ41" s="35"/>
      <c r="CR41" s="35"/>
      <c r="CS41" s="35"/>
      <c r="CT41" s="35"/>
      <c r="CU41" s="35"/>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c r="DV41" s="35"/>
      <c r="DW41" s="35"/>
      <c r="DX41" s="35"/>
      <c r="DY41" s="35"/>
      <c r="DZ41" s="35"/>
      <c r="EA41" s="35"/>
      <c r="EB41" s="35"/>
      <c r="EC41" s="35"/>
      <c r="ED41" s="35"/>
      <c r="EE41" s="35"/>
      <c r="EF41" s="35"/>
      <c r="EG41" s="35"/>
      <c r="EH41" s="35"/>
      <c r="EI41" s="35"/>
      <c r="EJ41" s="35"/>
      <c r="EK41" s="35"/>
      <c r="EL41" s="35"/>
      <c r="EM41" s="35"/>
      <c r="EN41" s="35"/>
      <c r="EO41" s="35"/>
      <c r="EP41" s="35"/>
      <c r="EQ41" s="35"/>
      <c r="ER41" s="35"/>
      <c r="ES41" s="35"/>
      <c r="ET41" s="35"/>
      <c r="EU41" s="35"/>
      <c r="EV41" s="35"/>
      <c r="EW41" s="35"/>
      <c r="EX41" s="35"/>
      <c r="EY41" s="35"/>
      <c r="EZ41" s="35"/>
      <c r="FA41" s="35"/>
      <c r="FB41" s="35"/>
      <c r="FC41" s="35"/>
      <c r="FD41" s="35"/>
      <c r="FE41" s="35"/>
      <c r="FF41" s="35"/>
      <c r="FG41" s="35"/>
      <c r="FH41" s="35"/>
      <c r="FI41" s="35"/>
      <c r="FJ41" s="35"/>
      <c r="FK41" s="35"/>
      <c r="FL41" s="35"/>
      <c r="FM41" s="35"/>
      <c r="FN41" s="35"/>
      <c r="FO41" s="35"/>
      <c r="FP41" s="35"/>
      <c r="FQ41" s="35"/>
      <c r="FR41" s="35"/>
      <c r="FS41" s="35"/>
      <c r="FT41" s="35"/>
      <c r="FU41" s="35"/>
      <c r="FV41" s="35"/>
      <c r="FW41" s="35"/>
      <c r="FX41" s="35"/>
      <c r="FY41" s="35"/>
      <c r="FZ41" s="35"/>
      <c r="GA41" s="35"/>
      <c r="GB41" s="35"/>
      <c r="GC41" s="35"/>
      <c r="GD41" s="35"/>
      <c r="GE41" s="35"/>
      <c r="GF41" s="35"/>
      <c r="GG41" s="35"/>
      <c r="GH41" s="35"/>
      <c r="GI41" s="35"/>
      <c r="GJ41" s="35"/>
      <c r="GK41" s="35"/>
      <c r="GL41" s="35"/>
      <c r="GM41" s="35"/>
      <c r="GN41" s="35"/>
      <c r="GO41" s="35"/>
      <c r="GP41" s="35"/>
      <c r="GQ41" s="35"/>
      <c r="GR41" s="35"/>
      <c r="GS41" s="35"/>
      <c r="GT41" s="35"/>
      <c r="GU41" s="35"/>
      <c r="GV41" s="35"/>
      <c r="GW41" s="35"/>
      <c r="GX41" s="35"/>
      <c r="GY41" s="35"/>
      <c r="GZ41" s="35"/>
      <c r="HA41" s="35"/>
      <c r="HB41" s="35"/>
      <c r="HC41" s="35"/>
      <c r="HD41" s="35"/>
      <c r="HE41" s="35"/>
      <c r="HF41" s="35"/>
      <c r="HG41" s="35"/>
      <c r="HH41" s="35"/>
      <c r="HI41" s="35"/>
      <c r="HJ41" s="35"/>
      <c r="HK41" s="35"/>
      <c r="HL41" s="35"/>
      <c r="HM41" s="35"/>
      <c r="HN41" s="35"/>
      <c r="HO41" s="35"/>
      <c r="HP41" s="35"/>
      <c r="HQ41" s="35"/>
      <c r="HR41" s="35"/>
      <c r="HS41" s="35"/>
      <c r="HT41" s="35"/>
      <c r="HU41" s="35"/>
      <c r="HV41" s="35"/>
      <c r="HW41" s="35"/>
      <c r="HX41" s="35"/>
      <c r="HY41" s="35"/>
      <c r="HZ41" s="35"/>
      <c r="IA41" s="35"/>
      <c r="IB41" s="35"/>
      <c r="IC41" s="35"/>
      <c r="ID41" s="35"/>
      <c r="IE41" s="35"/>
      <c r="IF41" s="35"/>
      <c r="IG41" s="35"/>
      <c r="IH41" s="35"/>
      <c r="II41" s="35"/>
      <c r="IJ41" s="35"/>
      <c r="IK41" s="35"/>
      <c r="IL41" s="35"/>
      <c r="IM41" s="35"/>
      <c r="IN41" s="35"/>
      <c r="IO41" s="35"/>
      <c r="IP41" s="35"/>
      <c r="IQ41" s="35"/>
      <c r="IR41" s="35"/>
      <c r="IS41" s="35"/>
      <c r="IT41" s="35"/>
      <c r="IU41" s="35"/>
      <c r="IV41" s="35"/>
      <c r="IW41" s="35"/>
      <c r="IX41" s="35"/>
      <c r="IY41" s="35"/>
      <c r="IZ41" s="35"/>
      <c r="JA41" s="35"/>
      <c r="JB41" s="35"/>
      <c r="JC41" s="35"/>
      <c r="JD41" s="35"/>
      <c r="JE41" s="35"/>
      <c r="JF41" s="35"/>
      <c r="JG41" s="35"/>
      <c r="JH41" s="35"/>
      <c r="JI41" s="35"/>
      <c r="JJ41" s="35"/>
      <c r="JK41" s="35"/>
      <c r="JL41" s="35"/>
      <c r="JM41" s="35"/>
      <c r="JN41" s="35"/>
      <c r="JO41" s="35"/>
      <c r="JP41" s="35"/>
      <c r="JQ41" s="35"/>
      <c r="JR41" s="35"/>
      <c r="JS41" s="35"/>
      <c r="JT41" s="35"/>
      <c r="JU41" s="35"/>
      <c r="JV41" s="35"/>
      <c r="JW41" s="35"/>
      <c r="JX41" s="35"/>
      <c r="JY41" s="35"/>
      <c r="JZ41" s="35"/>
      <c r="KA41" s="35"/>
      <c r="KB41" s="35"/>
      <c r="KC41" s="35"/>
      <c r="KD41" s="35"/>
      <c r="KE41" s="35"/>
      <c r="KF41" s="35"/>
      <c r="KG41" s="35"/>
      <c r="KH41" s="35"/>
      <c r="KI41" s="35"/>
      <c r="KJ41" s="35"/>
      <c r="KK41" s="35"/>
      <c r="KL41" s="35"/>
      <c r="KM41" s="35"/>
      <c r="KN41" s="35"/>
      <c r="KO41" s="35"/>
      <c r="KP41" s="35"/>
      <c r="KQ41" s="35"/>
      <c r="KR41" s="35"/>
      <c r="KS41" s="35"/>
      <c r="KT41" s="35"/>
      <c r="KU41" s="35"/>
      <c r="KV41" s="35"/>
      <c r="KW41" s="35"/>
      <c r="KX41" s="35"/>
      <c r="KY41" s="35"/>
      <c r="KZ41" s="35"/>
      <c r="LA41" s="35"/>
      <c r="LB41" s="35"/>
      <c r="LC41" s="35"/>
      <c r="LD41" s="35"/>
      <c r="LE41" s="35"/>
      <c r="LF41" s="35"/>
      <c r="LG41" s="35"/>
      <c r="LH41" s="35"/>
      <c r="LI41" s="35"/>
      <c r="LJ41" s="35"/>
      <c r="LK41" s="35"/>
      <c r="LL41" s="35"/>
      <c r="LM41" s="35"/>
      <c r="LN41" s="35"/>
      <c r="LO41" s="35"/>
      <c r="LP41" s="35"/>
      <c r="LQ41" s="35"/>
      <c r="LR41" s="35"/>
      <c r="LS41" s="35"/>
      <c r="LT41" s="35"/>
      <c r="LU41" s="35"/>
      <c r="LV41" s="35"/>
      <c r="LW41" s="35"/>
      <c r="LX41" s="35"/>
      <c r="LY41" s="35"/>
      <c r="LZ41" s="35"/>
      <c r="MA41" s="35"/>
      <c r="MB41" s="35"/>
      <c r="MC41" s="35"/>
      <c r="MD41" s="35"/>
      <c r="ME41" s="35"/>
      <c r="MF41" s="35"/>
      <c r="MG41" s="35"/>
    </row>
    <row r="42" spans="2:345" s="67" customFormat="1" ht="36" hidden="1" customHeight="1" x14ac:dyDescent="0.25">
      <c r="B42" s="28">
        <v>4184</v>
      </c>
      <c r="C42" s="24" t="s">
        <v>40</v>
      </c>
      <c r="D42" s="19" t="s">
        <v>4382</v>
      </c>
      <c r="E42" s="18">
        <v>42395</v>
      </c>
      <c r="F42" s="27">
        <f t="shared" ca="1" si="0"/>
        <v>2078</v>
      </c>
      <c r="G42" s="69"/>
      <c r="H42" s="68"/>
      <c r="I42" s="25"/>
      <c r="J42" s="25"/>
      <c r="K42" s="68"/>
      <c r="L42" s="68">
        <v>42401</v>
      </c>
      <c r="M42" s="68"/>
      <c r="N42" s="22"/>
      <c r="O42" s="26" t="s">
        <v>4383</v>
      </c>
      <c r="P42" s="35"/>
      <c r="Q42" s="35"/>
      <c r="R42" s="20"/>
      <c r="S42" s="35"/>
      <c r="T42" s="35"/>
      <c r="U42" s="35"/>
      <c r="V42" s="35"/>
      <c r="W42" s="35"/>
      <c r="X42" s="35"/>
      <c r="Y42" s="35"/>
      <c r="Z42" s="35"/>
      <c r="AA42" s="35"/>
      <c r="AB42" s="35"/>
      <c r="AC42" s="35"/>
      <c r="AD42" s="35"/>
      <c r="AE42" s="35"/>
      <c r="AF42" s="35"/>
      <c r="AG42" s="35"/>
      <c r="AH42" s="35"/>
      <c r="AI42" s="35"/>
      <c r="AJ42" s="35"/>
      <c r="AK42" s="35"/>
      <c r="AL42" s="35"/>
      <c r="AM42" s="35"/>
      <c r="AN42" s="35"/>
      <c r="AO42" s="35"/>
      <c r="AP42" s="35"/>
      <c r="AQ42" s="35"/>
      <c r="AR42" s="35"/>
      <c r="AS42" s="35"/>
      <c r="AT42" s="35"/>
      <c r="AU42" s="35"/>
      <c r="AV42" s="35"/>
      <c r="AW42" s="35"/>
      <c r="AX42" s="35"/>
      <c r="AY42" s="35"/>
      <c r="AZ42" s="35"/>
      <c r="BA42" s="35"/>
      <c r="BB42" s="35"/>
      <c r="BC42" s="35"/>
      <c r="BD42" s="35"/>
      <c r="BE42" s="35"/>
      <c r="BF42" s="35"/>
      <c r="BG42" s="35"/>
      <c r="BH42" s="35"/>
      <c r="BI42" s="35"/>
      <c r="BJ42" s="35"/>
      <c r="BK42" s="35"/>
      <c r="BL42" s="35"/>
      <c r="BM42" s="35"/>
      <c r="BN42" s="35"/>
      <c r="BO42" s="35"/>
      <c r="BP42" s="35"/>
      <c r="BQ42" s="35"/>
      <c r="BR42" s="35"/>
      <c r="BS42" s="35"/>
      <c r="BT42" s="35"/>
      <c r="BU42" s="35"/>
      <c r="BV42" s="35"/>
      <c r="BW42" s="35"/>
      <c r="BX42" s="35"/>
      <c r="BY42" s="35"/>
      <c r="BZ42" s="35"/>
      <c r="CA42" s="35"/>
      <c r="CB42" s="35"/>
      <c r="CC42" s="35"/>
      <c r="CD42" s="35"/>
      <c r="CE42" s="35"/>
      <c r="CF42" s="35"/>
      <c r="CG42" s="35"/>
      <c r="CH42" s="35"/>
      <c r="CI42" s="35"/>
      <c r="CJ42" s="35"/>
      <c r="CK42" s="35"/>
      <c r="CL42" s="35"/>
      <c r="CM42" s="35"/>
      <c r="CN42" s="35"/>
      <c r="CO42" s="35"/>
      <c r="CP42" s="35"/>
      <c r="CQ42" s="35"/>
      <c r="CR42" s="35"/>
      <c r="CS42" s="35"/>
      <c r="CT42" s="35"/>
      <c r="CU42" s="35"/>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c r="DV42" s="35"/>
      <c r="DW42" s="35"/>
      <c r="DX42" s="35"/>
      <c r="DY42" s="35"/>
      <c r="DZ42" s="35"/>
      <c r="EA42" s="35"/>
      <c r="EB42" s="35"/>
      <c r="EC42" s="35"/>
      <c r="ED42" s="35"/>
      <c r="EE42" s="35"/>
      <c r="EF42" s="35"/>
      <c r="EG42" s="35"/>
      <c r="EH42" s="35"/>
      <c r="EI42" s="35"/>
      <c r="EJ42" s="35"/>
      <c r="EK42" s="35"/>
      <c r="EL42" s="35"/>
      <c r="EM42" s="35"/>
      <c r="EN42" s="35"/>
      <c r="EO42" s="35"/>
      <c r="EP42" s="35"/>
      <c r="EQ42" s="35"/>
      <c r="ER42" s="35"/>
      <c r="ES42" s="35"/>
      <c r="ET42" s="35"/>
      <c r="EU42" s="35"/>
      <c r="EV42" s="35"/>
      <c r="EW42" s="35"/>
      <c r="EX42" s="35"/>
      <c r="EY42" s="35"/>
      <c r="EZ42" s="35"/>
      <c r="FA42" s="35"/>
      <c r="FB42" s="35"/>
      <c r="FC42" s="35"/>
      <c r="FD42" s="35"/>
      <c r="FE42" s="35"/>
      <c r="FF42" s="35"/>
      <c r="FG42" s="35"/>
      <c r="FH42" s="35"/>
      <c r="FI42" s="35"/>
      <c r="FJ42" s="35"/>
      <c r="FK42" s="35"/>
      <c r="FL42" s="35"/>
      <c r="FM42" s="35"/>
      <c r="FN42" s="35"/>
      <c r="FO42" s="35"/>
      <c r="FP42" s="35"/>
      <c r="FQ42" s="35"/>
      <c r="FR42" s="35"/>
      <c r="FS42" s="35"/>
      <c r="FT42" s="35"/>
      <c r="FU42" s="35"/>
      <c r="FV42" s="35"/>
      <c r="FW42" s="35"/>
      <c r="FX42" s="35"/>
      <c r="FY42" s="35"/>
      <c r="FZ42" s="35"/>
      <c r="GA42" s="35"/>
      <c r="GB42" s="35"/>
      <c r="GC42" s="35"/>
      <c r="GD42" s="35"/>
      <c r="GE42" s="35"/>
      <c r="GF42" s="35"/>
      <c r="GG42" s="35"/>
      <c r="GH42" s="35"/>
      <c r="GI42" s="35"/>
      <c r="GJ42" s="35"/>
      <c r="GK42" s="35"/>
      <c r="GL42" s="35"/>
      <c r="GM42" s="35"/>
      <c r="GN42" s="35"/>
      <c r="GO42" s="35"/>
      <c r="GP42" s="35"/>
      <c r="GQ42" s="35"/>
      <c r="GR42" s="35"/>
      <c r="GS42" s="35"/>
      <c r="GT42" s="35"/>
      <c r="GU42" s="35"/>
      <c r="GV42" s="35"/>
      <c r="GW42" s="35"/>
      <c r="GX42" s="35"/>
      <c r="GY42" s="35"/>
      <c r="GZ42" s="35"/>
      <c r="HA42" s="35"/>
      <c r="HB42" s="35"/>
      <c r="HC42" s="35"/>
      <c r="HD42" s="35"/>
      <c r="HE42" s="35"/>
      <c r="HF42" s="35"/>
      <c r="HG42" s="35"/>
      <c r="HH42" s="35"/>
      <c r="HI42" s="35"/>
      <c r="HJ42" s="35"/>
      <c r="HK42" s="35"/>
      <c r="HL42" s="35"/>
      <c r="HM42" s="35"/>
      <c r="HN42" s="35"/>
      <c r="HO42" s="35"/>
      <c r="HP42" s="35"/>
      <c r="HQ42" s="35"/>
      <c r="HR42" s="35"/>
      <c r="HS42" s="35"/>
      <c r="HT42" s="35"/>
      <c r="HU42" s="35"/>
      <c r="HV42" s="35"/>
      <c r="HW42" s="35"/>
      <c r="HX42" s="35"/>
      <c r="HY42" s="35"/>
      <c r="HZ42" s="35"/>
      <c r="IA42" s="35"/>
      <c r="IB42" s="35"/>
      <c r="IC42" s="35"/>
      <c r="ID42" s="35"/>
      <c r="IE42" s="35"/>
      <c r="IF42" s="35"/>
      <c r="IG42" s="35"/>
      <c r="IH42" s="35"/>
      <c r="II42" s="35"/>
      <c r="IJ42" s="35"/>
      <c r="IK42" s="35"/>
      <c r="IL42" s="35"/>
      <c r="IM42" s="35"/>
      <c r="IN42" s="35"/>
      <c r="IO42" s="35"/>
      <c r="IP42" s="35"/>
      <c r="IQ42" s="35"/>
      <c r="IR42" s="35"/>
      <c r="IS42" s="35"/>
      <c r="IT42" s="35"/>
      <c r="IU42" s="35"/>
      <c r="IV42" s="35"/>
      <c r="IW42" s="35"/>
      <c r="IX42" s="35"/>
      <c r="IY42" s="35"/>
      <c r="IZ42" s="35"/>
      <c r="JA42" s="35"/>
      <c r="JB42" s="35"/>
      <c r="JC42" s="35"/>
      <c r="JD42" s="35"/>
      <c r="JE42" s="35"/>
      <c r="JF42" s="35"/>
      <c r="JG42" s="35"/>
      <c r="JH42" s="35"/>
      <c r="JI42" s="35"/>
      <c r="JJ42" s="35"/>
      <c r="JK42" s="35"/>
      <c r="JL42" s="35"/>
      <c r="JM42" s="35"/>
      <c r="JN42" s="35"/>
      <c r="JO42" s="35"/>
      <c r="JP42" s="35"/>
      <c r="JQ42" s="35"/>
      <c r="JR42" s="35"/>
      <c r="JS42" s="35"/>
      <c r="JT42" s="35"/>
      <c r="JU42" s="35"/>
      <c r="JV42" s="35"/>
      <c r="JW42" s="35"/>
      <c r="JX42" s="35"/>
      <c r="JY42" s="35"/>
      <c r="JZ42" s="35"/>
      <c r="KA42" s="35"/>
      <c r="KB42" s="35"/>
      <c r="KC42" s="35"/>
      <c r="KD42" s="35"/>
      <c r="KE42" s="35"/>
      <c r="KF42" s="35"/>
      <c r="KG42" s="35"/>
      <c r="KH42" s="35"/>
      <c r="KI42" s="35"/>
      <c r="KJ42" s="35"/>
      <c r="KK42" s="35"/>
      <c r="KL42" s="35"/>
      <c r="KM42" s="35"/>
      <c r="KN42" s="35"/>
      <c r="KO42" s="35"/>
      <c r="KP42" s="35"/>
      <c r="KQ42" s="35"/>
      <c r="KR42" s="35"/>
      <c r="KS42" s="35"/>
      <c r="KT42" s="35"/>
      <c r="KU42" s="35"/>
      <c r="KV42" s="35"/>
      <c r="KW42" s="35"/>
      <c r="KX42" s="35"/>
      <c r="KY42" s="35"/>
      <c r="KZ42" s="35"/>
      <c r="LA42" s="35"/>
      <c r="LB42" s="35"/>
      <c r="LC42" s="35"/>
      <c r="LD42" s="35"/>
      <c r="LE42" s="35"/>
      <c r="LF42" s="35"/>
      <c r="LG42" s="35"/>
      <c r="LH42" s="35"/>
      <c r="LI42" s="35"/>
      <c r="LJ42" s="35"/>
      <c r="LK42" s="35"/>
      <c r="LL42" s="35"/>
      <c r="LM42" s="35"/>
      <c r="LN42" s="35"/>
      <c r="LO42" s="35"/>
      <c r="LP42" s="35"/>
      <c r="LQ42" s="35"/>
      <c r="LR42" s="35"/>
      <c r="LS42" s="35"/>
      <c r="LT42" s="35"/>
      <c r="LU42" s="35"/>
      <c r="LV42" s="35"/>
      <c r="LW42" s="35"/>
      <c r="LX42" s="35"/>
      <c r="LY42" s="35"/>
      <c r="LZ42" s="35"/>
      <c r="MA42" s="35"/>
      <c r="MB42" s="35"/>
      <c r="MC42" s="35"/>
      <c r="MD42" s="35"/>
      <c r="ME42" s="35"/>
      <c r="MF42" s="35"/>
      <c r="MG42" s="35"/>
    </row>
    <row r="43" spans="2:345" s="67" customFormat="1" ht="36" hidden="1" customHeight="1" x14ac:dyDescent="0.25">
      <c r="B43" s="28" t="s">
        <v>4392</v>
      </c>
      <c r="C43" s="24" t="s">
        <v>40</v>
      </c>
      <c r="D43" s="19" t="s">
        <v>4397</v>
      </c>
      <c r="E43" s="18">
        <v>42398</v>
      </c>
      <c r="F43" s="27">
        <f t="shared" ca="1" si="0"/>
        <v>2075</v>
      </c>
      <c r="G43" s="69"/>
      <c r="H43" s="68"/>
      <c r="I43" s="25"/>
      <c r="J43" s="25"/>
      <c r="K43" s="68"/>
      <c r="L43" s="68">
        <v>42403</v>
      </c>
      <c r="M43" s="68"/>
      <c r="N43" s="22" t="s">
        <v>4398</v>
      </c>
      <c r="O43" s="26"/>
      <c r="P43" s="35"/>
      <c r="Q43" s="35"/>
      <c r="R43" s="20"/>
      <c r="S43" s="35"/>
      <c r="T43" s="35"/>
      <c r="U43" s="35"/>
      <c r="V43" s="35"/>
      <c r="W43" s="35"/>
      <c r="X43" s="35"/>
      <c r="Y43" s="35"/>
      <c r="Z43" s="35"/>
      <c r="AA43" s="35"/>
      <c r="AB43" s="35"/>
      <c r="AC43" s="35"/>
      <c r="AD43" s="35"/>
      <c r="AE43" s="35"/>
      <c r="AF43" s="35"/>
      <c r="AG43" s="35"/>
      <c r="AH43" s="35"/>
      <c r="AI43" s="35"/>
      <c r="AJ43" s="35"/>
      <c r="AK43" s="35"/>
      <c r="AL43" s="35"/>
      <c r="AM43" s="35"/>
      <c r="AN43" s="35"/>
      <c r="AO43" s="35"/>
      <c r="AP43" s="35"/>
      <c r="AQ43" s="35"/>
      <c r="AR43" s="35"/>
      <c r="AS43" s="35"/>
      <c r="AT43" s="35"/>
      <c r="AU43" s="35"/>
      <c r="AV43" s="35"/>
      <c r="AW43" s="35"/>
      <c r="AX43" s="35"/>
      <c r="AY43" s="35"/>
      <c r="AZ43" s="35"/>
      <c r="BA43" s="35"/>
      <c r="BB43" s="35"/>
      <c r="BC43" s="35"/>
      <c r="BD43" s="35"/>
      <c r="BE43" s="35"/>
      <c r="BF43" s="35"/>
      <c r="BG43" s="35"/>
      <c r="BH43" s="35"/>
      <c r="BI43" s="35"/>
      <c r="BJ43" s="35"/>
      <c r="BK43" s="35"/>
      <c r="BL43" s="35"/>
      <c r="BM43" s="35"/>
      <c r="BN43" s="35"/>
      <c r="BO43" s="35"/>
      <c r="BP43" s="35"/>
      <c r="BQ43" s="35"/>
      <c r="BR43" s="35"/>
      <c r="BS43" s="35"/>
      <c r="BT43" s="35"/>
      <c r="BU43" s="35"/>
      <c r="BV43" s="35"/>
      <c r="BW43" s="35"/>
      <c r="BX43" s="35"/>
      <c r="BY43" s="35"/>
      <c r="BZ43" s="35"/>
      <c r="CA43" s="35"/>
      <c r="CB43" s="35"/>
      <c r="CC43" s="35"/>
      <c r="CD43" s="35"/>
      <c r="CE43" s="35"/>
      <c r="CF43" s="35"/>
      <c r="CG43" s="35"/>
      <c r="CH43" s="35"/>
      <c r="CI43" s="35"/>
      <c r="CJ43" s="35"/>
      <c r="CK43" s="35"/>
      <c r="CL43" s="35"/>
      <c r="CM43" s="35"/>
      <c r="CN43" s="35"/>
      <c r="CO43" s="35"/>
      <c r="CP43" s="35"/>
      <c r="CQ43" s="35"/>
      <c r="CR43" s="35"/>
      <c r="CS43" s="35"/>
      <c r="CT43" s="35"/>
      <c r="CU43" s="35"/>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c r="DV43" s="35"/>
      <c r="DW43" s="35"/>
      <c r="DX43" s="35"/>
      <c r="DY43" s="35"/>
      <c r="DZ43" s="35"/>
      <c r="EA43" s="35"/>
      <c r="EB43" s="35"/>
      <c r="EC43" s="35"/>
      <c r="ED43" s="35"/>
      <c r="EE43" s="35"/>
      <c r="EF43" s="35"/>
      <c r="EG43" s="35"/>
      <c r="EH43" s="35"/>
      <c r="EI43" s="35"/>
      <c r="EJ43" s="35"/>
      <c r="EK43" s="35"/>
      <c r="EL43" s="35"/>
      <c r="EM43" s="35"/>
      <c r="EN43" s="35"/>
      <c r="EO43" s="35"/>
      <c r="EP43" s="35"/>
      <c r="EQ43" s="35"/>
      <c r="ER43" s="35"/>
      <c r="ES43" s="35"/>
      <c r="ET43" s="35"/>
      <c r="EU43" s="35"/>
      <c r="EV43" s="35"/>
      <c r="EW43" s="35"/>
      <c r="EX43" s="35"/>
      <c r="EY43" s="35"/>
      <c r="EZ43" s="35"/>
      <c r="FA43" s="35"/>
      <c r="FB43" s="35"/>
      <c r="FC43" s="35"/>
      <c r="FD43" s="35"/>
      <c r="FE43" s="35"/>
      <c r="FF43" s="35"/>
      <c r="FG43" s="35"/>
      <c r="FH43" s="35"/>
      <c r="FI43" s="35"/>
      <c r="FJ43" s="35"/>
      <c r="FK43" s="35"/>
      <c r="FL43" s="35"/>
      <c r="FM43" s="35"/>
      <c r="FN43" s="35"/>
      <c r="FO43" s="35"/>
      <c r="FP43" s="35"/>
      <c r="FQ43" s="35"/>
      <c r="FR43" s="35"/>
      <c r="FS43" s="35"/>
      <c r="FT43" s="35"/>
      <c r="FU43" s="35"/>
      <c r="FV43" s="35"/>
      <c r="FW43" s="35"/>
      <c r="FX43" s="35"/>
      <c r="FY43" s="35"/>
      <c r="FZ43" s="35"/>
      <c r="GA43" s="35"/>
      <c r="GB43" s="35"/>
      <c r="GC43" s="35"/>
      <c r="GD43" s="35"/>
      <c r="GE43" s="35"/>
      <c r="GF43" s="35"/>
      <c r="GG43" s="35"/>
      <c r="GH43" s="35"/>
      <c r="GI43" s="35"/>
      <c r="GJ43" s="35"/>
      <c r="GK43" s="35"/>
      <c r="GL43" s="35"/>
      <c r="GM43" s="35"/>
      <c r="GN43" s="35"/>
      <c r="GO43" s="35"/>
      <c r="GP43" s="35"/>
      <c r="GQ43" s="35"/>
      <c r="GR43" s="35"/>
      <c r="GS43" s="35"/>
      <c r="GT43" s="35"/>
      <c r="GU43" s="35"/>
      <c r="GV43" s="35"/>
      <c r="GW43" s="35"/>
      <c r="GX43" s="35"/>
      <c r="GY43" s="35"/>
      <c r="GZ43" s="35"/>
      <c r="HA43" s="35"/>
      <c r="HB43" s="35"/>
      <c r="HC43" s="35"/>
      <c r="HD43" s="35"/>
      <c r="HE43" s="35"/>
      <c r="HF43" s="35"/>
      <c r="HG43" s="35"/>
      <c r="HH43" s="35"/>
      <c r="HI43" s="35"/>
      <c r="HJ43" s="35"/>
      <c r="HK43" s="35"/>
      <c r="HL43" s="35"/>
      <c r="HM43" s="35"/>
      <c r="HN43" s="35"/>
      <c r="HO43" s="35"/>
      <c r="HP43" s="35"/>
      <c r="HQ43" s="35"/>
      <c r="HR43" s="35"/>
      <c r="HS43" s="35"/>
      <c r="HT43" s="35"/>
      <c r="HU43" s="35"/>
      <c r="HV43" s="35"/>
      <c r="HW43" s="35"/>
      <c r="HX43" s="35"/>
      <c r="HY43" s="35"/>
      <c r="HZ43" s="35"/>
      <c r="IA43" s="35"/>
      <c r="IB43" s="35"/>
      <c r="IC43" s="35"/>
      <c r="ID43" s="35"/>
      <c r="IE43" s="35"/>
      <c r="IF43" s="35"/>
      <c r="IG43" s="35"/>
      <c r="IH43" s="35"/>
      <c r="II43" s="35"/>
      <c r="IJ43" s="35"/>
      <c r="IK43" s="35"/>
      <c r="IL43" s="35"/>
      <c r="IM43" s="35"/>
      <c r="IN43" s="35"/>
      <c r="IO43" s="35"/>
      <c r="IP43" s="35"/>
      <c r="IQ43" s="35"/>
      <c r="IR43" s="35"/>
      <c r="IS43" s="35"/>
      <c r="IT43" s="35"/>
      <c r="IU43" s="35"/>
      <c r="IV43" s="35"/>
      <c r="IW43" s="35"/>
      <c r="IX43" s="35"/>
      <c r="IY43" s="35"/>
      <c r="IZ43" s="35"/>
      <c r="JA43" s="35"/>
      <c r="JB43" s="35"/>
      <c r="JC43" s="35"/>
      <c r="JD43" s="35"/>
      <c r="JE43" s="35"/>
      <c r="JF43" s="35"/>
      <c r="JG43" s="35"/>
      <c r="JH43" s="35"/>
      <c r="JI43" s="35"/>
      <c r="JJ43" s="35"/>
      <c r="JK43" s="35"/>
      <c r="JL43" s="35"/>
      <c r="JM43" s="35"/>
      <c r="JN43" s="35"/>
      <c r="JO43" s="35"/>
      <c r="JP43" s="35"/>
      <c r="JQ43" s="35"/>
      <c r="JR43" s="35"/>
      <c r="JS43" s="35"/>
      <c r="JT43" s="35"/>
      <c r="JU43" s="35"/>
      <c r="JV43" s="35"/>
      <c r="JW43" s="35"/>
      <c r="JX43" s="35"/>
      <c r="JY43" s="35"/>
      <c r="JZ43" s="35"/>
      <c r="KA43" s="35"/>
      <c r="KB43" s="35"/>
      <c r="KC43" s="35"/>
      <c r="KD43" s="35"/>
      <c r="KE43" s="35"/>
      <c r="KF43" s="35"/>
      <c r="KG43" s="35"/>
      <c r="KH43" s="35"/>
      <c r="KI43" s="35"/>
      <c r="KJ43" s="35"/>
      <c r="KK43" s="35"/>
      <c r="KL43" s="35"/>
      <c r="KM43" s="35"/>
      <c r="KN43" s="35"/>
      <c r="KO43" s="35"/>
      <c r="KP43" s="35"/>
      <c r="KQ43" s="35"/>
      <c r="KR43" s="35"/>
      <c r="KS43" s="35"/>
      <c r="KT43" s="35"/>
      <c r="KU43" s="35"/>
      <c r="KV43" s="35"/>
      <c r="KW43" s="35"/>
      <c r="KX43" s="35"/>
      <c r="KY43" s="35"/>
      <c r="KZ43" s="35"/>
      <c r="LA43" s="35"/>
      <c r="LB43" s="35"/>
      <c r="LC43" s="35"/>
      <c r="LD43" s="35"/>
      <c r="LE43" s="35"/>
      <c r="LF43" s="35"/>
      <c r="LG43" s="35"/>
      <c r="LH43" s="35"/>
      <c r="LI43" s="35"/>
      <c r="LJ43" s="35"/>
      <c r="LK43" s="35"/>
      <c r="LL43" s="35"/>
      <c r="LM43" s="35"/>
      <c r="LN43" s="35"/>
      <c r="LO43" s="35"/>
      <c r="LP43" s="35"/>
      <c r="LQ43" s="35"/>
      <c r="LR43" s="35"/>
      <c r="LS43" s="35"/>
      <c r="LT43" s="35"/>
      <c r="LU43" s="35"/>
      <c r="LV43" s="35"/>
      <c r="LW43" s="35"/>
      <c r="LX43" s="35"/>
      <c r="LY43" s="35"/>
      <c r="LZ43" s="35"/>
      <c r="MA43" s="35"/>
      <c r="MB43" s="35"/>
      <c r="MC43" s="35"/>
      <c r="MD43" s="35"/>
      <c r="ME43" s="35"/>
      <c r="MF43" s="35"/>
      <c r="MG43" s="35"/>
    </row>
    <row r="44" spans="2:345" s="67" customFormat="1" ht="36" hidden="1" customHeight="1" x14ac:dyDescent="0.25">
      <c r="B44" s="28">
        <v>4142</v>
      </c>
      <c r="C44" s="24" t="s">
        <v>16</v>
      </c>
      <c r="D44" s="19" t="s">
        <v>4303</v>
      </c>
      <c r="E44" s="18">
        <v>42404</v>
      </c>
      <c r="F44" s="27">
        <f t="shared" ca="1" si="0"/>
        <v>2069</v>
      </c>
      <c r="G44" s="69">
        <v>42404</v>
      </c>
      <c r="H44" s="68"/>
      <c r="I44" s="25"/>
      <c r="J44" s="25"/>
      <c r="K44" s="68"/>
      <c r="L44" s="68">
        <v>42404</v>
      </c>
      <c r="M44" s="68"/>
      <c r="N44" s="22" t="s">
        <v>4304</v>
      </c>
      <c r="O44" s="26"/>
      <c r="P44" s="35"/>
      <c r="Q44" s="35"/>
      <c r="R44" s="20"/>
      <c r="S44" s="35"/>
      <c r="T44" s="35"/>
      <c r="U44" s="35"/>
      <c r="V44" s="35"/>
      <c r="W44" s="35"/>
      <c r="X44" s="35"/>
      <c r="Y44" s="35"/>
      <c r="Z44" s="35"/>
      <c r="AA44" s="35"/>
      <c r="AB44" s="35"/>
      <c r="AC44" s="35"/>
      <c r="AD44" s="35"/>
      <c r="AE44" s="35"/>
      <c r="AF44" s="35"/>
      <c r="AG44" s="35"/>
      <c r="AH44" s="35"/>
      <c r="AI44" s="35"/>
      <c r="AJ44" s="35"/>
      <c r="AK44" s="35"/>
      <c r="AL44" s="35"/>
      <c r="AM44" s="35"/>
      <c r="AN44" s="35"/>
      <c r="AO44" s="35"/>
      <c r="AP44" s="35"/>
      <c r="AQ44" s="35"/>
      <c r="AR44" s="35"/>
      <c r="AS44" s="35"/>
      <c r="AT44" s="35"/>
      <c r="AU44" s="35"/>
      <c r="AV44" s="35"/>
      <c r="AW44" s="35"/>
      <c r="AX44" s="35"/>
      <c r="AY44" s="35"/>
      <c r="AZ44" s="35"/>
      <c r="BA44" s="35"/>
      <c r="BB44" s="35"/>
      <c r="BC44" s="35"/>
      <c r="BD44" s="35"/>
      <c r="BE44" s="35"/>
      <c r="BF44" s="35"/>
      <c r="BG44" s="35"/>
      <c r="BH44" s="35"/>
      <c r="BI44" s="35"/>
      <c r="BJ44" s="35"/>
      <c r="BK44" s="35"/>
      <c r="BL44" s="35"/>
      <c r="BM44" s="35"/>
      <c r="BN44" s="35"/>
      <c r="BO44" s="35"/>
      <c r="BP44" s="35"/>
      <c r="BQ44" s="35"/>
      <c r="BR44" s="35"/>
      <c r="BS44" s="35"/>
      <c r="BT44" s="35"/>
      <c r="BU44" s="35"/>
      <c r="BV44" s="35"/>
      <c r="BW44" s="35"/>
      <c r="BX44" s="35"/>
      <c r="BY44" s="35"/>
      <c r="BZ44" s="35"/>
      <c r="CA44" s="35"/>
      <c r="CB44" s="35"/>
      <c r="CC44" s="35"/>
      <c r="CD44" s="35"/>
      <c r="CE44" s="35"/>
      <c r="CF44" s="35"/>
      <c r="CG44" s="35"/>
      <c r="CH44" s="35"/>
      <c r="CI44" s="35"/>
      <c r="CJ44" s="35"/>
      <c r="CK44" s="35"/>
      <c r="CL44" s="35"/>
      <c r="CM44" s="35"/>
      <c r="CN44" s="35"/>
      <c r="CO44" s="35"/>
      <c r="CP44" s="35"/>
      <c r="CQ44" s="35"/>
      <c r="CR44" s="35"/>
      <c r="CS44" s="35"/>
      <c r="CT44" s="35"/>
      <c r="CU44" s="35"/>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c r="DV44" s="35"/>
      <c r="DW44" s="35"/>
      <c r="DX44" s="35"/>
      <c r="DY44" s="35"/>
      <c r="DZ44" s="35"/>
      <c r="EA44" s="35"/>
      <c r="EB44" s="35"/>
      <c r="EC44" s="35"/>
      <c r="ED44" s="35"/>
      <c r="EE44" s="35"/>
      <c r="EF44" s="35"/>
      <c r="EG44" s="35"/>
      <c r="EH44" s="35"/>
      <c r="EI44" s="35"/>
      <c r="EJ44" s="35"/>
      <c r="EK44" s="35"/>
      <c r="EL44" s="35"/>
      <c r="EM44" s="35"/>
      <c r="EN44" s="35"/>
      <c r="EO44" s="35"/>
      <c r="EP44" s="35"/>
      <c r="EQ44" s="35"/>
      <c r="ER44" s="35"/>
      <c r="ES44" s="35"/>
      <c r="ET44" s="35"/>
      <c r="EU44" s="35"/>
      <c r="EV44" s="35"/>
      <c r="EW44" s="35"/>
      <c r="EX44" s="35"/>
      <c r="EY44" s="35"/>
      <c r="EZ44" s="35"/>
      <c r="FA44" s="35"/>
      <c r="FB44" s="35"/>
      <c r="FC44" s="35"/>
      <c r="FD44" s="35"/>
      <c r="FE44" s="35"/>
      <c r="FF44" s="35"/>
      <c r="FG44" s="35"/>
      <c r="FH44" s="35"/>
      <c r="FI44" s="35"/>
      <c r="FJ44" s="35"/>
      <c r="FK44" s="35"/>
      <c r="FL44" s="35"/>
      <c r="FM44" s="35"/>
      <c r="FN44" s="35"/>
      <c r="FO44" s="35"/>
      <c r="FP44" s="35"/>
      <c r="FQ44" s="35"/>
      <c r="FR44" s="35"/>
      <c r="FS44" s="35"/>
      <c r="FT44" s="35"/>
      <c r="FU44" s="35"/>
      <c r="FV44" s="35"/>
      <c r="FW44" s="35"/>
      <c r="FX44" s="35"/>
      <c r="FY44" s="35"/>
      <c r="FZ44" s="35"/>
      <c r="GA44" s="35"/>
      <c r="GB44" s="35"/>
      <c r="GC44" s="35"/>
      <c r="GD44" s="35"/>
      <c r="GE44" s="35"/>
      <c r="GF44" s="35"/>
      <c r="GG44" s="35"/>
      <c r="GH44" s="35"/>
      <c r="GI44" s="35"/>
      <c r="GJ44" s="35"/>
      <c r="GK44" s="35"/>
      <c r="GL44" s="35"/>
      <c r="GM44" s="35"/>
      <c r="GN44" s="35"/>
      <c r="GO44" s="35"/>
      <c r="GP44" s="35"/>
      <c r="GQ44" s="35"/>
      <c r="GR44" s="35"/>
      <c r="GS44" s="35"/>
      <c r="GT44" s="35"/>
      <c r="GU44" s="35"/>
      <c r="GV44" s="35"/>
      <c r="GW44" s="35"/>
      <c r="GX44" s="35"/>
      <c r="GY44" s="35"/>
      <c r="GZ44" s="35"/>
      <c r="HA44" s="35"/>
      <c r="HB44" s="35"/>
      <c r="HC44" s="35"/>
      <c r="HD44" s="35"/>
      <c r="HE44" s="35"/>
      <c r="HF44" s="35"/>
      <c r="HG44" s="35"/>
      <c r="HH44" s="35"/>
      <c r="HI44" s="35"/>
      <c r="HJ44" s="35"/>
      <c r="HK44" s="35"/>
      <c r="HL44" s="35"/>
      <c r="HM44" s="35"/>
      <c r="HN44" s="35"/>
      <c r="HO44" s="35"/>
      <c r="HP44" s="35"/>
      <c r="HQ44" s="35"/>
      <c r="HR44" s="35"/>
      <c r="HS44" s="35"/>
      <c r="HT44" s="35"/>
      <c r="HU44" s="35"/>
      <c r="HV44" s="35"/>
      <c r="HW44" s="35"/>
      <c r="HX44" s="35"/>
      <c r="HY44" s="35"/>
      <c r="HZ44" s="35"/>
      <c r="IA44" s="35"/>
      <c r="IB44" s="35"/>
      <c r="IC44" s="35"/>
      <c r="ID44" s="35"/>
      <c r="IE44" s="35"/>
      <c r="IF44" s="35"/>
      <c r="IG44" s="35"/>
      <c r="IH44" s="35"/>
      <c r="II44" s="35"/>
      <c r="IJ44" s="35"/>
      <c r="IK44" s="35"/>
      <c r="IL44" s="35"/>
      <c r="IM44" s="35"/>
      <c r="IN44" s="35"/>
      <c r="IO44" s="35"/>
      <c r="IP44" s="35"/>
      <c r="IQ44" s="35"/>
      <c r="IR44" s="35"/>
      <c r="IS44" s="35"/>
      <c r="IT44" s="35"/>
      <c r="IU44" s="35"/>
      <c r="IV44" s="35"/>
      <c r="IW44" s="35"/>
      <c r="IX44" s="35"/>
      <c r="IY44" s="35"/>
      <c r="IZ44" s="35"/>
      <c r="JA44" s="35"/>
      <c r="JB44" s="35"/>
      <c r="JC44" s="35"/>
      <c r="JD44" s="35"/>
      <c r="JE44" s="35"/>
      <c r="JF44" s="35"/>
      <c r="JG44" s="35"/>
      <c r="JH44" s="35"/>
      <c r="JI44" s="35"/>
      <c r="JJ44" s="35"/>
      <c r="JK44" s="35"/>
      <c r="JL44" s="35"/>
      <c r="JM44" s="35"/>
      <c r="JN44" s="35"/>
      <c r="JO44" s="35"/>
      <c r="JP44" s="35"/>
      <c r="JQ44" s="35"/>
      <c r="JR44" s="35"/>
      <c r="JS44" s="35"/>
      <c r="JT44" s="35"/>
      <c r="JU44" s="35"/>
      <c r="JV44" s="35"/>
      <c r="JW44" s="35"/>
      <c r="JX44" s="35"/>
      <c r="JY44" s="35"/>
      <c r="JZ44" s="35"/>
      <c r="KA44" s="35"/>
      <c r="KB44" s="35"/>
      <c r="KC44" s="35"/>
      <c r="KD44" s="35"/>
      <c r="KE44" s="35"/>
      <c r="KF44" s="35"/>
      <c r="KG44" s="35"/>
      <c r="KH44" s="35"/>
      <c r="KI44" s="35"/>
      <c r="KJ44" s="35"/>
      <c r="KK44" s="35"/>
      <c r="KL44" s="35"/>
      <c r="KM44" s="35"/>
      <c r="KN44" s="35"/>
      <c r="KO44" s="35"/>
      <c r="KP44" s="35"/>
      <c r="KQ44" s="35"/>
      <c r="KR44" s="35"/>
      <c r="KS44" s="35"/>
      <c r="KT44" s="35"/>
      <c r="KU44" s="35"/>
      <c r="KV44" s="35"/>
      <c r="KW44" s="35"/>
      <c r="KX44" s="35"/>
      <c r="KY44" s="35"/>
      <c r="KZ44" s="35"/>
      <c r="LA44" s="35"/>
      <c r="LB44" s="35"/>
      <c r="LC44" s="35"/>
      <c r="LD44" s="35"/>
      <c r="LE44" s="35"/>
      <c r="LF44" s="35"/>
      <c r="LG44" s="35"/>
      <c r="LH44" s="35"/>
      <c r="LI44" s="35"/>
      <c r="LJ44" s="35"/>
      <c r="LK44" s="35"/>
      <c r="LL44" s="35"/>
      <c r="LM44" s="35"/>
      <c r="LN44" s="35"/>
      <c r="LO44" s="35"/>
      <c r="LP44" s="35"/>
      <c r="LQ44" s="35"/>
      <c r="LR44" s="35"/>
      <c r="LS44" s="35"/>
      <c r="LT44" s="35"/>
      <c r="LU44" s="35"/>
      <c r="LV44" s="35"/>
      <c r="LW44" s="35"/>
      <c r="LX44" s="35"/>
      <c r="LY44" s="35"/>
      <c r="LZ44" s="35"/>
      <c r="MA44" s="35"/>
      <c r="MB44" s="35"/>
      <c r="MC44" s="35"/>
      <c r="MD44" s="35"/>
      <c r="ME44" s="35"/>
      <c r="MF44" s="35"/>
      <c r="MG44" s="35"/>
    </row>
    <row r="45" spans="2:345" s="67" customFormat="1" ht="36" hidden="1" customHeight="1" x14ac:dyDescent="0.25">
      <c r="B45" s="28" t="s">
        <v>4392</v>
      </c>
      <c r="C45" s="24" t="s">
        <v>23</v>
      </c>
      <c r="D45" s="19" t="s">
        <v>4399</v>
      </c>
      <c r="E45" s="18">
        <v>42405</v>
      </c>
      <c r="F45" s="27">
        <f t="shared" ca="1" si="0"/>
        <v>2068</v>
      </c>
      <c r="G45" s="69">
        <v>42418</v>
      </c>
      <c r="H45" s="68" t="s">
        <v>4400</v>
      </c>
      <c r="I45" s="25"/>
      <c r="J45" s="25">
        <v>42419</v>
      </c>
      <c r="K45" s="68" t="s">
        <v>2532</v>
      </c>
      <c r="L45" s="68">
        <v>42419</v>
      </c>
      <c r="M45" s="68"/>
      <c r="N45" s="22"/>
      <c r="O45" s="26"/>
      <c r="P45" s="35"/>
      <c r="Q45" s="35"/>
      <c r="R45" s="20"/>
      <c r="S45" s="35"/>
      <c r="T45" s="35"/>
      <c r="U45" s="35"/>
      <c r="V45" s="35"/>
      <c r="W45" s="35"/>
      <c r="X45" s="35"/>
      <c r="Y45" s="35"/>
      <c r="Z45" s="35"/>
      <c r="AA45" s="35"/>
      <c r="AB45" s="35"/>
      <c r="AC45" s="35"/>
      <c r="AD45" s="35"/>
      <c r="AE45" s="35"/>
      <c r="AF45" s="35"/>
      <c r="AG45" s="35"/>
      <c r="AH45" s="35"/>
      <c r="AI45" s="35"/>
      <c r="AJ45" s="35"/>
      <c r="AK45" s="35"/>
      <c r="AL45" s="35"/>
      <c r="AM45" s="35"/>
      <c r="AN45" s="35"/>
      <c r="AO45" s="35"/>
      <c r="AP45" s="35"/>
      <c r="AQ45" s="35"/>
      <c r="AR45" s="35"/>
      <c r="AS45" s="35"/>
      <c r="AT45" s="35"/>
      <c r="AU45" s="35"/>
      <c r="AV45" s="35"/>
      <c r="AW45" s="35"/>
      <c r="AX45" s="35"/>
      <c r="AY45" s="35"/>
      <c r="AZ45" s="35"/>
      <c r="BA45" s="35"/>
      <c r="BB45" s="35"/>
      <c r="BC45" s="35"/>
      <c r="BD45" s="35"/>
      <c r="BE45" s="35"/>
      <c r="BF45" s="35"/>
      <c r="BG45" s="35"/>
      <c r="BH45" s="35"/>
      <c r="BI45" s="35"/>
      <c r="BJ45" s="35"/>
      <c r="BK45" s="35"/>
      <c r="BL45" s="35"/>
      <c r="BM45" s="35"/>
      <c r="BN45" s="35"/>
      <c r="BO45" s="35"/>
      <c r="BP45" s="35"/>
      <c r="BQ45" s="35"/>
      <c r="BR45" s="35"/>
      <c r="BS45" s="35"/>
      <c r="BT45" s="35"/>
      <c r="BU45" s="35"/>
      <c r="BV45" s="35"/>
      <c r="BW45" s="35"/>
      <c r="BX45" s="35"/>
      <c r="BY45" s="35"/>
      <c r="BZ45" s="35"/>
      <c r="CA45" s="35"/>
      <c r="CB45" s="35"/>
      <c r="CC45" s="35"/>
      <c r="CD45" s="35"/>
      <c r="CE45" s="35"/>
      <c r="CF45" s="35"/>
      <c r="CG45" s="35"/>
      <c r="CH45" s="35"/>
      <c r="CI45" s="35"/>
      <c r="CJ45" s="35"/>
      <c r="CK45" s="35"/>
      <c r="CL45" s="35"/>
      <c r="CM45" s="35"/>
      <c r="CN45" s="35"/>
      <c r="CO45" s="35"/>
      <c r="CP45" s="35"/>
      <c r="CQ45" s="35"/>
      <c r="CR45" s="35"/>
      <c r="CS45" s="35"/>
      <c r="CT45" s="35"/>
      <c r="CU45" s="35"/>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c r="DV45" s="35"/>
      <c r="DW45" s="35"/>
      <c r="DX45" s="35"/>
      <c r="DY45" s="35"/>
      <c r="DZ45" s="35"/>
      <c r="EA45" s="35"/>
      <c r="EB45" s="35"/>
      <c r="EC45" s="35"/>
      <c r="ED45" s="35"/>
      <c r="EE45" s="35"/>
      <c r="EF45" s="35"/>
      <c r="EG45" s="35"/>
      <c r="EH45" s="35"/>
      <c r="EI45" s="35"/>
      <c r="EJ45" s="35"/>
      <c r="EK45" s="35"/>
      <c r="EL45" s="35"/>
      <c r="EM45" s="35"/>
      <c r="EN45" s="35"/>
      <c r="EO45" s="35"/>
      <c r="EP45" s="35"/>
      <c r="EQ45" s="35"/>
      <c r="ER45" s="35"/>
      <c r="ES45" s="35"/>
      <c r="ET45" s="35"/>
      <c r="EU45" s="35"/>
      <c r="EV45" s="35"/>
      <c r="EW45" s="35"/>
      <c r="EX45" s="35"/>
      <c r="EY45" s="35"/>
      <c r="EZ45" s="35"/>
      <c r="FA45" s="35"/>
      <c r="FB45" s="35"/>
      <c r="FC45" s="35"/>
      <c r="FD45" s="35"/>
      <c r="FE45" s="35"/>
      <c r="FF45" s="35"/>
      <c r="FG45" s="35"/>
      <c r="FH45" s="35"/>
      <c r="FI45" s="35"/>
      <c r="FJ45" s="35"/>
      <c r="FK45" s="35"/>
      <c r="FL45" s="35"/>
      <c r="FM45" s="35"/>
      <c r="FN45" s="35"/>
      <c r="FO45" s="35"/>
      <c r="FP45" s="35"/>
      <c r="FQ45" s="35"/>
      <c r="FR45" s="35"/>
      <c r="FS45" s="35"/>
      <c r="FT45" s="35"/>
      <c r="FU45" s="35"/>
      <c r="FV45" s="35"/>
      <c r="FW45" s="35"/>
      <c r="FX45" s="35"/>
      <c r="FY45" s="35"/>
      <c r="FZ45" s="35"/>
      <c r="GA45" s="35"/>
      <c r="GB45" s="35"/>
      <c r="GC45" s="35"/>
      <c r="GD45" s="35"/>
      <c r="GE45" s="35"/>
      <c r="GF45" s="35"/>
      <c r="GG45" s="35"/>
      <c r="GH45" s="35"/>
      <c r="GI45" s="35"/>
      <c r="GJ45" s="35"/>
      <c r="GK45" s="35"/>
      <c r="GL45" s="35"/>
      <c r="GM45" s="35"/>
      <c r="GN45" s="35"/>
      <c r="GO45" s="35"/>
      <c r="GP45" s="35"/>
      <c r="GQ45" s="35"/>
      <c r="GR45" s="35"/>
      <c r="GS45" s="35"/>
      <c r="GT45" s="35"/>
      <c r="GU45" s="35"/>
      <c r="GV45" s="35"/>
      <c r="GW45" s="35"/>
      <c r="GX45" s="35"/>
      <c r="GY45" s="35"/>
      <c r="GZ45" s="35"/>
      <c r="HA45" s="35"/>
      <c r="HB45" s="35"/>
      <c r="HC45" s="35"/>
      <c r="HD45" s="35"/>
      <c r="HE45" s="35"/>
      <c r="HF45" s="35"/>
      <c r="HG45" s="35"/>
      <c r="HH45" s="35"/>
      <c r="HI45" s="35"/>
      <c r="HJ45" s="35"/>
      <c r="HK45" s="35"/>
      <c r="HL45" s="35"/>
      <c r="HM45" s="35"/>
      <c r="HN45" s="35"/>
      <c r="HO45" s="35"/>
      <c r="HP45" s="35"/>
      <c r="HQ45" s="35"/>
      <c r="HR45" s="35"/>
      <c r="HS45" s="35"/>
      <c r="HT45" s="35"/>
      <c r="HU45" s="35"/>
      <c r="HV45" s="35"/>
      <c r="HW45" s="35"/>
      <c r="HX45" s="35"/>
      <c r="HY45" s="35"/>
      <c r="HZ45" s="35"/>
      <c r="IA45" s="35"/>
      <c r="IB45" s="35"/>
      <c r="IC45" s="35"/>
      <c r="ID45" s="35"/>
      <c r="IE45" s="35"/>
      <c r="IF45" s="35"/>
      <c r="IG45" s="35"/>
      <c r="IH45" s="35"/>
      <c r="II45" s="35"/>
      <c r="IJ45" s="35"/>
      <c r="IK45" s="35"/>
      <c r="IL45" s="35"/>
      <c r="IM45" s="35"/>
      <c r="IN45" s="35"/>
      <c r="IO45" s="35"/>
      <c r="IP45" s="35"/>
      <c r="IQ45" s="35"/>
      <c r="IR45" s="35"/>
      <c r="IS45" s="35"/>
      <c r="IT45" s="35"/>
      <c r="IU45" s="35"/>
      <c r="IV45" s="35"/>
      <c r="IW45" s="35"/>
      <c r="IX45" s="35"/>
      <c r="IY45" s="35"/>
      <c r="IZ45" s="35"/>
      <c r="JA45" s="35"/>
      <c r="JB45" s="35"/>
      <c r="JC45" s="35"/>
      <c r="JD45" s="35"/>
      <c r="JE45" s="35"/>
      <c r="JF45" s="35"/>
      <c r="JG45" s="35"/>
      <c r="JH45" s="35"/>
      <c r="JI45" s="35"/>
      <c r="JJ45" s="35"/>
      <c r="JK45" s="35"/>
      <c r="JL45" s="35"/>
      <c r="JM45" s="35"/>
      <c r="JN45" s="35"/>
      <c r="JO45" s="35"/>
      <c r="JP45" s="35"/>
      <c r="JQ45" s="35"/>
      <c r="JR45" s="35"/>
      <c r="JS45" s="35"/>
      <c r="JT45" s="35"/>
      <c r="JU45" s="35"/>
      <c r="JV45" s="35"/>
      <c r="JW45" s="35"/>
      <c r="JX45" s="35"/>
      <c r="JY45" s="35"/>
      <c r="JZ45" s="35"/>
      <c r="KA45" s="35"/>
      <c r="KB45" s="35"/>
      <c r="KC45" s="35"/>
      <c r="KD45" s="35"/>
      <c r="KE45" s="35"/>
      <c r="KF45" s="35"/>
      <c r="KG45" s="35"/>
      <c r="KH45" s="35"/>
      <c r="KI45" s="35"/>
      <c r="KJ45" s="35"/>
      <c r="KK45" s="35"/>
      <c r="KL45" s="35"/>
      <c r="KM45" s="35"/>
      <c r="KN45" s="35"/>
      <c r="KO45" s="35"/>
      <c r="KP45" s="35"/>
      <c r="KQ45" s="35"/>
      <c r="KR45" s="35"/>
      <c r="KS45" s="35"/>
      <c r="KT45" s="35"/>
      <c r="KU45" s="35"/>
      <c r="KV45" s="35"/>
      <c r="KW45" s="35"/>
      <c r="KX45" s="35"/>
      <c r="KY45" s="35"/>
      <c r="KZ45" s="35"/>
      <c r="LA45" s="35"/>
      <c r="LB45" s="35"/>
      <c r="LC45" s="35"/>
      <c r="LD45" s="35"/>
      <c r="LE45" s="35"/>
      <c r="LF45" s="35"/>
      <c r="LG45" s="35"/>
      <c r="LH45" s="35"/>
      <c r="LI45" s="35"/>
      <c r="LJ45" s="35"/>
      <c r="LK45" s="35"/>
      <c r="LL45" s="35"/>
      <c r="LM45" s="35"/>
      <c r="LN45" s="35"/>
      <c r="LO45" s="35"/>
      <c r="LP45" s="35"/>
      <c r="LQ45" s="35"/>
      <c r="LR45" s="35"/>
      <c r="LS45" s="35"/>
      <c r="LT45" s="35"/>
      <c r="LU45" s="35"/>
      <c r="LV45" s="35"/>
      <c r="LW45" s="35"/>
      <c r="LX45" s="35"/>
      <c r="LY45" s="35"/>
      <c r="LZ45" s="35"/>
      <c r="MA45" s="35"/>
      <c r="MB45" s="35"/>
      <c r="MC45" s="35"/>
      <c r="MD45" s="35"/>
      <c r="ME45" s="35"/>
      <c r="MF45" s="35"/>
      <c r="MG45" s="35"/>
    </row>
    <row r="46" spans="2:345" s="67" customFormat="1" ht="36" hidden="1" customHeight="1" x14ac:dyDescent="0.25">
      <c r="B46" s="28">
        <v>4142</v>
      </c>
      <c r="C46" s="24" t="s">
        <v>37</v>
      </c>
      <c r="D46" s="19" t="s">
        <v>4305</v>
      </c>
      <c r="E46" s="18">
        <v>42411</v>
      </c>
      <c r="F46" s="27">
        <f t="shared" ca="1" si="0"/>
        <v>2062</v>
      </c>
      <c r="G46" s="69">
        <v>42418</v>
      </c>
      <c r="H46" s="68" t="s">
        <v>4306</v>
      </c>
      <c r="I46" s="25"/>
      <c r="J46" s="25">
        <v>42419</v>
      </c>
      <c r="K46" s="68" t="s">
        <v>2532</v>
      </c>
      <c r="L46" s="68">
        <v>42419</v>
      </c>
      <c r="M46" s="68"/>
      <c r="N46" s="22" t="s">
        <v>4307</v>
      </c>
      <c r="O46" s="26"/>
      <c r="P46" s="35"/>
      <c r="Q46" s="35"/>
      <c r="R46" s="20"/>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35"/>
      <c r="AS46" s="35"/>
      <c r="AT46" s="35"/>
      <c r="AU46" s="35"/>
      <c r="AV46" s="35"/>
      <c r="AW46" s="35"/>
      <c r="AX46" s="35"/>
      <c r="AY46" s="35"/>
      <c r="AZ46" s="35"/>
      <c r="BA46" s="35"/>
      <c r="BB46" s="35"/>
      <c r="BC46" s="35"/>
      <c r="BD46" s="35"/>
      <c r="BE46" s="35"/>
      <c r="BF46" s="35"/>
      <c r="BG46" s="35"/>
      <c r="BH46" s="35"/>
      <c r="BI46" s="35"/>
      <c r="BJ46" s="35"/>
      <c r="BK46" s="35"/>
      <c r="BL46" s="35"/>
      <c r="BM46" s="35"/>
      <c r="BN46" s="35"/>
      <c r="BO46" s="35"/>
      <c r="BP46" s="35"/>
      <c r="BQ46" s="35"/>
      <c r="BR46" s="35"/>
      <c r="BS46" s="35"/>
      <c r="BT46" s="35"/>
      <c r="BU46" s="35"/>
      <c r="BV46" s="35"/>
      <c r="BW46" s="35"/>
      <c r="BX46" s="35"/>
      <c r="BY46" s="35"/>
      <c r="BZ46" s="35"/>
      <c r="CA46" s="35"/>
      <c r="CB46" s="35"/>
      <c r="CC46" s="35"/>
      <c r="CD46" s="35"/>
      <c r="CE46" s="35"/>
      <c r="CF46" s="35"/>
      <c r="CG46" s="35"/>
      <c r="CH46" s="35"/>
      <c r="CI46" s="35"/>
      <c r="CJ46" s="35"/>
      <c r="CK46" s="35"/>
      <c r="CL46" s="35"/>
      <c r="CM46" s="35"/>
      <c r="CN46" s="35"/>
      <c r="CO46" s="35"/>
      <c r="CP46" s="35"/>
      <c r="CQ46" s="35"/>
      <c r="CR46" s="35"/>
      <c r="CS46" s="35"/>
      <c r="CT46" s="35"/>
      <c r="CU46" s="35"/>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c r="DV46" s="35"/>
      <c r="DW46" s="35"/>
      <c r="DX46" s="35"/>
      <c r="DY46" s="35"/>
      <c r="DZ46" s="35"/>
      <c r="EA46" s="35"/>
      <c r="EB46" s="35"/>
      <c r="EC46" s="35"/>
      <c r="ED46" s="35"/>
      <c r="EE46" s="35"/>
      <c r="EF46" s="35"/>
      <c r="EG46" s="35"/>
      <c r="EH46" s="35"/>
      <c r="EI46" s="35"/>
      <c r="EJ46" s="35"/>
      <c r="EK46" s="35"/>
      <c r="EL46" s="35"/>
      <c r="EM46" s="35"/>
      <c r="EN46" s="35"/>
      <c r="EO46" s="35"/>
      <c r="EP46" s="35"/>
      <c r="EQ46" s="35"/>
      <c r="ER46" s="35"/>
      <c r="ES46" s="35"/>
      <c r="ET46" s="35"/>
      <c r="EU46" s="35"/>
      <c r="EV46" s="35"/>
      <c r="EW46" s="35"/>
      <c r="EX46" s="35"/>
      <c r="EY46" s="35"/>
      <c r="EZ46" s="35"/>
      <c r="FA46" s="35"/>
      <c r="FB46" s="35"/>
      <c r="FC46" s="35"/>
      <c r="FD46" s="35"/>
      <c r="FE46" s="35"/>
      <c r="FF46" s="35"/>
      <c r="FG46" s="35"/>
      <c r="FH46" s="35"/>
      <c r="FI46" s="35"/>
      <c r="FJ46" s="35"/>
      <c r="FK46" s="35"/>
      <c r="FL46" s="35"/>
      <c r="FM46" s="35"/>
      <c r="FN46" s="35"/>
      <c r="FO46" s="35"/>
      <c r="FP46" s="35"/>
      <c r="FQ46" s="35"/>
      <c r="FR46" s="35"/>
      <c r="FS46" s="35"/>
      <c r="FT46" s="35"/>
      <c r="FU46" s="35"/>
      <c r="FV46" s="35"/>
      <c r="FW46" s="35"/>
      <c r="FX46" s="35"/>
      <c r="FY46" s="35"/>
      <c r="FZ46" s="35"/>
      <c r="GA46" s="35"/>
      <c r="GB46" s="35"/>
      <c r="GC46" s="35"/>
      <c r="GD46" s="35"/>
      <c r="GE46" s="35"/>
      <c r="GF46" s="35"/>
      <c r="GG46" s="35"/>
      <c r="GH46" s="35"/>
      <c r="GI46" s="35"/>
      <c r="GJ46" s="35"/>
      <c r="GK46" s="35"/>
      <c r="GL46" s="35"/>
      <c r="GM46" s="35"/>
      <c r="GN46" s="35"/>
      <c r="GO46" s="35"/>
      <c r="GP46" s="35"/>
      <c r="GQ46" s="35"/>
      <c r="GR46" s="35"/>
      <c r="GS46" s="35"/>
      <c r="GT46" s="35"/>
      <c r="GU46" s="35"/>
      <c r="GV46" s="35"/>
      <c r="GW46" s="35"/>
      <c r="GX46" s="35"/>
      <c r="GY46" s="35"/>
      <c r="GZ46" s="35"/>
      <c r="HA46" s="35"/>
      <c r="HB46" s="35"/>
      <c r="HC46" s="35"/>
      <c r="HD46" s="35"/>
      <c r="HE46" s="35"/>
      <c r="HF46" s="35"/>
      <c r="HG46" s="35"/>
      <c r="HH46" s="35"/>
      <c r="HI46" s="35"/>
      <c r="HJ46" s="35"/>
      <c r="HK46" s="35"/>
      <c r="HL46" s="35"/>
      <c r="HM46" s="35"/>
      <c r="HN46" s="35"/>
      <c r="HO46" s="35"/>
      <c r="HP46" s="35"/>
      <c r="HQ46" s="35"/>
      <c r="HR46" s="35"/>
      <c r="HS46" s="35"/>
      <c r="HT46" s="35"/>
      <c r="HU46" s="35"/>
      <c r="HV46" s="35"/>
      <c r="HW46" s="35"/>
      <c r="HX46" s="35"/>
      <c r="HY46" s="35"/>
      <c r="HZ46" s="35"/>
      <c r="IA46" s="35"/>
      <c r="IB46" s="35"/>
      <c r="IC46" s="35"/>
      <c r="ID46" s="35"/>
      <c r="IE46" s="35"/>
      <c r="IF46" s="35"/>
      <c r="IG46" s="35"/>
      <c r="IH46" s="35"/>
      <c r="II46" s="35"/>
      <c r="IJ46" s="35"/>
      <c r="IK46" s="35"/>
      <c r="IL46" s="35"/>
      <c r="IM46" s="35"/>
      <c r="IN46" s="35"/>
      <c r="IO46" s="35"/>
      <c r="IP46" s="35"/>
      <c r="IQ46" s="35"/>
      <c r="IR46" s="35"/>
      <c r="IS46" s="35"/>
      <c r="IT46" s="35"/>
      <c r="IU46" s="35"/>
      <c r="IV46" s="35"/>
      <c r="IW46" s="35"/>
      <c r="IX46" s="35"/>
      <c r="IY46" s="35"/>
      <c r="IZ46" s="35"/>
      <c r="JA46" s="35"/>
      <c r="JB46" s="35"/>
      <c r="JC46" s="35"/>
      <c r="JD46" s="35"/>
      <c r="JE46" s="35"/>
      <c r="JF46" s="35"/>
      <c r="JG46" s="35"/>
      <c r="JH46" s="35"/>
      <c r="JI46" s="35"/>
      <c r="JJ46" s="35"/>
      <c r="JK46" s="35"/>
      <c r="JL46" s="35"/>
      <c r="JM46" s="35"/>
      <c r="JN46" s="35"/>
      <c r="JO46" s="35"/>
      <c r="JP46" s="35"/>
      <c r="JQ46" s="35"/>
      <c r="JR46" s="35"/>
      <c r="JS46" s="35"/>
      <c r="JT46" s="35"/>
      <c r="JU46" s="35"/>
      <c r="JV46" s="35"/>
      <c r="JW46" s="35"/>
      <c r="JX46" s="35"/>
      <c r="JY46" s="35"/>
      <c r="JZ46" s="35"/>
      <c r="KA46" s="35"/>
      <c r="KB46" s="35"/>
      <c r="KC46" s="35"/>
      <c r="KD46" s="35"/>
      <c r="KE46" s="35"/>
      <c r="KF46" s="35"/>
      <c r="KG46" s="35"/>
      <c r="KH46" s="35"/>
      <c r="KI46" s="35"/>
      <c r="KJ46" s="35"/>
      <c r="KK46" s="35"/>
      <c r="KL46" s="35"/>
      <c r="KM46" s="35"/>
      <c r="KN46" s="35"/>
      <c r="KO46" s="35"/>
      <c r="KP46" s="35"/>
      <c r="KQ46" s="35"/>
      <c r="KR46" s="35"/>
      <c r="KS46" s="35"/>
      <c r="KT46" s="35"/>
      <c r="KU46" s="35"/>
      <c r="KV46" s="35"/>
      <c r="KW46" s="35"/>
      <c r="KX46" s="35"/>
      <c r="KY46" s="35"/>
      <c r="KZ46" s="35"/>
      <c r="LA46" s="35"/>
      <c r="LB46" s="35"/>
      <c r="LC46" s="35"/>
      <c r="LD46" s="35"/>
      <c r="LE46" s="35"/>
      <c r="LF46" s="35"/>
      <c r="LG46" s="35"/>
      <c r="LH46" s="35"/>
      <c r="LI46" s="35"/>
      <c r="LJ46" s="35"/>
      <c r="LK46" s="35"/>
      <c r="LL46" s="35"/>
      <c r="LM46" s="35"/>
      <c r="LN46" s="35"/>
      <c r="LO46" s="35"/>
      <c r="LP46" s="35"/>
      <c r="LQ46" s="35"/>
      <c r="LR46" s="35"/>
      <c r="LS46" s="35"/>
      <c r="LT46" s="35"/>
      <c r="LU46" s="35"/>
      <c r="LV46" s="35"/>
      <c r="LW46" s="35"/>
      <c r="LX46" s="35"/>
      <c r="LY46" s="35"/>
      <c r="LZ46" s="35"/>
      <c r="MA46" s="35"/>
      <c r="MB46" s="35"/>
      <c r="MC46" s="35"/>
      <c r="MD46" s="35"/>
      <c r="ME46" s="35"/>
      <c r="MF46" s="35"/>
      <c r="MG46" s="35"/>
    </row>
    <row r="47" spans="2:345" s="67" customFormat="1" ht="36" hidden="1" customHeight="1" x14ac:dyDescent="0.25">
      <c r="B47" s="28">
        <v>4153</v>
      </c>
      <c r="C47" s="24" t="s">
        <v>40</v>
      </c>
      <c r="D47" s="19" t="s">
        <v>4364</v>
      </c>
      <c r="E47" s="18">
        <v>42416</v>
      </c>
      <c r="F47" s="27">
        <f t="shared" ca="1" si="0"/>
        <v>2057</v>
      </c>
      <c r="G47" s="69">
        <v>42418</v>
      </c>
      <c r="H47" s="68" t="s">
        <v>4365</v>
      </c>
      <c r="I47" s="25"/>
      <c r="J47" s="25">
        <v>42419</v>
      </c>
      <c r="K47" s="68" t="s">
        <v>2532</v>
      </c>
      <c r="L47" s="68">
        <v>42419</v>
      </c>
      <c r="M47" s="68"/>
      <c r="N47" s="22"/>
      <c r="O47" s="26"/>
      <c r="P47" s="35"/>
      <c r="Q47" s="35"/>
      <c r="R47" s="20"/>
      <c r="S47" s="35"/>
      <c r="T47" s="35"/>
      <c r="U47" s="35"/>
      <c r="V47" s="35"/>
      <c r="W47" s="35"/>
      <c r="X47" s="35"/>
      <c r="Y47" s="35"/>
      <c r="Z47" s="35"/>
      <c r="AA47" s="35"/>
      <c r="AB47" s="35"/>
      <c r="AC47" s="35"/>
      <c r="AD47" s="35"/>
      <c r="AE47" s="35"/>
      <c r="AF47" s="35"/>
      <c r="AG47" s="35"/>
      <c r="AH47" s="35"/>
      <c r="AI47" s="35"/>
      <c r="AJ47" s="35"/>
      <c r="AK47" s="35"/>
      <c r="AL47" s="35"/>
      <c r="AM47" s="35"/>
      <c r="AN47" s="35"/>
      <c r="AO47" s="35"/>
      <c r="AP47" s="35"/>
      <c r="AQ47" s="35"/>
      <c r="AR47" s="35"/>
      <c r="AS47" s="35"/>
      <c r="AT47" s="35"/>
      <c r="AU47" s="35"/>
      <c r="AV47" s="35"/>
      <c r="AW47" s="35"/>
      <c r="AX47" s="35"/>
      <c r="AY47" s="35"/>
      <c r="AZ47" s="35"/>
      <c r="BA47" s="35"/>
      <c r="BB47" s="35"/>
      <c r="BC47" s="35"/>
      <c r="BD47" s="35"/>
      <c r="BE47" s="35"/>
      <c r="BF47" s="35"/>
      <c r="BG47" s="35"/>
      <c r="BH47" s="35"/>
      <c r="BI47" s="35"/>
      <c r="BJ47" s="35"/>
      <c r="BK47" s="35"/>
      <c r="BL47" s="35"/>
      <c r="BM47" s="35"/>
      <c r="BN47" s="35"/>
      <c r="BO47" s="35"/>
      <c r="BP47" s="35"/>
      <c r="BQ47" s="35"/>
      <c r="BR47" s="35"/>
      <c r="BS47" s="35"/>
      <c r="BT47" s="35"/>
      <c r="BU47" s="35"/>
      <c r="BV47" s="35"/>
      <c r="BW47" s="35"/>
      <c r="BX47" s="35"/>
      <c r="BY47" s="35"/>
      <c r="BZ47" s="35"/>
      <c r="CA47" s="35"/>
      <c r="CB47" s="35"/>
      <c r="CC47" s="35"/>
      <c r="CD47" s="35"/>
      <c r="CE47" s="35"/>
      <c r="CF47" s="35"/>
      <c r="CG47" s="35"/>
      <c r="CH47" s="35"/>
      <c r="CI47" s="35"/>
      <c r="CJ47" s="35"/>
      <c r="CK47" s="35"/>
      <c r="CL47" s="35"/>
      <c r="CM47" s="35"/>
      <c r="CN47" s="35"/>
      <c r="CO47" s="35"/>
      <c r="CP47" s="35"/>
      <c r="CQ47" s="35"/>
      <c r="CR47" s="35"/>
      <c r="CS47" s="35"/>
      <c r="CT47" s="35"/>
      <c r="CU47" s="35"/>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c r="DV47" s="35"/>
      <c r="DW47" s="35"/>
      <c r="DX47" s="35"/>
      <c r="DY47" s="35"/>
      <c r="DZ47" s="35"/>
      <c r="EA47" s="35"/>
      <c r="EB47" s="35"/>
      <c r="EC47" s="35"/>
      <c r="ED47" s="35"/>
      <c r="EE47" s="35"/>
      <c r="EF47" s="35"/>
      <c r="EG47" s="35"/>
      <c r="EH47" s="35"/>
      <c r="EI47" s="35"/>
      <c r="EJ47" s="35"/>
      <c r="EK47" s="35"/>
      <c r="EL47" s="35"/>
      <c r="EM47" s="35"/>
      <c r="EN47" s="35"/>
      <c r="EO47" s="35"/>
      <c r="EP47" s="35"/>
      <c r="EQ47" s="35"/>
      <c r="ER47" s="35"/>
      <c r="ES47" s="35"/>
      <c r="ET47" s="35"/>
      <c r="EU47" s="35"/>
      <c r="EV47" s="35"/>
      <c r="EW47" s="35"/>
      <c r="EX47" s="35"/>
      <c r="EY47" s="35"/>
      <c r="EZ47" s="35"/>
      <c r="FA47" s="35"/>
      <c r="FB47" s="35"/>
      <c r="FC47" s="35"/>
      <c r="FD47" s="35"/>
      <c r="FE47" s="35"/>
      <c r="FF47" s="35"/>
      <c r="FG47" s="35"/>
      <c r="FH47" s="35"/>
      <c r="FI47" s="35"/>
      <c r="FJ47" s="35"/>
      <c r="FK47" s="35"/>
      <c r="FL47" s="35"/>
      <c r="FM47" s="35"/>
      <c r="FN47" s="35"/>
      <c r="FO47" s="35"/>
      <c r="FP47" s="35"/>
      <c r="FQ47" s="35"/>
      <c r="FR47" s="35"/>
      <c r="FS47" s="35"/>
      <c r="FT47" s="35"/>
      <c r="FU47" s="35"/>
      <c r="FV47" s="35"/>
      <c r="FW47" s="35"/>
      <c r="FX47" s="35"/>
      <c r="FY47" s="35"/>
      <c r="FZ47" s="35"/>
      <c r="GA47" s="35"/>
      <c r="GB47" s="35"/>
      <c r="GC47" s="35"/>
      <c r="GD47" s="35"/>
      <c r="GE47" s="35"/>
      <c r="GF47" s="35"/>
      <c r="GG47" s="35"/>
      <c r="GH47" s="35"/>
      <c r="GI47" s="35"/>
      <c r="GJ47" s="35"/>
      <c r="GK47" s="35"/>
      <c r="GL47" s="35"/>
      <c r="GM47" s="35"/>
      <c r="GN47" s="35"/>
      <c r="GO47" s="35"/>
      <c r="GP47" s="35"/>
      <c r="GQ47" s="35"/>
      <c r="GR47" s="35"/>
      <c r="GS47" s="35"/>
      <c r="GT47" s="35"/>
      <c r="GU47" s="35"/>
      <c r="GV47" s="35"/>
      <c r="GW47" s="35"/>
      <c r="GX47" s="35"/>
      <c r="GY47" s="35"/>
      <c r="GZ47" s="35"/>
      <c r="HA47" s="35"/>
      <c r="HB47" s="35"/>
      <c r="HC47" s="35"/>
      <c r="HD47" s="35"/>
      <c r="HE47" s="35"/>
      <c r="HF47" s="35"/>
      <c r="HG47" s="35"/>
      <c r="HH47" s="35"/>
      <c r="HI47" s="35"/>
      <c r="HJ47" s="35"/>
      <c r="HK47" s="35"/>
      <c r="HL47" s="35"/>
      <c r="HM47" s="35"/>
      <c r="HN47" s="35"/>
      <c r="HO47" s="35"/>
      <c r="HP47" s="35"/>
      <c r="HQ47" s="35"/>
      <c r="HR47" s="35"/>
      <c r="HS47" s="35"/>
      <c r="HT47" s="35"/>
      <c r="HU47" s="35"/>
      <c r="HV47" s="35"/>
      <c r="HW47" s="35"/>
      <c r="HX47" s="35"/>
      <c r="HY47" s="35"/>
      <c r="HZ47" s="35"/>
      <c r="IA47" s="35"/>
      <c r="IB47" s="35"/>
      <c r="IC47" s="35"/>
      <c r="ID47" s="35"/>
      <c r="IE47" s="35"/>
      <c r="IF47" s="35"/>
      <c r="IG47" s="35"/>
      <c r="IH47" s="35"/>
      <c r="II47" s="35"/>
      <c r="IJ47" s="35"/>
      <c r="IK47" s="35"/>
      <c r="IL47" s="35"/>
      <c r="IM47" s="35"/>
      <c r="IN47" s="35"/>
      <c r="IO47" s="35"/>
      <c r="IP47" s="35"/>
      <c r="IQ47" s="35"/>
      <c r="IR47" s="35"/>
      <c r="IS47" s="35"/>
      <c r="IT47" s="35"/>
      <c r="IU47" s="35"/>
      <c r="IV47" s="35"/>
      <c r="IW47" s="35"/>
      <c r="IX47" s="35"/>
      <c r="IY47" s="35"/>
      <c r="IZ47" s="35"/>
      <c r="JA47" s="35"/>
      <c r="JB47" s="35"/>
      <c r="JC47" s="35"/>
      <c r="JD47" s="35"/>
      <c r="JE47" s="35"/>
      <c r="JF47" s="35"/>
      <c r="JG47" s="35"/>
      <c r="JH47" s="35"/>
      <c r="JI47" s="35"/>
      <c r="JJ47" s="35"/>
      <c r="JK47" s="35"/>
      <c r="JL47" s="35"/>
      <c r="JM47" s="35"/>
      <c r="JN47" s="35"/>
      <c r="JO47" s="35"/>
      <c r="JP47" s="35"/>
      <c r="JQ47" s="35"/>
      <c r="JR47" s="35"/>
      <c r="JS47" s="35"/>
      <c r="JT47" s="35"/>
      <c r="JU47" s="35"/>
      <c r="JV47" s="35"/>
      <c r="JW47" s="35"/>
      <c r="JX47" s="35"/>
      <c r="JY47" s="35"/>
      <c r="JZ47" s="35"/>
      <c r="KA47" s="35"/>
      <c r="KB47" s="35"/>
      <c r="KC47" s="35"/>
      <c r="KD47" s="35"/>
      <c r="KE47" s="35"/>
      <c r="KF47" s="35"/>
      <c r="KG47" s="35"/>
      <c r="KH47" s="35"/>
      <c r="KI47" s="35"/>
      <c r="KJ47" s="35"/>
      <c r="KK47" s="35"/>
      <c r="KL47" s="35"/>
      <c r="KM47" s="35"/>
      <c r="KN47" s="35"/>
      <c r="KO47" s="35"/>
      <c r="KP47" s="35"/>
      <c r="KQ47" s="35"/>
      <c r="KR47" s="35"/>
      <c r="KS47" s="35"/>
      <c r="KT47" s="35"/>
      <c r="KU47" s="35"/>
      <c r="KV47" s="35"/>
      <c r="KW47" s="35"/>
      <c r="KX47" s="35"/>
      <c r="KY47" s="35"/>
      <c r="KZ47" s="35"/>
      <c r="LA47" s="35"/>
      <c r="LB47" s="35"/>
      <c r="LC47" s="35"/>
      <c r="LD47" s="35"/>
      <c r="LE47" s="35"/>
      <c r="LF47" s="35"/>
      <c r="LG47" s="35"/>
      <c r="LH47" s="35"/>
      <c r="LI47" s="35"/>
      <c r="LJ47" s="35"/>
      <c r="LK47" s="35"/>
      <c r="LL47" s="35"/>
      <c r="LM47" s="35"/>
      <c r="LN47" s="35"/>
      <c r="LO47" s="35"/>
      <c r="LP47" s="35"/>
      <c r="LQ47" s="35"/>
      <c r="LR47" s="35"/>
      <c r="LS47" s="35"/>
      <c r="LT47" s="35"/>
      <c r="LU47" s="35"/>
      <c r="LV47" s="35"/>
      <c r="LW47" s="35"/>
      <c r="LX47" s="35"/>
      <c r="LY47" s="35"/>
      <c r="LZ47" s="35"/>
      <c r="MA47" s="35"/>
      <c r="MB47" s="35"/>
      <c r="MC47" s="35"/>
      <c r="MD47" s="35"/>
      <c r="ME47" s="35"/>
      <c r="MF47" s="35"/>
      <c r="MG47" s="35"/>
    </row>
    <row r="48" spans="2:345" s="67" customFormat="1" ht="36" hidden="1" customHeight="1" x14ac:dyDescent="0.25">
      <c r="B48" s="28">
        <v>4153</v>
      </c>
      <c r="C48" s="24" t="s">
        <v>19</v>
      </c>
      <c r="D48" s="19" t="s">
        <v>4366</v>
      </c>
      <c r="E48" s="18">
        <v>42418</v>
      </c>
      <c r="F48" s="27">
        <f t="shared" ref="F48:F79" ca="1" si="1">IF(E48&lt;&gt;"",TODAY()-E48,"")</f>
        <v>2055</v>
      </c>
      <c r="G48" s="69">
        <v>42418</v>
      </c>
      <c r="H48" s="68" t="s">
        <v>4365</v>
      </c>
      <c r="I48" s="25"/>
      <c r="J48" s="25">
        <v>42419</v>
      </c>
      <c r="K48" s="68" t="s">
        <v>2532</v>
      </c>
      <c r="L48" s="68">
        <v>42419</v>
      </c>
      <c r="M48" s="68"/>
      <c r="N48" s="22"/>
      <c r="O48" s="26"/>
      <c r="P48" s="35"/>
      <c r="Q48" s="35"/>
      <c r="R48" s="20"/>
      <c r="S48" s="35"/>
      <c r="T48" s="35"/>
      <c r="U48" s="35"/>
      <c r="V48" s="35"/>
      <c r="W48" s="35"/>
      <c r="X48" s="35"/>
      <c r="Y48" s="35"/>
      <c r="Z48" s="35"/>
      <c r="AA48" s="35"/>
      <c r="AB48" s="35"/>
      <c r="AC48" s="35"/>
      <c r="AD48" s="35"/>
      <c r="AE48" s="35"/>
      <c r="AF48" s="35"/>
      <c r="AG48" s="35"/>
      <c r="AH48" s="35"/>
      <c r="AI48" s="35"/>
      <c r="AJ48" s="35"/>
      <c r="AK48" s="35"/>
      <c r="AL48" s="35"/>
      <c r="AM48" s="35"/>
      <c r="AN48" s="35"/>
      <c r="AO48" s="35"/>
      <c r="AP48" s="35"/>
      <c r="AQ48" s="35"/>
      <c r="AR48" s="35"/>
      <c r="AS48" s="35"/>
      <c r="AT48" s="35"/>
      <c r="AU48" s="35"/>
      <c r="AV48" s="35"/>
      <c r="AW48" s="35"/>
      <c r="AX48" s="35"/>
      <c r="AY48" s="35"/>
      <c r="AZ48" s="35"/>
      <c r="BA48" s="35"/>
      <c r="BB48" s="35"/>
      <c r="BC48" s="35"/>
      <c r="BD48" s="35"/>
      <c r="BE48" s="35"/>
      <c r="BF48" s="35"/>
      <c r="BG48" s="35"/>
      <c r="BH48" s="35"/>
      <c r="BI48" s="35"/>
      <c r="BJ48" s="35"/>
      <c r="BK48" s="35"/>
      <c r="BL48" s="35"/>
      <c r="BM48" s="35"/>
      <c r="BN48" s="35"/>
      <c r="BO48" s="35"/>
      <c r="BP48" s="35"/>
      <c r="BQ48" s="35"/>
      <c r="BR48" s="35"/>
      <c r="BS48" s="35"/>
      <c r="BT48" s="35"/>
      <c r="BU48" s="35"/>
      <c r="BV48" s="35"/>
      <c r="BW48" s="35"/>
      <c r="BX48" s="35"/>
      <c r="BY48" s="35"/>
      <c r="BZ48" s="35"/>
      <c r="CA48" s="35"/>
      <c r="CB48" s="35"/>
      <c r="CC48" s="35"/>
      <c r="CD48" s="35"/>
      <c r="CE48" s="35"/>
      <c r="CF48" s="35"/>
      <c r="CG48" s="35"/>
      <c r="CH48" s="35"/>
      <c r="CI48" s="35"/>
      <c r="CJ48" s="35"/>
      <c r="CK48" s="35"/>
      <c r="CL48" s="35"/>
      <c r="CM48" s="35"/>
      <c r="CN48" s="35"/>
      <c r="CO48" s="35"/>
      <c r="CP48" s="35"/>
      <c r="CQ48" s="35"/>
      <c r="CR48" s="35"/>
      <c r="CS48" s="35"/>
      <c r="CT48" s="35"/>
      <c r="CU48" s="35"/>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c r="DV48" s="35"/>
      <c r="DW48" s="35"/>
      <c r="DX48" s="35"/>
      <c r="DY48" s="35"/>
      <c r="DZ48" s="35"/>
      <c r="EA48" s="35"/>
      <c r="EB48" s="35"/>
      <c r="EC48" s="35"/>
      <c r="ED48" s="35"/>
      <c r="EE48" s="35"/>
      <c r="EF48" s="35"/>
      <c r="EG48" s="35"/>
      <c r="EH48" s="35"/>
      <c r="EI48" s="35"/>
      <c r="EJ48" s="35"/>
      <c r="EK48" s="35"/>
      <c r="EL48" s="35"/>
      <c r="EM48" s="35"/>
      <c r="EN48" s="35"/>
      <c r="EO48" s="35"/>
      <c r="EP48" s="35"/>
      <c r="EQ48" s="35"/>
      <c r="ER48" s="35"/>
      <c r="ES48" s="35"/>
      <c r="ET48" s="35"/>
      <c r="EU48" s="35"/>
      <c r="EV48" s="35"/>
      <c r="EW48" s="35"/>
      <c r="EX48" s="35"/>
      <c r="EY48" s="35"/>
      <c r="EZ48" s="35"/>
      <c r="FA48" s="35"/>
      <c r="FB48" s="35"/>
      <c r="FC48" s="35"/>
      <c r="FD48" s="35"/>
      <c r="FE48" s="35"/>
      <c r="FF48" s="35"/>
      <c r="FG48" s="35"/>
      <c r="FH48" s="35"/>
      <c r="FI48" s="35"/>
      <c r="FJ48" s="35"/>
      <c r="FK48" s="35"/>
      <c r="FL48" s="35"/>
      <c r="FM48" s="35"/>
      <c r="FN48" s="35"/>
      <c r="FO48" s="35"/>
      <c r="FP48" s="35"/>
      <c r="FQ48" s="35"/>
      <c r="FR48" s="35"/>
      <c r="FS48" s="35"/>
      <c r="FT48" s="35"/>
      <c r="FU48" s="35"/>
      <c r="FV48" s="35"/>
      <c r="FW48" s="35"/>
      <c r="FX48" s="35"/>
      <c r="FY48" s="35"/>
      <c r="FZ48" s="35"/>
      <c r="GA48" s="35"/>
      <c r="GB48" s="35"/>
      <c r="GC48" s="35"/>
      <c r="GD48" s="35"/>
      <c r="GE48" s="35"/>
      <c r="GF48" s="35"/>
      <c r="GG48" s="35"/>
      <c r="GH48" s="35"/>
      <c r="GI48" s="35"/>
      <c r="GJ48" s="35"/>
      <c r="GK48" s="35"/>
      <c r="GL48" s="35"/>
      <c r="GM48" s="35"/>
      <c r="GN48" s="35"/>
      <c r="GO48" s="35"/>
      <c r="GP48" s="35"/>
      <c r="GQ48" s="35"/>
      <c r="GR48" s="35"/>
      <c r="GS48" s="35"/>
      <c r="GT48" s="35"/>
      <c r="GU48" s="35"/>
      <c r="GV48" s="35"/>
      <c r="GW48" s="35"/>
      <c r="GX48" s="35"/>
      <c r="GY48" s="35"/>
      <c r="GZ48" s="35"/>
      <c r="HA48" s="35"/>
      <c r="HB48" s="35"/>
      <c r="HC48" s="35"/>
      <c r="HD48" s="35"/>
      <c r="HE48" s="35"/>
      <c r="HF48" s="35"/>
      <c r="HG48" s="35"/>
      <c r="HH48" s="35"/>
      <c r="HI48" s="35"/>
      <c r="HJ48" s="35"/>
      <c r="HK48" s="35"/>
      <c r="HL48" s="35"/>
      <c r="HM48" s="35"/>
      <c r="HN48" s="35"/>
      <c r="HO48" s="35"/>
      <c r="HP48" s="35"/>
      <c r="HQ48" s="35"/>
      <c r="HR48" s="35"/>
      <c r="HS48" s="35"/>
      <c r="HT48" s="35"/>
      <c r="HU48" s="35"/>
      <c r="HV48" s="35"/>
      <c r="HW48" s="35"/>
      <c r="HX48" s="35"/>
      <c r="HY48" s="35"/>
      <c r="HZ48" s="35"/>
      <c r="IA48" s="35"/>
      <c r="IB48" s="35"/>
      <c r="IC48" s="35"/>
      <c r="ID48" s="35"/>
      <c r="IE48" s="35"/>
      <c r="IF48" s="35"/>
      <c r="IG48" s="35"/>
      <c r="IH48" s="35"/>
      <c r="II48" s="35"/>
      <c r="IJ48" s="35"/>
      <c r="IK48" s="35"/>
      <c r="IL48" s="35"/>
      <c r="IM48" s="35"/>
      <c r="IN48" s="35"/>
      <c r="IO48" s="35"/>
      <c r="IP48" s="35"/>
      <c r="IQ48" s="35"/>
      <c r="IR48" s="35"/>
      <c r="IS48" s="35"/>
      <c r="IT48" s="35"/>
      <c r="IU48" s="35"/>
      <c r="IV48" s="35"/>
      <c r="IW48" s="35"/>
      <c r="IX48" s="35"/>
      <c r="IY48" s="35"/>
      <c r="IZ48" s="35"/>
      <c r="JA48" s="35"/>
      <c r="JB48" s="35"/>
      <c r="JC48" s="35"/>
      <c r="JD48" s="35"/>
      <c r="JE48" s="35"/>
      <c r="JF48" s="35"/>
      <c r="JG48" s="35"/>
      <c r="JH48" s="35"/>
      <c r="JI48" s="35"/>
      <c r="JJ48" s="35"/>
      <c r="JK48" s="35"/>
      <c r="JL48" s="35"/>
      <c r="JM48" s="35"/>
      <c r="JN48" s="35"/>
      <c r="JO48" s="35"/>
      <c r="JP48" s="35"/>
      <c r="JQ48" s="35"/>
      <c r="JR48" s="35"/>
      <c r="JS48" s="35"/>
      <c r="JT48" s="35"/>
      <c r="JU48" s="35"/>
      <c r="JV48" s="35"/>
      <c r="JW48" s="35"/>
      <c r="JX48" s="35"/>
      <c r="JY48" s="35"/>
      <c r="JZ48" s="35"/>
      <c r="KA48" s="35"/>
      <c r="KB48" s="35"/>
      <c r="KC48" s="35"/>
      <c r="KD48" s="35"/>
      <c r="KE48" s="35"/>
      <c r="KF48" s="35"/>
      <c r="KG48" s="35"/>
      <c r="KH48" s="35"/>
      <c r="KI48" s="35"/>
      <c r="KJ48" s="35"/>
      <c r="KK48" s="35"/>
      <c r="KL48" s="35"/>
      <c r="KM48" s="35"/>
      <c r="KN48" s="35"/>
      <c r="KO48" s="35"/>
      <c r="KP48" s="35"/>
      <c r="KQ48" s="35"/>
      <c r="KR48" s="35"/>
      <c r="KS48" s="35"/>
      <c r="KT48" s="35"/>
      <c r="KU48" s="35"/>
      <c r="KV48" s="35"/>
      <c r="KW48" s="35"/>
      <c r="KX48" s="35"/>
      <c r="KY48" s="35"/>
      <c r="KZ48" s="35"/>
      <c r="LA48" s="35"/>
      <c r="LB48" s="35"/>
      <c r="LC48" s="35"/>
      <c r="LD48" s="35"/>
      <c r="LE48" s="35"/>
      <c r="LF48" s="35"/>
      <c r="LG48" s="35"/>
      <c r="LH48" s="35"/>
      <c r="LI48" s="35"/>
      <c r="LJ48" s="35"/>
      <c r="LK48" s="35"/>
      <c r="LL48" s="35"/>
      <c r="LM48" s="35"/>
      <c r="LN48" s="35"/>
      <c r="LO48" s="35"/>
      <c r="LP48" s="35"/>
      <c r="LQ48" s="35"/>
      <c r="LR48" s="35"/>
      <c r="LS48" s="35"/>
      <c r="LT48" s="35"/>
      <c r="LU48" s="35"/>
      <c r="LV48" s="35"/>
      <c r="LW48" s="35"/>
      <c r="LX48" s="35"/>
      <c r="LY48" s="35"/>
      <c r="LZ48" s="35"/>
      <c r="MA48" s="35"/>
      <c r="MB48" s="35"/>
      <c r="MC48" s="35"/>
      <c r="MD48" s="35"/>
      <c r="ME48" s="35"/>
      <c r="MF48" s="35"/>
      <c r="MG48" s="35"/>
    </row>
    <row r="49" spans="2:345" s="67" customFormat="1" ht="36" hidden="1" customHeight="1" x14ac:dyDescent="0.25">
      <c r="B49" s="28">
        <v>4142</v>
      </c>
      <c r="C49" s="24" t="s">
        <v>10</v>
      </c>
      <c r="D49" s="19" t="s">
        <v>4308</v>
      </c>
      <c r="E49" s="18">
        <v>42423</v>
      </c>
      <c r="F49" s="27">
        <f t="shared" ca="1" si="1"/>
        <v>2050</v>
      </c>
      <c r="G49" s="69" t="s">
        <v>4309</v>
      </c>
      <c r="H49" s="68"/>
      <c r="I49" s="25"/>
      <c r="J49" s="25"/>
      <c r="K49" s="68"/>
      <c r="L49" s="68">
        <v>42429</v>
      </c>
      <c r="M49" s="68"/>
      <c r="N49" s="22" t="s">
        <v>4310</v>
      </c>
      <c r="O49" s="26"/>
      <c r="P49" s="35"/>
      <c r="Q49" s="35"/>
      <c r="R49" s="20"/>
      <c r="S49" s="35"/>
      <c r="T49" s="35"/>
      <c r="U49" s="35"/>
      <c r="V49" s="35"/>
      <c r="W49" s="35"/>
      <c r="X49" s="35"/>
      <c r="Y49" s="35"/>
      <c r="Z49" s="35"/>
      <c r="AA49" s="35"/>
      <c r="AB49" s="35"/>
      <c r="AC49" s="35"/>
      <c r="AD49" s="35"/>
      <c r="AE49" s="35"/>
      <c r="AF49" s="35"/>
      <c r="AG49" s="35"/>
      <c r="AH49" s="35"/>
      <c r="AI49" s="35"/>
      <c r="AJ49" s="35"/>
      <c r="AK49" s="35"/>
      <c r="AL49" s="35"/>
      <c r="AM49" s="35"/>
      <c r="AN49" s="35"/>
      <c r="AO49" s="35"/>
      <c r="AP49" s="35"/>
      <c r="AQ49" s="35"/>
      <c r="AR49" s="35"/>
      <c r="AS49" s="35"/>
      <c r="AT49" s="35"/>
      <c r="AU49" s="35"/>
      <c r="AV49" s="35"/>
      <c r="AW49" s="35"/>
      <c r="AX49" s="35"/>
      <c r="AY49" s="35"/>
      <c r="AZ49" s="35"/>
      <c r="BA49" s="35"/>
      <c r="BB49" s="35"/>
      <c r="BC49" s="35"/>
      <c r="BD49" s="35"/>
      <c r="BE49" s="35"/>
      <c r="BF49" s="35"/>
      <c r="BG49" s="35"/>
      <c r="BH49" s="35"/>
      <c r="BI49" s="35"/>
      <c r="BJ49" s="35"/>
      <c r="BK49" s="35"/>
      <c r="BL49" s="35"/>
      <c r="BM49" s="35"/>
      <c r="BN49" s="35"/>
      <c r="BO49" s="35"/>
      <c r="BP49" s="35"/>
      <c r="BQ49" s="35"/>
      <c r="BR49" s="35"/>
      <c r="BS49" s="35"/>
      <c r="BT49" s="35"/>
      <c r="BU49" s="35"/>
      <c r="BV49" s="35"/>
      <c r="BW49" s="35"/>
      <c r="BX49" s="35"/>
      <c r="BY49" s="35"/>
      <c r="BZ49" s="35"/>
      <c r="CA49" s="35"/>
      <c r="CB49" s="35"/>
      <c r="CC49" s="35"/>
      <c r="CD49" s="35"/>
      <c r="CE49" s="35"/>
      <c r="CF49" s="35"/>
      <c r="CG49" s="35"/>
      <c r="CH49" s="35"/>
      <c r="CI49" s="35"/>
      <c r="CJ49" s="35"/>
      <c r="CK49" s="35"/>
      <c r="CL49" s="35"/>
      <c r="CM49" s="35"/>
      <c r="CN49" s="35"/>
      <c r="CO49" s="35"/>
      <c r="CP49" s="35"/>
      <c r="CQ49" s="35"/>
      <c r="CR49" s="35"/>
      <c r="CS49" s="35"/>
      <c r="CT49" s="35"/>
      <c r="CU49" s="35"/>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c r="DV49" s="35"/>
      <c r="DW49" s="35"/>
      <c r="DX49" s="35"/>
      <c r="DY49" s="35"/>
      <c r="DZ49" s="35"/>
      <c r="EA49" s="35"/>
      <c r="EB49" s="35"/>
      <c r="EC49" s="35"/>
      <c r="ED49" s="35"/>
      <c r="EE49" s="35"/>
      <c r="EF49" s="35"/>
      <c r="EG49" s="35"/>
      <c r="EH49" s="35"/>
      <c r="EI49" s="35"/>
      <c r="EJ49" s="35"/>
      <c r="EK49" s="35"/>
      <c r="EL49" s="35"/>
      <c r="EM49" s="35"/>
      <c r="EN49" s="35"/>
      <c r="EO49" s="35"/>
      <c r="EP49" s="35"/>
      <c r="EQ49" s="35"/>
      <c r="ER49" s="35"/>
      <c r="ES49" s="35"/>
      <c r="ET49" s="35"/>
      <c r="EU49" s="35"/>
      <c r="EV49" s="35"/>
      <c r="EW49" s="35"/>
      <c r="EX49" s="35"/>
      <c r="EY49" s="35"/>
      <c r="EZ49" s="35"/>
      <c r="FA49" s="35"/>
      <c r="FB49" s="35"/>
      <c r="FC49" s="35"/>
      <c r="FD49" s="35"/>
      <c r="FE49" s="35"/>
      <c r="FF49" s="35"/>
      <c r="FG49" s="35"/>
      <c r="FH49" s="35"/>
      <c r="FI49" s="35"/>
      <c r="FJ49" s="35"/>
      <c r="FK49" s="35"/>
      <c r="FL49" s="35"/>
      <c r="FM49" s="35"/>
      <c r="FN49" s="35"/>
      <c r="FO49" s="35"/>
      <c r="FP49" s="35"/>
      <c r="FQ49" s="35"/>
      <c r="FR49" s="35"/>
      <c r="FS49" s="35"/>
      <c r="FT49" s="35"/>
      <c r="FU49" s="35"/>
      <c r="FV49" s="35"/>
      <c r="FW49" s="35"/>
      <c r="FX49" s="35"/>
      <c r="FY49" s="35"/>
      <c r="FZ49" s="35"/>
      <c r="GA49" s="35"/>
      <c r="GB49" s="35"/>
      <c r="GC49" s="35"/>
      <c r="GD49" s="35"/>
      <c r="GE49" s="35"/>
      <c r="GF49" s="35"/>
      <c r="GG49" s="35"/>
      <c r="GH49" s="35"/>
      <c r="GI49" s="35"/>
      <c r="GJ49" s="35"/>
      <c r="GK49" s="35"/>
      <c r="GL49" s="35"/>
      <c r="GM49" s="35"/>
      <c r="GN49" s="35"/>
      <c r="GO49" s="35"/>
      <c r="GP49" s="35"/>
      <c r="GQ49" s="35"/>
      <c r="GR49" s="35"/>
      <c r="GS49" s="35"/>
      <c r="GT49" s="35"/>
      <c r="GU49" s="35"/>
      <c r="GV49" s="35"/>
      <c r="GW49" s="35"/>
      <c r="GX49" s="35"/>
      <c r="GY49" s="35"/>
      <c r="GZ49" s="35"/>
      <c r="HA49" s="35"/>
      <c r="HB49" s="35"/>
      <c r="HC49" s="35"/>
      <c r="HD49" s="35"/>
      <c r="HE49" s="35"/>
      <c r="HF49" s="35"/>
      <c r="HG49" s="35"/>
      <c r="HH49" s="35"/>
      <c r="HI49" s="35"/>
      <c r="HJ49" s="35"/>
      <c r="HK49" s="35"/>
      <c r="HL49" s="35"/>
      <c r="HM49" s="35"/>
      <c r="HN49" s="35"/>
      <c r="HO49" s="35"/>
      <c r="HP49" s="35"/>
      <c r="HQ49" s="35"/>
      <c r="HR49" s="35"/>
      <c r="HS49" s="35"/>
      <c r="HT49" s="35"/>
      <c r="HU49" s="35"/>
      <c r="HV49" s="35"/>
      <c r="HW49" s="35"/>
      <c r="HX49" s="35"/>
      <c r="HY49" s="35"/>
      <c r="HZ49" s="35"/>
      <c r="IA49" s="35"/>
      <c r="IB49" s="35"/>
      <c r="IC49" s="35"/>
      <c r="ID49" s="35"/>
      <c r="IE49" s="35"/>
      <c r="IF49" s="35"/>
      <c r="IG49" s="35"/>
      <c r="IH49" s="35"/>
      <c r="II49" s="35"/>
      <c r="IJ49" s="35"/>
      <c r="IK49" s="35"/>
      <c r="IL49" s="35"/>
      <c r="IM49" s="35"/>
      <c r="IN49" s="35"/>
      <c r="IO49" s="35"/>
      <c r="IP49" s="35"/>
      <c r="IQ49" s="35"/>
      <c r="IR49" s="35"/>
      <c r="IS49" s="35"/>
      <c r="IT49" s="35"/>
      <c r="IU49" s="35"/>
      <c r="IV49" s="35"/>
      <c r="IW49" s="35"/>
      <c r="IX49" s="35"/>
      <c r="IY49" s="35"/>
      <c r="IZ49" s="35"/>
      <c r="JA49" s="35"/>
      <c r="JB49" s="35"/>
      <c r="JC49" s="35"/>
      <c r="JD49" s="35"/>
      <c r="JE49" s="35"/>
      <c r="JF49" s="35"/>
      <c r="JG49" s="35"/>
      <c r="JH49" s="35"/>
      <c r="JI49" s="35"/>
      <c r="JJ49" s="35"/>
      <c r="JK49" s="35"/>
      <c r="JL49" s="35"/>
      <c r="JM49" s="35"/>
      <c r="JN49" s="35"/>
      <c r="JO49" s="35"/>
      <c r="JP49" s="35"/>
      <c r="JQ49" s="35"/>
      <c r="JR49" s="35"/>
      <c r="JS49" s="35"/>
      <c r="JT49" s="35"/>
      <c r="JU49" s="35"/>
      <c r="JV49" s="35"/>
      <c r="JW49" s="35"/>
      <c r="JX49" s="35"/>
      <c r="JY49" s="35"/>
      <c r="JZ49" s="35"/>
      <c r="KA49" s="35"/>
      <c r="KB49" s="35"/>
      <c r="KC49" s="35"/>
      <c r="KD49" s="35"/>
      <c r="KE49" s="35"/>
      <c r="KF49" s="35"/>
      <c r="KG49" s="35"/>
      <c r="KH49" s="35"/>
      <c r="KI49" s="35"/>
      <c r="KJ49" s="35"/>
      <c r="KK49" s="35"/>
      <c r="KL49" s="35"/>
      <c r="KM49" s="35"/>
      <c r="KN49" s="35"/>
      <c r="KO49" s="35"/>
      <c r="KP49" s="35"/>
      <c r="KQ49" s="35"/>
      <c r="KR49" s="35"/>
      <c r="KS49" s="35"/>
      <c r="KT49" s="35"/>
      <c r="KU49" s="35"/>
      <c r="KV49" s="35"/>
      <c r="KW49" s="35"/>
      <c r="KX49" s="35"/>
      <c r="KY49" s="35"/>
      <c r="KZ49" s="35"/>
      <c r="LA49" s="35"/>
      <c r="LB49" s="35"/>
      <c r="LC49" s="35"/>
      <c r="LD49" s="35"/>
      <c r="LE49" s="35"/>
      <c r="LF49" s="35"/>
      <c r="LG49" s="35"/>
      <c r="LH49" s="35"/>
      <c r="LI49" s="35"/>
      <c r="LJ49" s="35"/>
      <c r="LK49" s="35"/>
      <c r="LL49" s="35"/>
      <c r="LM49" s="35"/>
      <c r="LN49" s="35"/>
      <c r="LO49" s="35"/>
      <c r="LP49" s="35"/>
      <c r="LQ49" s="35"/>
      <c r="LR49" s="35"/>
      <c r="LS49" s="35"/>
      <c r="LT49" s="35"/>
      <c r="LU49" s="35"/>
      <c r="LV49" s="35"/>
      <c r="LW49" s="35"/>
      <c r="LX49" s="35"/>
      <c r="LY49" s="35"/>
      <c r="LZ49" s="35"/>
      <c r="MA49" s="35"/>
      <c r="MB49" s="35"/>
      <c r="MC49" s="35"/>
      <c r="MD49" s="35"/>
      <c r="ME49" s="35"/>
      <c r="MF49" s="35"/>
      <c r="MG49" s="35"/>
    </row>
    <row r="50" spans="2:345" s="67" customFormat="1" ht="36" hidden="1" customHeight="1" x14ac:dyDescent="0.25">
      <c r="B50" s="28">
        <v>4153</v>
      </c>
      <c r="C50" s="24" t="s">
        <v>19</v>
      </c>
      <c r="D50" s="19" t="s">
        <v>4367</v>
      </c>
      <c r="E50" s="18">
        <v>42432</v>
      </c>
      <c r="F50" s="27">
        <f t="shared" ca="1" si="1"/>
        <v>2041</v>
      </c>
      <c r="G50" s="69" t="s">
        <v>4309</v>
      </c>
      <c r="H50" s="68"/>
      <c r="I50" s="25"/>
      <c r="J50" s="25" t="s">
        <v>4368</v>
      </c>
      <c r="K50" s="68" t="s">
        <v>4313</v>
      </c>
      <c r="L50" s="68">
        <v>42436</v>
      </c>
      <c r="M50" s="68"/>
      <c r="N50" s="22"/>
      <c r="O50" s="26" t="s">
        <v>4369</v>
      </c>
      <c r="P50" s="35"/>
      <c r="Q50" s="35"/>
      <c r="R50" s="20"/>
      <c r="S50" s="35"/>
      <c r="T50" s="35"/>
      <c r="U50" s="35"/>
      <c r="V50" s="35"/>
      <c r="W50" s="35"/>
      <c r="X50" s="35"/>
      <c r="Y50" s="35"/>
      <c r="Z50" s="35"/>
      <c r="AA50" s="35"/>
      <c r="AB50" s="35"/>
      <c r="AC50" s="35"/>
      <c r="AD50" s="35"/>
      <c r="AE50" s="35"/>
      <c r="AF50" s="35"/>
      <c r="AG50" s="35"/>
      <c r="AH50" s="35"/>
      <c r="AI50" s="35"/>
      <c r="AJ50" s="35"/>
      <c r="AK50" s="35"/>
      <c r="AL50" s="35"/>
      <c r="AM50" s="35"/>
      <c r="AN50" s="35"/>
      <c r="AO50" s="35"/>
      <c r="AP50" s="35"/>
      <c r="AQ50" s="35"/>
      <c r="AR50" s="35"/>
      <c r="AS50" s="35"/>
      <c r="AT50" s="35"/>
      <c r="AU50" s="35"/>
      <c r="AV50" s="35"/>
      <c r="AW50" s="35"/>
      <c r="AX50" s="35"/>
      <c r="AY50" s="35"/>
      <c r="AZ50" s="35"/>
      <c r="BA50" s="35"/>
      <c r="BB50" s="35"/>
      <c r="BC50" s="35"/>
      <c r="BD50" s="35"/>
      <c r="BE50" s="35"/>
      <c r="BF50" s="35"/>
      <c r="BG50" s="35"/>
      <c r="BH50" s="35"/>
      <c r="BI50" s="35"/>
      <c r="BJ50" s="35"/>
      <c r="BK50" s="35"/>
      <c r="BL50" s="35"/>
      <c r="BM50" s="35"/>
      <c r="BN50" s="35"/>
      <c r="BO50" s="35"/>
      <c r="BP50" s="35"/>
      <c r="BQ50" s="35"/>
      <c r="BR50" s="35"/>
      <c r="BS50" s="35"/>
      <c r="BT50" s="35"/>
      <c r="BU50" s="35"/>
      <c r="BV50" s="35"/>
      <c r="BW50" s="35"/>
      <c r="BX50" s="35"/>
      <c r="BY50" s="35"/>
      <c r="BZ50" s="35"/>
      <c r="CA50" s="35"/>
      <c r="CB50" s="35"/>
      <c r="CC50" s="35"/>
      <c r="CD50" s="35"/>
      <c r="CE50" s="35"/>
      <c r="CF50" s="35"/>
      <c r="CG50" s="35"/>
      <c r="CH50" s="35"/>
      <c r="CI50" s="35"/>
      <c r="CJ50" s="35"/>
      <c r="CK50" s="35"/>
      <c r="CL50" s="35"/>
      <c r="CM50" s="35"/>
      <c r="CN50" s="35"/>
      <c r="CO50" s="35"/>
      <c r="CP50" s="35"/>
      <c r="CQ50" s="35"/>
      <c r="CR50" s="35"/>
      <c r="CS50" s="35"/>
      <c r="CT50" s="35"/>
      <c r="CU50" s="35"/>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c r="DV50" s="35"/>
      <c r="DW50" s="35"/>
      <c r="DX50" s="35"/>
      <c r="DY50" s="35"/>
      <c r="DZ50" s="35"/>
      <c r="EA50" s="35"/>
      <c r="EB50" s="35"/>
      <c r="EC50" s="35"/>
      <c r="ED50" s="35"/>
      <c r="EE50" s="35"/>
      <c r="EF50" s="35"/>
      <c r="EG50" s="35"/>
      <c r="EH50" s="35"/>
      <c r="EI50" s="35"/>
      <c r="EJ50" s="35"/>
      <c r="EK50" s="35"/>
      <c r="EL50" s="35"/>
      <c r="EM50" s="35"/>
      <c r="EN50" s="35"/>
      <c r="EO50" s="35"/>
      <c r="EP50" s="35"/>
      <c r="EQ50" s="35"/>
      <c r="ER50" s="35"/>
      <c r="ES50" s="35"/>
      <c r="ET50" s="35"/>
      <c r="EU50" s="35"/>
      <c r="EV50" s="35"/>
      <c r="EW50" s="35"/>
      <c r="EX50" s="35"/>
      <c r="EY50" s="35"/>
      <c r="EZ50" s="35"/>
      <c r="FA50" s="35"/>
      <c r="FB50" s="35"/>
      <c r="FC50" s="35"/>
      <c r="FD50" s="35"/>
      <c r="FE50" s="35"/>
      <c r="FF50" s="35"/>
      <c r="FG50" s="35"/>
      <c r="FH50" s="35"/>
      <c r="FI50" s="35"/>
      <c r="FJ50" s="35"/>
      <c r="FK50" s="35"/>
      <c r="FL50" s="35"/>
      <c r="FM50" s="35"/>
      <c r="FN50" s="35"/>
      <c r="FO50" s="35"/>
      <c r="FP50" s="35"/>
      <c r="FQ50" s="35"/>
      <c r="FR50" s="35"/>
      <c r="FS50" s="35"/>
      <c r="FT50" s="35"/>
      <c r="FU50" s="35"/>
      <c r="FV50" s="35"/>
      <c r="FW50" s="35"/>
      <c r="FX50" s="35"/>
      <c r="FY50" s="35"/>
      <c r="FZ50" s="35"/>
      <c r="GA50" s="35"/>
      <c r="GB50" s="35"/>
      <c r="GC50" s="35"/>
      <c r="GD50" s="35"/>
      <c r="GE50" s="35"/>
      <c r="GF50" s="35"/>
      <c r="GG50" s="35"/>
      <c r="GH50" s="35"/>
      <c r="GI50" s="35"/>
      <c r="GJ50" s="35"/>
      <c r="GK50" s="35"/>
      <c r="GL50" s="35"/>
      <c r="GM50" s="35"/>
      <c r="GN50" s="35"/>
      <c r="GO50" s="35"/>
      <c r="GP50" s="35"/>
      <c r="GQ50" s="35"/>
      <c r="GR50" s="35"/>
      <c r="GS50" s="35"/>
      <c r="GT50" s="35"/>
      <c r="GU50" s="35"/>
      <c r="GV50" s="35"/>
      <c r="GW50" s="35"/>
      <c r="GX50" s="35"/>
      <c r="GY50" s="35"/>
      <c r="GZ50" s="35"/>
      <c r="HA50" s="35"/>
      <c r="HB50" s="35"/>
      <c r="HC50" s="35"/>
      <c r="HD50" s="35"/>
      <c r="HE50" s="35"/>
      <c r="HF50" s="35"/>
      <c r="HG50" s="35"/>
      <c r="HH50" s="35"/>
      <c r="HI50" s="35"/>
      <c r="HJ50" s="35"/>
      <c r="HK50" s="35"/>
      <c r="HL50" s="35"/>
      <c r="HM50" s="35"/>
      <c r="HN50" s="35"/>
      <c r="HO50" s="35"/>
      <c r="HP50" s="35"/>
      <c r="HQ50" s="35"/>
      <c r="HR50" s="35"/>
      <c r="HS50" s="35"/>
      <c r="HT50" s="35"/>
      <c r="HU50" s="35"/>
      <c r="HV50" s="35"/>
      <c r="HW50" s="35"/>
      <c r="HX50" s="35"/>
      <c r="HY50" s="35"/>
      <c r="HZ50" s="35"/>
      <c r="IA50" s="35"/>
      <c r="IB50" s="35"/>
      <c r="IC50" s="35"/>
      <c r="ID50" s="35"/>
      <c r="IE50" s="35"/>
      <c r="IF50" s="35"/>
      <c r="IG50" s="35"/>
      <c r="IH50" s="35"/>
      <c r="II50" s="35"/>
      <c r="IJ50" s="35"/>
      <c r="IK50" s="35"/>
      <c r="IL50" s="35"/>
      <c r="IM50" s="35"/>
      <c r="IN50" s="35"/>
      <c r="IO50" s="35"/>
      <c r="IP50" s="35"/>
      <c r="IQ50" s="35"/>
      <c r="IR50" s="35"/>
      <c r="IS50" s="35"/>
      <c r="IT50" s="35"/>
      <c r="IU50" s="35"/>
      <c r="IV50" s="35"/>
      <c r="IW50" s="35"/>
      <c r="IX50" s="35"/>
      <c r="IY50" s="35"/>
      <c r="IZ50" s="35"/>
      <c r="JA50" s="35"/>
      <c r="JB50" s="35"/>
      <c r="JC50" s="35"/>
      <c r="JD50" s="35"/>
      <c r="JE50" s="35"/>
      <c r="JF50" s="35"/>
      <c r="JG50" s="35"/>
      <c r="JH50" s="35"/>
      <c r="JI50" s="35"/>
      <c r="JJ50" s="35"/>
      <c r="JK50" s="35"/>
      <c r="JL50" s="35"/>
      <c r="JM50" s="35"/>
      <c r="JN50" s="35"/>
      <c r="JO50" s="35"/>
      <c r="JP50" s="35"/>
      <c r="JQ50" s="35"/>
      <c r="JR50" s="35"/>
      <c r="JS50" s="35"/>
      <c r="JT50" s="35"/>
      <c r="JU50" s="35"/>
      <c r="JV50" s="35"/>
      <c r="JW50" s="35"/>
      <c r="JX50" s="35"/>
      <c r="JY50" s="35"/>
      <c r="JZ50" s="35"/>
      <c r="KA50" s="35"/>
      <c r="KB50" s="35"/>
      <c r="KC50" s="35"/>
      <c r="KD50" s="35"/>
      <c r="KE50" s="35"/>
      <c r="KF50" s="35"/>
      <c r="KG50" s="35"/>
      <c r="KH50" s="35"/>
      <c r="KI50" s="35"/>
      <c r="KJ50" s="35"/>
      <c r="KK50" s="35"/>
      <c r="KL50" s="35"/>
      <c r="KM50" s="35"/>
      <c r="KN50" s="35"/>
      <c r="KO50" s="35"/>
      <c r="KP50" s="35"/>
      <c r="KQ50" s="35"/>
      <c r="KR50" s="35"/>
      <c r="KS50" s="35"/>
      <c r="KT50" s="35"/>
      <c r="KU50" s="35"/>
      <c r="KV50" s="35"/>
      <c r="KW50" s="35"/>
      <c r="KX50" s="35"/>
      <c r="KY50" s="35"/>
      <c r="KZ50" s="35"/>
      <c r="LA50" s="35"/>
      <c r="LB50" s="35"/>
      <c r="LC50" s="35"/>
      <c r="LD50" s="35"/>
      <c r="LE50" s="35"/>
      <c r="LF50" s="35"/>
      <c r="LG50" s="35"/>
      <c r="LH50" s="35"/>
      <c r="LI50" s="35"/>
      <c r="LJ50" s="35"/>
      <c r="LK50" s="35"/>
      <c r="LL50" s="35"/>
      <c r="LM50" s="35"/>
      <c r="LN50" s="35"/>
      <c r="LO50" s="35"/>
      <c r="LP50" s="35"/>
      <c r="LQ50" s="35"/>
      <c r="LR50" s="35"/>
      <c r="LS50" s="35"/>
      <c r="LT50" s="35"/>
      <c r="LU50" s="35"/>
      <c r="LV50" s="35"/>
      <c r="LW50" s="35"/>
      <c r="LX50" s="35"/>
      <c r="LY50" s="35"/>
      <c r="LZ50" s="35"/>
      <c r="MA50" s="35"/>
      <c r="MB50" s="35"/>
      <c r="MC50" s="35"/>
      <c r="MD50" s="35"/>
      <c r="ME50" s="35"/>
      <c r="MF50" s="35"/>
      <c r="MG50" s="35"/>
    </row>
    <row r="51" spans="2:345" s="67" customFormat="1" ht="36" hidden="1" customHeight="1" x14ac:dyDescent="0.25">
      <c r="B51" s="28">
        <v>4142</v>
      </c>
      <c r="C51" s="24" t="s">
        <v>4311</v>
      </c>
      <c r="D51" s="19" t="s">
        <v>4312</v>
      </c>
      <c r="E51" s="18">
        <v>42436</v>
      </c>
      <c r="F51" s="27">
        <f t="shared" ca="1" si="1"/>
        <v>2037</v>
      </c>
      <c r="G51" s="69"/>
      <c r="H51" s="68"/>
      <c r="I51" s="25"/>
      <c r="J51" s="25">
        <v>42444</v>
      </c>
      <c r="K51" s="68" t="s">
        <v>4313</v>
      </c>
      <c r="L51" s="68">
        <v>42443</v>
      </c>
      <c r="M51" s="68"/>
      <c r="N51" s="22"/>
      <c r="O51" s="26" t="s">
        <v>4314</v>
      </c>
      <c r="P51" s="35"/>
      <c r="Q51" s="35"/>
      <c r="R51" s="20"/>
      <c r="S51" s="35"/>
      <c r="T51" s="35"/>
      <c r="U51" s="35"/>
      <c r="V51" s="35"/>
      <c r="W51" s="35"/>
      <c r="X51" s="35"/>
      <c r="Y51" s="35"/>
      <c r="Z51" s="35"/>
      <c r="AA51" s="35"/>
      <c r="AB51" s="35"/>
      <c r="AC51" s="35"/>
      <c r="AD51" s="35"/>
      <c r="AE51" s="35"/>
      <c r="AF51" s="35"/>
      <c r="AG51" s="35"/>
      <c r="AH51" s="35"/>
      <c r="AI51" s="35"/>
      <c r="AJ51" s="35"/>
      <c r="AK51" s="35"/>
      <c r="AL51" s="35"/>
      <c r="AM51" s="35"/>
      <c r="AN51" s="35"/>
      <c r="AO51" s="35"/>
      <c r="AP51" s="35"/>
      <c r="AQ51" s="35"/>
      <c r="AR51" s="35"/>
      <c r="AS51" s="35"/>
      <c r="AT51" s="35"/>
      <c r="AU51" s="35"/>
      <c r="AV51" s="35"/>
      <c r="AW51" s="35"/>
      <c r="AX51" s="35"/>
      <c r="AY51" s="35"/>
      <c r="AZ51" s="35"/>
      <c r="BA51" s="35"/>
      <c r="BB51" s="35"/>
      <c r="BC51" s="35"/>
      <c r="BD51" s="35"/>
      <c r="BE51" s="35"/>
      <c r="BF51" s="35"/>
      <c r="BG51" s="35"/>
      <c r="BH51" s="35"/>
      <c r="BI51" s="35"/>
      <c r="BJ51" s="35"/>
      <c r="BK51" s="35"/>
      <c r="BL51" s="35"/>
      <c r="BM51" s="35"/>
      <c r="BN51" s="35"/>
      <c r="BO51" s="35"/>
      <c r="BP51" s="35"/>
      <c r="BQ51" s="35"/>
      <c r="BR51" s="35"/>
      <c r="BS51" s="35"/>
      <c r="BT51" s="35"/>
      <c r="BU51" s="35"/>
      <c r="BV51" s="35"/>
      <c r="BW51" s="35"/>
      <c r="BX51" s="35"/>
      <c r="BY51" s="35"/>
      <c r="BZ51" s="35"/>
      <c r="CA51" s="35"/>
      <c r="CB51" s="35"/>
      <c r="CC51" s="35"/>
      <c r="CD51" s="35"/>
      <c r="CE51" s="35"/>
      <c r="CF51" s="35"/>
      <c r="CG51" s="35"/>
      <c r="CH51" s="35"/>
      <c r="CI51" s="35"/>
      <c r="CJ51" s="35"/>
      <c r="CK51" s="35"/>
      <c r="CL51" s="35"/>
      <c r="CM51" s="35"/>
      <c r="CN51" s="35"/>
      <c r="CO51" s="35"/>
      <c r="CP51" s="35"/>
      <c r="CQ51" s="35"/>
      <c r="CR51" s="35"/>
      <c r="CS51" s="35"/>
      <c r="CT51" s="35"/>
      <c r="CU51" s="35"/>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c r="DV51" s="35"/>
      <c r="DW51" s="35"/>
      <c r="DX51" s="35"/>
      <c r="DY51" s="35"/>
      <c r="DZ51" s="35"/>
      <c r="EA51" s="35"/>
      <c r="EB51" s="35"/>
      <c r="EC51" s="35"/>
      <c r="ED51" s="35"/>
      <c r="EE51" s="35"/>
      <c r="EF51" s="35"/>
      <c r="EG51" s="35"/>
      <c r="EH51" s="35"/>
      <c r="EI51" s="35"/>
      <c r="EJ51" s="35"/>
      <c r="EK51" s="35"/>
      <c r="EL51" s="35"/>
      <c r="EM51" s="35"/>
      <c r="EN51" s="35"/>
      <c r="EO51" s="35"/>
      <c r="EP51" s="35"/>
      <c r="EQ51" s="35"/>
      <c r="ER51" s="35"/>
      <c r="ES51" s="35"/>
      <c r="ET51" s="35"/>
      <c r="EU51" s="35"/>
      <c r="EV51" s="35"/>
      <c r="EW51" s="35"/>
      <c r="EX51" s="35"/>
      <c r="EY51" s="35"/>
      <c r="EZ51" s="35"/>
      <c r="FA51" s="35"/>
      <c r="FB51" s="35"/>
      <c r="FC51" s="35"/>
      <c r="FD51" s="35"/>
      <c r="FE51" s="35"/>
      <c r="FF51" s="35"/>
      <c r="FG51" s="35"/>
      <c r="FH51" s="35"/>
      <c r="FI51" s="35"/>
      <c r="FJ51" s="35"/>
      <c r="FK51" s="35"/>
      <c r="FL51" s="35"/>
      <c r="FM51" s="35"/>
      <c r="FN51" s="35"/>
      <c r="FO51" s="35"/>
      <c r="FP51" s="35"/>
      <c r="FQ51" s="35"/>
      <c r="FR51" s="35"/>
      <c r="FS51" s="35"/>
      <c r="FT51" s="35"/>
      <c r="FU51" s="35"/>
      <c r="FV51" s="35"/>
      <c r="FW51" s="35"/>
      <c r="FX51" s="35"/>
      <c r="FY51" s="35"/>
      <c r="FZ51" s="35"/>
      <c r="GA51" s="35"/>
      <c r="GB51" s="35"/>
      <c r="GC51" s="35"/>
      <c r="GD51" s="35"/>
      <c r="GE51" s="35"/>
      <c r="GF51" s="35"/>
      <c r="GG51" s="35"/>
      <c r="GH51" s="35"/>
      <c r="GI51" s="35"/>
      <c r="GJ51" s="35"/>
      <c r="GK51" s="35"/>
      <c r="GL51" s="35"/>
      <c r="GM51" s="35"/>
      <c r="GN51" s="35"/>
      <c r="GO51" s="35"/>
      <c r="GP51" s="35"/>
      <c r="GQ51" s="35"/>
      <c r="GR51" s="35"/>
      <c r="GS51" s="35"/>
      <c r="GT51" s="35"/>
      <c r="GU51" s="35"/>
      <c r="GV51" s="35"/>
      <c r="GW51" s="35"/>
      <c r="GX51" s="35"/>
      <c r="GY51" s="35"/>
      <c r="GZ51" s="35"/>
      <c r="HA51" s="35"/>
      <c r="HB51" s="35"/>
      <c r="HC51" s="35"/>
      <c r="HD51" s="35"/>
      <c r="HE51" s="35"/>
      <c r="HF51" s="35"/>
      <c r="HG51" s="35"/>
      <c r="HH51" s="35"/>
      <c r="HI51" s="35"/>
      <c r="HJ51" s="35"/>
      <c r="HK51" s="35"/>
      <c r="HL51" s="35"/>
      <c r="HM51" s="35"/>
      <c r="HN51" s="35"/>
      <c r="HO51" s="35"/>
      <c r="HP51" s="35"/>
      <c r="HQ51" s="35"/>
      <c r="HR51" s="35"/>
      <c r="HS51" s="35"/>
      <c r="HT51" s="35"/>
      <c r="HU51" s="35"/>
      <c r="HV51" s="35"/>
      <c r="HW51" s="35"/>
      <c r="HX51" s="35"/>
      <c r="HY51" s="35"/>
      <c r="HZ51" s="35"/>
      <c r="IA51" s="35"/>
      <c r="IB51" s="35"/>
      <c r="IC51" s="35"/>
      <c r="ID51" s="35"/>
      <c r="IE51" s="35"/>
      <c r="IF51" s="35"/>
      <c r="IG51" s="35"/>
      <c r="IH51" s="35"/>
      <c r="II51" s="35"/>
      <c r="IJ51" s="35"/>
      <c r="IK51" s="35"/>
      <c r="IL51" s="35"/>
      <c r="IM51" s="35"/>
      <c r="IN51" s="35"/>
      <c r="IO51" s="35"/>
      <c r="IP51" s="35"/>
      <c r="IQ51" s="35"/>
      <c r="IR51" s="35"/>
      <c r="IS51" s="35"/>
      <c r="IT51" s="35"/>
      <c r="IU51" s="35"/>
      <c r="IV51" s="35"/>
      <c r="IW51" s="35"/>
      <c r="IX51" s="35"/>
      <c r="IY51" s="35"/>
      <c r="IZ51" s="35"/>
      <c r="JA51" s="35"/>
      <c r="JB51" s="35"/>
      <c r="JC51" s="35"/>
      <c r="JD51" s="35"/>
      <c r="JE51" s="35"/>
      <c r="JF51" s="35"/>
      <c r="JG51" s="35"/>
      <c r="JH51" s="35"/>
      <c r="JI51" s="35"/>
      <c r="JJ51" s="35"/>
      <c r="JK51" s="35"/>
      <c r="JL51" s="35"/>
      <c r="JM51" s="35"/>
      <c r="JN51" s="35"/>
      <c r="JO51" s="35"/>
      <c r="JP51" s="35"/>
      <c r="JQ51" s="35"/>
      <c r="JR51" s="35"/>
      <c r="JS51" s="35"/>
      <c r="JT51" s="35"/>
      <c r="JU51" s="35"/>
      <c r="JV51" s="35"/>
      <c r="JW51" s="35"/>
      <c r="JX51" s="35"/>
      <c r="JY51" s="35"/>
      <c r="JZ51" s="35"/>
      <c r="KA51" s="35"/>
      <c r="KB51" s="35"/>
      <c r="KC51" s="35"/>
      <c r="KD51" s="35"/>
      <c r="KE51" s="35"/>
      <c r="KF51" s="35"/>
      <c r="KG51" s="35"/>
      <c r="KH51" s="35"/>
      <c r="KI51" s="35"/>
      <c r="KJ51" s="35"/>
      <c r="KK51" s="35"/>
      <c r="KL51" s="35"/>
      <c r="KM51" s="35"/>
      <c r="KN51" s="35"/>
      <c r="KO51" s="35"/>
      <c r="KP51" s="35"/>
      <c r="KQ51" s="35"/>
      <c r="KR51" s="35"/>
      <c r="KS51" s="35"/>
      <c r="KT51" s="35"/>
      <c r="KU51" s="35"/>
      <c r="KV51" s="35"/>
      <c r="KW51" s="35"/>
      <c r="KX51" s="35"/>
      <c r="KY51" s="35"/>
      <c r="KZ51" s="35"/>
      <c r="LA51" s="35"/>
      <c r="LB51" s="35"/>
      <c r="LC51" s="35"/>
      <c r="LD51" s="35"/>
      <c r="LE51" s="35"/>
      <c r="LF51" s="35"/>
      <c r="LG51" s="35"/>
      <c r="LH51" s="35"/>
      <c r="LI51" s="35"/>
      <c r="LJ51" s="35"/>
      <c r="LK51" s="35"/>
      <c r="LL51" s="35"/>
      <c r="LM51" s="35"/>
      <c r="LN51" s="35"/>
      <c r="LO51" s="35"/>
      <c r="LP51" s="35"/>
      <c r="LQ51" s="35"/>
      <c r="LR51" s="35"/>
      <c r="LS51" s="35"/>
      <c r="LT51" s="35"/>
      <c r="LU51" s="35"/>
      <c r="LV51" s="35"/>
      <c r="LW51" s="35"/>
      <c r="LX51" s="35"/>
      <c r="LY51" s="35"/>
      <c r="LZ51" s="35"/>
      <c r="MA51" s="35"/>
      <c r="MB51" s="35"/>
      <c r="MC51" s="35"/>
      <c r="MD51" s="35"/>
      <c r="ME51" s="35"/>
      <c r="MF51" s="35"/>
      <c r="MG51" s="35"/>
    </row>
    <row r="52" spans="2:345" s="67" customFormat="1" ht="36" hidden="1" customHeight="1" x14ac:dyDescent="0.25">
      <c r="B52" s="28">
        <v>4153</v>
      </c>
      <c r="C52" s="24" t="s">
        <v>40</v>
      </c>
      <c r="D52" s="19" t="s">
        <v>4370</v>
      </c>
      <c r="E52" s="18">
        <v>42436</v>
      </c>
      <c r="F52" s="27">
        <f t="shared" ca="1" si="1"/>
        <v>2037</v>
      </c>
      <c r="G52" s="69"/>
      <c r="H52" s="68"/>
      <c r="I52" s="25"/>
      <c r="J52" s="25">
        <v>42444</v>
      </c>
      <c r="K52" s="68" t="s">
        <v>4313</v>
      </c>
      <c r="L52" s="68">
        <v>42443</v>
      </c>
      <c r="M52" s="68"/>
      <c r="N52" s="22"/>
      <c r="O52" s="26"/>
      <c r="P52" s="35"/>
      <c r="Q52" s="35"/>
      <c r="R52" s="20"/>
      <c r="S52" s="35"/>
      <c r="T52" s="35"/>
      <c r="U52" s="35"/>
      <c r="V52" s="35"/>
      <c r="W52" s="35"/>
      <c r="X52" s="35"/>
      <c r="Y52" s="35"/>
      <c r="Z52" s="35"/>
      <c r="AA52" s="35"/>
      <c r="AB52" s="35"/>
      <c r="AC52" s="35"/>
      <c r="AD52" s="35"/>
      <c r="AE52" s="35"/>
      <c r="AF52" s="35"/>
      <c r="AG52" s="35"/>
      <c r="AH52" s="35"/>
      <c r="AI52" s="35"/>
      <c r="AJ52" s="35"/>
      <c r="AK52" s="35"/>
      <c r="AL52" s="35"/>
      <c r="AM52" s="35"/>
      <c r="AN52" s="35"/>
      <c r="AO52" s="35"/>
      <c r="AP52" s="35"/>
      <c r="AQ52" s="35"/>
      <c r="AR52" s="35"/>
      <c r="AS52" s="35"/>
      <c r="AT52" s="35"/>
      <c r="AU52" s="35"/>
      <c r="AV52" s="35"/>
      <c r="AW52" s="35"/>
      <c r="AX52" s="35"/>
      <c r="AY52" s="35"/>
      <c r="AZ52" s="35"/>
      <c r="BA52" s="35"/>
      <c r="BB52" s="35"/>
      <c r="BC52" s="35"/>
      <c r="BD52" s="35"/>
      <c r="BE52" s="35"/>
      <c r="BF52" s="35"/>
      <c r="BG52" s="35"/>
      <c r="BH52" s="35"/>
      <c r="BI52" s="35"/>
      <c r="BJ52" s="35"/>
      <c r="BK52" s="35"/>
      <c r="BL52" s="35"/>
      <c r="BM52" s="35"/>
      <c r="BN52" s="35"/>
      <c r="BO52" s="35"/>
      <c r="BP52" s="35"/>
      <c r="BQ52" s="35"/>
      <c r="BR52" s="35"/>
      <c r="BS52" s="35"/>
      <c r="BT52" s="35"/>
      <c r="BU52" s="35"/>
      <c r="BV52" s="35"/>
      <c r="BW52" s="35"/>
      <c r="BX52" s="35"/>
      <c r="BY52" s="35"/>
      <c r="BZ52" s="35"/>
      <c r="CA52" s="35"/>
      <c r="CB52" s="35"/>
      <c r="CC52" s="35"/>
      <c r="CD52" s="35"/>
      <c r="CE52" s="35"/>
      <c r="CF52" s="35"/>
      <c r="CG52" s="35"/>
      <c r="CH52" s="35"/>
      <c r="CI52" s="35"/>
      <c r="CJ52" s="35"/>
      <c r="CK52" s="35"/>
      <c r="CL52" s="35"/>
      <c r="CM52" s="35"/>
      <c r="CN52" s="35"/>
      <c r="CO52" s="35"/>
      <c r="CP52" s="35"/>
      <c r="CQ52" s="35"/>
      <c r="CR52" s="35"/>
      <c r="CS52" s="35"/>
      <c r="CT52" s="35"/>
      <c r="CU52" s="35"/>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c r="DV52" s="35"/>
      <c r="DW52" s="35"/>
      <c r="DX52" s="35"/>
      <c r="DY52" s="35"/>
      <c r="DZ52" s="35"/>
      <c r="EA52" s="35"/>
      <c r="EB52" s="35"/>
      <c r="EC52" s="35"/>
      <c r="ED52" s="35"/>
      <c r="EE52" s="35"/>
      <c r="EF52" s="35"/>
      <c r="EG52" s="35"/>
      <c r="EH52" s="35"/>
      <c r="EI52" s="35"/>
      <c r="EJ52" s="35"/>
      <c r="EK52" s="35"/>
      <c r="EL52" s="35"/>
      <c r="EM52" s="35"/>
      <c r="EN52" s="35"/>
      <c r="EO52" s="35"/>
      <c r="EP52" s="35"/>
      <c r="EQ52" s="35"/>
      <c r="ER52" s="35"/>
      <c r="ES52" s="35"/>
      <c r="ET52" s="35"/>
      <c r="EU52" s="35"/>
      <c r="EV52" s="35"/>
      <c r="EW52" s="35"/>
      <c r="EX52" s="35"/>
      <c r="EY52" s="35"/>
      <c r="EZ52" s="35"/>
      <c r="FA52" s="35"/>
      <c r="FB52" s="35"/>
      <c r="FC52" s="35"/>
      <c r="FD52" s="35"/>
      <c r="FE52" s="35"/>
      <c r="FF52" s="35"/>
      <c r="FG52" s="35"/>
      <c r="FH52" s="35"/>
      <c r="FI52" s="35"/>
      <c r="FJ52" s="35"/>
      <c r="FK52" s="35"/>
      <c r="FL52" s="35"/>
      <c r="FM52" s="35"/>
      <c r="FN52" s="35"/>
      <c r="FO52" s="35"/>
      <c r="FP52" s="35"/>
      <c r="FQ52" s="35"/>
      <c r="FR52" s="35"/>
      <c r="FS52" s="35"/>
      <c r="FT52" s="35"/>
      <c r="FU52" s="35"/>
      <c r="FV52" s="35"/>
      <c r="FW52" s="35"/>
      <c r="FX52" s="35"/>
      <c r="FY52" s="35"/>
      <c r="FZ52" s="35"/>
      <c r="GA52" s="35"/>
      <c r="GB52" s="35"/>
      <c r="GC52" s="35"/>
      <c r="GD52" s="35"/>
      <c r="GE52" s="35"/>
      <c r="GF52" s="35"/>
      <c r="GG52" s="35"/>
      <c r="GH52" s="35"/>
      <c r="GI52" s="35"/>
      <c r="GJ52" s="35"/>
      <c r="GK52" s="35"/>
      <c r="GL52" s="35"/>
      <c r="GM52" s="35"/>
      <c r="GN52" s="35"/>
      <c r="GO52" s="35"/>
      <c r="GP52" s="35"/>
      <c r="GQ52" s="35"/>
      <c r="GR52" s="35"/>
      <c r="GS52" s="35"/>
      <c r="GT52" s="35"/>
      <c r="GU52" s="35"/>
      <c r="GV52" s="35"/>
      <c r="GW52" s="35"/>
      <c r="GX52" s="35"/>
      <c r="GY52" s="35"/>
      <c r="GZ52" s="35"/>
      <c r="HA52" s="35"/>
      <c r="HB52" s="35"/>
      <c r="HC52" s="35"/>
      <c r="HD52" s="35"/>
      <c r="HE52" s="35"/>
      <c r="HF52" s="35"/>
      <c r="HG52" s="35"/>
      <c r="HH52" s="35"/>
      <c r="HI52" s="35"/>
      <c r="HJ52" s="35"/>
      <c r="HK52" s="35"/>
      <c r="HL52" s="35"/>
      <c r="HM52" s="35"/>
      <c r="HN52" s="35"/>
      <c r="HO52" s="35"/>
      <c r="HP52" s="35"/>
      <c r="HQ52" s="35"/>
      <c r="HR52" s="35"/>
      <c r="HS52" s="35"/>
      <c r="HT52" s="35"/>
      <c r="HU52" s="35"/>
      <c r="HV52" s="35"/>
      <c r="HW52" s="35"/>
      <c r="HX52" s="35"/>
      <c r="HY52" s="35"/>
      <c r="HZ52" s="35"/>
      <c r="IA52" s="35"/>
      <c r="IB52" s="35"/>
      <c r="IC52" s="35"/>
      <c r="ID52" s="35"/>
      <c r="IE52" s="35"/>
      <c r="IF52" s="35"/>
      <c r="IG52" s="35"/>
      <c r="IH52" s="35"/>
      <c r="II52" s="35"/>
      <c r="IJ52" s="35"/>
      <c r="IK52" s="35"/>
      <c r="IL52" s="35"/>
      <c r="IM52" s="35"/>
      <c r="IN52" s="35"/>
      <c r="IO52" s="35"/>
      <c r="IP52" s="35"/>
      <c r="IQ52" s="35"/>
      <c r="IR52" s="35"/>
      <c r="IS52" s="35"/>
      <c r="IT52" s="35"/>
      <c r="IU52" s="35"/>
      <c r="IV52" s="35"/>
      <c r="IW52" s="35"/>
      <c r="IX52" s="35"/>
      <c r="IY52" s="35"/>
      <c r="IZ52" s="35"/>
      <c r="JA52" s="35"/>
      <c r="JB52" s="35"/>
      <c r="JC52" s="35"/>
      <c r="JD52" s="35"/>
      <c r="JE52" s="35"/>
      <c r="JF52" s="35"/>
      <c r="JG52" s="35"/>
      <c r="JH52" s="35"/>
      <c r="JI52" s="35"/>
      <c r="JJ52" s="35"/>
      <c r="JK52" s="35"/>
      <c r="JL52" s="35"/>
      <c r="JM52" s="35"/>
      <c r="JN52" s="35"/>
      <c r="JO52" s="35"/>
      <c r="JP52" s="35"/>
      <c r="JQ52" s="35"/>
      <c r="JR52" s="35"/>
      <c r="JS52" s="35"/>
      <c r="JT52" s="35"/>
      <c r="JU52" s="35"/>
      <c r="JV52" s="35"/>
      <c r="JW52" s="35"/>
      <c r="JX52" s="35"/>
      <c r="JY52" s="35"/>
      <c r="JZ52" s="35"/>
      <c r="KA52" s="35"/>
      <c r="KB52" s="35"/>
      <c r="KC52" s="35"/>
      <c r="KD52" s="35"/>
      <c r="KE52" s="35"/>
      <c r="KF52" s="35"/>
      <c r="KG52" s="35"/>
      <c r="KH52" s="35"/>
      <c r="KI52" s="35"/>
      <c r="KJ52" s="35"/>
      <c r="KK52" s="35"/>
      <c r="KL52" s="35"/>
      <c r="KM52" s="35"/>
      <c r="KN52" s="35"/>
      <c r="KO52" s="35"/>
      <c r="KP52" s="35"/>
      <c r="KQ52" s="35"/>
      <c r="KR52" s="35"/>
      <c r="KS52" s="35"/>
      <c r="KT52" s="35"/>
      <c r="KU52" s="35"/>
      <c r="KV52" s="35"/>
      <c r="KW52" s="35"/>
      <c r="KX52" s="35"/>
      <c r="KY52" s="35"/>
      <c r="KZ52" s="35"/>
      <c r="LA52" s="35"/>
      <c r="LB52" s="35"/>
      <c r="LC52" s="35"/>
      <c r="LD52" s="35"/>
      <c r="LE52" s="35"/>
      <c r="LF52" s="35"/>
      <c r="LG52" s="35"/>
      <c r="LH52" s="35"/>
      <c r="LI52" s="35"/>
      <c r="LJ52" s="35"/>
      <c r="LK52" s="35"/>
      <c r="LL52" s="35"/>
      <c r="LM52" s="35"/>
      <c r="LN52" s="35"/>
      <c r="LO52" s="35"/>
      <c r="LP52" s="35"/>
      <c r="LQ52" s="35"/>
      <c r="LR52" s="35"/>
      <c r="LS52" s="35"/>
      <c r="LT52" s="35"/>
      <c r="LU52" s="35"/>
      <c r="LV52" s="35"/>
      <c r="LW52" s="35"/>
      <c r="LX52" s="35"/>
      <c r="LY52" s="35"/>
      <c r="LZ52" s="35"/>
      <c r="MA52" s="35"/>
      <c r="MB52" s="35"/>
      <c r="MC52" s="35"/>
      <c r="MD52" s="35"/>
      <c r="ME52" s="35"/>
      <c r="MF52" s="35"/>
      <c r="MG52" s="35"/>
    </row>
    <row r="53" spans="2:345" s="67" customFormat="1" ht="36" hidden="1" customHeight="1" x14ac:dyDescent="0.25">
      <c r="B53" s="28" t="s">
        <v>4392</v>
      </c>
      <c r="C53" s="24" t="s">
        <v>40</v>
      </c>
      <c r="D53" s="19" t="s">
        <v>4401</v>
      </c>
      <c r="E53" s="18">
        <v>42436</v>
      </c>
      <c r="F53" s="27">
        <f t="shared" ca="1" si="1"/>
        <v>2037</v>
      </c>
      <c r="G53" s="69">
        <v>42465</v>
      </c>
      <c r="H53" s="68"/>
      <c r="I53" s="25"/>
      <c r="J53" s="25">
        <v>42471</v>
      </c>
      <c r="K53" s="68" t="s">
        <v>730</v>
      </c>
      <c r="L53" s="68">
        <v>42517</v>
      </c>
      <c r="M53" s="68"/>
      <c r="N53" s="22"/>
      <c r="O53" s="26"/>
      <c r="P53" s="35"/>
      <c r="Q53" s="35"/>
      <c r="R53" s="20"/>
      <c r="S53" s="35"/>
      <c r="T53" s="35"/>
      <c r="U53" s="35"/>
      <c r="V53" s="35"/>
      <c r="W53" s="35"/>
      <c r="X53" s="35"/>
      <c r="Y53" s="35"/>
      <c r="Z53" s="35"/>
      <c r="AA53" s="35"/>
      <c r="AB53" s="35"/>
      <c r="AC53" s="35"/>
      <c r="AD53" s="35"/>
      <c r="AE53" s="35"/>
      <c r="AF53" s="35"/>
      <c r="AG53" s="35"/>
      <c r="AH53" s="35"/>
      <c r="AI53" s="35"/>
      <c r="AJ53" s="35"/>
      <c r="AK53" s="35"/>
      <c r="AL53" s="35"/>
      <c r="AM53" s="35"/>
      <c r="AN53" s="35"/>
      <c r="AO53" s="35"/>
      <c r="AP53" s="35"/>
      <c r="AQ53" s="35"/>
      <c r="AR53" s="35"/>
      <c r="AS53" s="35"/>
      <c r="AT53" s="35"/>
      <c r="AU53" s="35"/>
      <c r="AV53" s="35"/>
      <c r="AW53" s="35"/>
      <c r="AX53" s="35"/>
      <c r="AY53" s="35"/>
      <c r="AZ53" s="35"/>
      <c r="BA53" s="35"/>
      <c r="BB53" s="35"/>
      <c r="BC53" s="35"/>
      <c r="BD53" s="35"/>
      <c r="BE53" s="35"/>
      <c r="BF53" s="35"/>
      <c r="BG53" s="35"/>
      <c r="BH53" s="35"/>
      <c r="BI53" s="35"/>
      <c r="BJ53" s="35"/>
      <c r="BK53" s="35"/>
      <c r="BL53" s="35"/>
      <c r="BM53" s="35"/>
      <c r="BN53" s="35"/>
      <c r="BO53" s="35"/>
      <c r="BP53" s="35"/>
      <c r="BQ53" s="35"/>
      <c r="BR53" s="35"/>
      <c r="BS53" s="35"/>
      <c r="BT53" s="35"/>
      <c r="BU53" s="35"/>
      <c r="BV53" s="35"/>
      <c r="BW53" s="35"/>
      <c r="BX53" s="35"/>
      <c r="BY53" s="35"/>
      <c r="BZ53" s="35"/>
      <c r="CA53" s="35"/>
      <c r="CB53" s="35"/>
      <c r="CC53" s="35"/>
      <c r="CD53" s="35"/>
      <c r="CE53" s="35"/>
      <c r="CF53" s="35"/>
      <c r="CG53" s="35"/>
      <c r="CH53" s="35"/>
      <c r="CI53" s="35"/>
      <c r="CJ53" s="35"/>
      <c r="CK53" s="35"/>
      <c r="CL53" s="35"/>
      <c r="CM53" s="35"/>
      <c r="CN53" s="35"/>
      <c r="CO53" s="35"/>
      <c r="CP53" s="35"/>
      <c r="CQ53" s="35"/>
      <c r="CR53" s="35"/>
      <c r="CS53" s="35"/>
      <c r="CT53" s="35"/>
      <c r="CU53" s="35"/>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c r="DV53" s="35"/>
      <c r="DW53" s="35"/>
      <c r="DX53" s="35"/>
      <c r="DY53" s="35"/>
      <c r="DZ53" s="35"/>
      <c r="EA53" s="35"/>
      <c r="EB53" s="35"/>
      <c r="EC53" s="35"/>
      <c r="ED53" s="35"/>
      <c r="EE53" s="35"/>
      <c r="EF53" s="35"/>
      <c r="EG53" s="35"/>
      <c r="EH53" s="35"/>
      <c r="EI53" s="35"/>
      <c r="EJ53" s="35"/>
      <c r="EK53" s="35"/>
      <c r="EL53" s="35"/>
      <c r="EM53" s="35"/>
      <c r="EN53" s="35"/>
      <c r="EO53" s="35"/>
      <c r="EP53" s="35"/>
      <c r="EQ53" s="35"/>
      <c r="ER53" s="35"/>
      <c r="ES53" s="35"/>
      <c r="ET53" s="35"/>
      <c r="EU53" s="35"/>
      <c r="EV53" s="35"/>
      <c r="EW53" s="35"/>
      <c r="EX53" s="35"/>
      <c r="EY53" s="35"/>
      <c r="EZ53" s="35"/>
      <c r="FA53" s="35"/>
      <c r="FB53" s="35"/>
      <c r="FC53" s="35"/>
      <c r="FD53" s="35"/>
      <c r="FE53" s="35"/>
      <c r="FF53" s="35"/>
      <c r="FG53" s="35"/>
      <c r="FH53" s="35"/>
      <c r="FI53" s="35"/>
      <c r="FJ53" s="35"/>
      <c r="FK53" s="35"/>
      <c r="FL53" s="35"/>
      <c r="FM53" s="35"/>
      <c r="FN53" s="35"/>
      <c r="FO53" s="35"/>
      <c r="FP53" s="35"/>
      <c r="FQ53" s="35"/>
      <c r="FR53" s="35"/>
      <c r="FS53" s="35"/>
      <c r="FT53" s="35"/>
      <c r="FU53" s="35"/>
      <c r="FV53" s="35"/>
      <c r="FW53" s="35"/>
      <c r="FX53" s="35"/>
      <c r="FY53" s="35"/>
      <c r="FZ53" s="35"/>
      <c r="GA53" s="35"/>
      <c r="GB53" s="35"/>
      <c r="GC53" s="35"/>
      <c r="GD53" s="35"/>
      <c r="GE53" s="35"/>
      <c r="GF53" s="35"/>
      <c r="GG53" s="35"/>
      <c r="GH53" s="35"/>
      <c r="GI53" s="35"/>
      <c r="GJ53" s="35"/>
      <c r="GK53" s="35"/>
      <c r="GL53" s="35"/>
      <c r="GM53" s="35"/>
      <c r="GN53" s="35"/>
      <c r="GO53" s="35"/>
      <c r="GP53" s="35"/>
      <c r="GQ53" s="35"/>
      <c r="GR53" s="35"/>
      <c r="GS53" s="35"/>
      <c r="GT53" s="35"/>
      <c r="GU53" s="35"/>
      <c r="GV53" s="35"/>
      <c r="GW53" s="35"/>
      <c r="GX53" s="35"/>
      <c r="GY53" s="35"/>
      <c r="GZ53" s="35"/>
      <c r="HA53" s="35"/>
      <c r="HB53" s="35"/>
      <c r="HC53" s="35"/>
      <c r="HD53" s="35"/>
      <c r="HE53" s="35"/>
      <c r="HF53" s="35"/>
      <c r="HG53" s="35"/>
      <c r="HH53" s="35"/>
      <c r="HI53" s="35"/>
      <c r="HJ53" s="35"/>
      <c r="HK53" s="35"/>
      <c r="HL53" s="35"/>
      <c r="HM53" s="35"/>
      <c r="HN53" s="35"/>
      <c r="HO53" s="35"/>
      <c r="HP53" s="35"/>
      <c r="HQ53" s="35"/>
      <c r="HR53" s="35"/>
      <c r="HS53" s="35"/>
      <c r="HT53" s="35"/>
      <c r="HU53" s="35"/>
      <c r="HV53" s="35"/>
      <c r="HW53" s="35"/>
      <c r="HX53" s="35"/>
      <c r="HY53" s="35"/>
      <c r="HZ53" s="35"/>
      <c r="IA53" s="35"/>
      <c r="IB53" s="35"/>
      <c r="IC53" s="35"/>
      <c r="ID53" s="35"/>
      <c r="IE53" s="35"/>
      <c r="IF53" s="35"/>
      <c r="IG53" s="35"/>
      <c r="IH53" s="35"/>
      <c r="II53" s="35"/>
      <c r="IJ53" s="35"/>
      <c r="IK53" s="35"/>
      <c r="IL53" s="35"/>
      <c r="IM53" s="35"/>
      <c r="IN53" s="35"/>
      <c r="IO53" s="35"/>
      <c r="IP53" s="35"/>
      <c r="IQ53" s="35"/>
      <c r="IR53" s="35"/>
      <c r="IS53" s="35"/>
      <c r="IT53" s="35"/>
      <c r="IU53" s="35"/>
      <c r="IV53" s="35"/>
      <c r="IW53" s="35"/>
      <c r="IX53" s="35"/>
      <c r="IY53" s="35"/>
      <c r="IZ53" s="35"/>
      <c r="JA53" s="35"/>
      <c r="JB53" s="35"/>
      <c r="JC53" s="35"/>
      <c r="JD53" s="35"/>
      <c r="JE53" s="35"/>
      <c r="JF53" s="35"/>
      <c r="JG53" s="35"/>
      <c r="JH53" s="35"/>
      <c r="JI53" s="35"/>
      <c r="JJ53" s="35"/>
      <c r="JK53" s="35"/>
      <c r="JL53" s="35"/>
      <c r="JM53" s="35"/>
      <c r="JN53" s="35"/>
      <c r="JO53" s="35"/>
      <c r="JP53" s="35"/>
      <c r="JQ53" s="35"/>
      <c r="JR53" s="35"/>
      <c r="JS53" s="35"/>
      <c r="JT53" s="35"/>
      <c r="JU53" s="35"/>
      <c r="JV53" s="35"/>
      <c r="JW53" s="35"/>
      <c r="JX53" s="35"/>
      <c r="JY53" s="35"/>
      <c r="JZ53" s="35"/>
      <c r="KA53" s="35"/>
      <c r="KB53" s="35"/>
      <c r="KC53" s="35"/>
      <c r="KD53" s="35"/>
      <c r="KE53" s="35"/>
      <c r="KF53" s="35"/>
      <c r="KG53" s="35"/>
      <c r="KH53" s="35"/>
      <c r="KI53" s="35"/>
      <c r="KJ53" s="35"/>
      <c r="KK53" s="35"/>
      <c r="KL53" s="35"/>
      <c r="KM53" s="35"/>
      <c r="KN53" s="35"/>
      <c r="KO53" s="35"/>
      <c r="KP53" s="35"/>
      <c r="KQ53" s="35"/>
      <c r="KR53" s="35"/>
      <c r="KS53" s="35"/>
      <c r="KT53" s="35"/>
      <c r="KU53" s="35"/>
      <c r="KV53" s="35"/>
      <c r="KW53" s="35"/>
      <c r="KX53" s="35"/>
      <c r="KY53" s="35"/>
      <c r="KZ53" s="35"/>
      <c r="LA53" s="35"/>
      <c r="LB53" s="35"/>
      <c r="LC53" s="35"/>
      <c r="LD53" s="35"/>
      <c r="LE53" s="35"/>
      <c r="LF53" s="35"/>
      <c r="LG53" s="35"/>
      <c r="LH53" s="35"/>
      <c r="LI53" s="35"/>
      <c r="LJ53" s="35"/>
      <c r="LK53" s="35"/>
      <c r="LL53" s="35"/>
      <c r="LM53" s="35"/>
      <c r="LN53" s="35"/>
      <c r="LO53" s="35"/>
      <c r="LP53" s="35"/>
      <c r="LQ53" s="35"/>
      <c r="LR53" s="35"/>
      <c r="LS53" s="35"/>
      <c r="LT53" s="35"/>
      <c r="LU53" s="35"/>
      <c r="LV53" s="35"/>
      <c r="LW53" s="35"/>
      <c r="LX53" s="35"/>
      <c r="LY53" s="35"/>
      <c r="LZ53" s="35"/>
      <c r="MA53" s="35"/>
      <c r="MB53" s="35"/>
      <c r="MC53" s="35"/>
      <c r="MD53" s="35"/>
      <c r="ME53" s="35"/>
      <c r="MF53" s="35"/>
      <c r="MG53" s="35"/>
    </row>
    <row r="54" spans="2:345" s="67" customFormat="1" ht="36" hidden="1" customHeight="1" x14ac:dyDescent="0.25">
      <c r="B54" s="28">
        <v>4184</v>
      </c>
      <c r="C54" s="24" t="s">
        <v>30</v>
      </c>
      <c r="D54" s="19" t="s">
        <v>4384</v>
      </c>
      <c r="E54" s="18">
        <v>42440</v>
      </c>
      <c r="F54" s="27">
        <f t="shared" ca="1" si="1"/>
        <v>2033</v>
      </c>
      <c r="G54" s="69"/>
      <c r="H54" s="68"/>
      <c r="I54" s="25"/>
      <c r="J54" s="25">
        <v>42444</v>
      </c>
      <c r="K54" s="68" t="s">
        <v>4313</v>
      </c>
      <c r="L54" s="68">
        <v>42443</v>
      </c>
      <c r="M54" s="68"/>
      <c r="N54" s="22"/>
      <c r="O54" s="26"/>
      <c r="P54" s="35"/>
      <c r="Q54" s="35"/>
      <c r="R54" s="20"/>
      <c r="S54" s="35"/>
      <c r="T54" s="35"/>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35"/>
      <c r="AS54" s="35"/>
      <c r="AT54" s="35"/>
      <c r="AU54" s="35"/>
      <c r="AV54" s="35"/>
      <c r="AW54" s="35"/>
      <c r="AX54" s="35"/>
      <c r="AY54" s="35"/>
      <c r="AZ54" s="35"/>
      <c r="BA54" s="35"/>
      <c r="BB54" s="35"/>
      <c r="BC54" s="35"/>
      <c r="BD54" s="35"/>
      <c r="BE54" s="35"/>
      <c r="BF54" s="35"/>
      <c r="BG54" s="35"/>
      <c r="BH54" s="35"/>
      <c r="BI54" s="35"/>
      <c r="BJ54" s="35"/>
      <c r="BK54" s="35"/>
      <c r="BL54" s="35"/>
      <c r="BM54" s="35"/>
      <c r="BN54" s="35"/>
      <c r="BO54" s="35"/>
      <c r="BP54" s="35"/>
      <c r="BQ54" s="35"/>
      <c r="BR54" s="35"/>
      <c r="BS54" s="35"/>
      <c r="BT54" s="35"/>
      <c r="BU54" s="35"/>
      <c r="BV54" s="35"/>
      <c r="BW54" s="35"/>
      <c r="BX54" s="35"/>
      <c r="BY54" s="35"/>
      <c r="BZ54" s="35"/>
      <c r="CA54" s="35"/>
      <c r="CB54" s="35"/>
      <c r="CC54" s="35"/>
      <c r="CD54" s="35"/>
      <c r="CE54" s="35"/>
      <c r="CF54" s="35"/>
      <c r="CG54" s="35"/>
      <c r="CH54" s="35"/>
      <c r="CI54" s="35"/>
      <c r="CJ54" s="35"/>
      <c r="CK54" s="35"/>
      <c r="CL54" s="35"/>
      <c r="CM54" s="35"/>
      <c r="CN54" s="35"/>
      <c r="CO54" s="35"/>
      <c r="CP54" s="35"/>
      <c r="CQ54" s="35"/>
      <c r="CR54" s="35"/>
      <c r="CS54" s="35"/>
      <c r="CT54" s="35"/>
      <c r="CU54" s="35"/>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c r="DV54" s="35"/>
      <c r="DW54" s="35"/>
      <c r="DX54" s="35"/>
      <c r="DY54" s="35"/>
      <c r="DZ54" s="35"/>
      <c r="EA54" s="35"/>
      <c r="EB54" s="35"/>
      <c r="EC54" s="35"/>
      <c r="ED54" s="35"/>
      <c r="EE54" s="35"/>
      <c r="EF54" s="35"/>
      <c r="EG54" s="35"/>
      <c r="EH54" s="35"/>
      <c r="EI54" s="35"/>
      <c r="EJ54" s="35"/>
      <c r="EK54" s="35"/>
      <c r="EL54" s="35"/>
      <c r="EM54" s="35"/>
      <c r="EN54" s="35"/>
      <c r="EO54" s="35"/>
      <c r="EP54" s="35"/>
      <c r="EQ54" s="35"/>
      <c r="ER54" s="35"/>
      <c r="ES54" s="35"/>
      <c r="ET54" s="35"/>
      <c r="EU54" s="35"/>
      <c r="EV54" s="35"/>
      <c r="EW54" s="35"/>
      <c r="EX54" s="35"/>
      <c r="EY54" s="35"/>
      <c r="EZ54" s="35"/>
      <c r="FA54" s="35"/>
      <c r="FB54" s="35"/>
      <c r="FC54" s="35"/>
      <c r="FD54" s="35"/>
      <c r="FE54" s="35"/>
      <c r="FF54" s="35"/>
      <c r="FG54" s="35"/>
      <c r="FH54" s="35"/>
      <c r="FI54" s="35"/>
      <c r="FJ54" s="35"/>
      <c r="FK54" s="35"/>
      <c r="FL54" s="35"/>
      <c r="FM54" s="35"/>
      <c r="FN54" s="35"/>
      <c r="FO54" s="35"/>
      <c r="FP54" s="35"/>
      <c r="FQ54" s="35"/>
      <c r="FR54" s="35"/>
      <c r="FS54" s="35"/>
      <c r="FT54" s="35"/>
      <c r="FU54" s="35"/>
      <c r="FV54" s="35"/>
      <c r="FW54" s="35"/>
      <c r="FX54" s="35"/>
      <c r="FY54" s="35"/>
      <c r="FZ54" s="35"/>
      <c r="GA54" s="35"/>
      <c r="GB54" s="35"/>
      <c r="GC54" s="35"/>
      <c r="GD54" s="35"/>
      <c r="GE54" s="35"/>
      <c r="GF54" s="35"/>
      <c r="GG54" s="35"/>
      <c r="GH54" s="35"/>
      <c r="GI54" s="35"/>
      <c r="GJ54" s="35"/>
      <c r="GK54" s="35"/>
      <c r="GL54" s="35"/>
      <c r="GM54" s="35"/>
      <c r="GN54" s="35"/>
      <c r="GO54" s="35"/>
      <c r="GP54" s="35"/>
      <c r="GQ54" s="35"/>
      <c r="GR54" s="35"/>
      <c r="GS54" s="35"/>
      <c r="GT54" s="35"/>
      <c r="GU54" s="35"/>
      <c r="GV54" s="35"/>
      <c r="GW54" s="35"/>
      <c r="GX54" s="35"/>
      <c r="GY54" s="35"/>
      <c r="GZ54" s="35"/>
      <c r="HA54" s="35"/>
      <c r="HB54" s="35"/>
      <c r="HC54" s="35"/>
      <c r="HD54" s="35"/>
      <c r="HE54" s="35"/>
      <c r="HF54" s="35"/>
      <c r="HG54" s="35"/>
      <c r="HH54" s="35"/>
      <c r="HI54" s="35"/>
      <c r="HJ54" s="35"/>
      <c r="HK54" s="35"/>
      <c r="HL54" s="35"/>
      <c r="HM54" s="35"/>
      <c r="HN54" s="35"/>
      <c r="HO54" s="35"/>
      <c r="HP54" s="35"/>
      <c r="HQ54" s="35"/>
      <c r="HR54" s="35"/>
      <c r="HS54" s="35"/>
      <c r="HT54" s="35"/>
      <c r="HU54" s="35"/>
      <c r="HV54" s="35"/>
      <c r="HW54" s="35"/>
      <c r="HX54" s="35"/>
      <c r="HY54" s="35"/>
      <c r="HZ54" s="35"/>
      <c r="IA54" s="35"/>
      <c r="IB54" s="35"/>
      <c r="IC54" s="35"/>
      <c r="ID54" s="35"/>
      <c r="IE54" s="35"/>
      <c r="IF54" s="35"/>
      <c r="IG54" s="35"/>
      <c r="IH54" s="35"/>
      <c r="II54" s="35"/>
      <c r="IJ54" s="35"/>
      <c r="IK54" s="35"/>
      <c r="IL54" s="35"/>
      <c r="IM54" s="35"/>
      <c r="IN54" s="35"/>
      <c r="IO54" s="35"/>
      <c r="IP54" s="35"/>
      <c r="IQ54" s="35"/>
      <c r="IR54" s="35"/>
      <c r="IS54" s="35"/>
      <c r="IT54" s="35"/>
      <c r="IU54" s="35"/>
      <c r="IV54" s="35"/>
      <c r="IW54" s="35"/>
      <c r="IX54" s="35"/>
      <c r="IY54" s="35"/>
      <c r="IZ54" s="35"/>
      <c r="JA54" s="35"/>
      <c r="JB54" s="35"/>
      <c r="JC54" s="35"/>
      <c r="JD54" s="35"/>
      <c r="JE54" s="35"/>
      <c r="JF54" s="35"/>
      <c r="JG54" s="35"/>
      <c r="JH54" s="35"/>
      <c r="JI54" s="35"/>
      <c r="JJ54" s="35"/>
      <c r="JK54" s="35"/>
      <c r="JL54" s="35"/>
      <c r="JM54" s="35"/>
      <c r="JN54" s="35"/>
      <c r="JO54" s="35"/>
      <c r="JP54" s="35"/>
      <c r="JQ54" s="35"/>
      <c r="JR54" s="35"/>
      <c r="JS54" s="35"/>
      <c r="JT54" s="35"/>
      <c r="JU54" s="35"/>
      <c r="JV54" s="35"/>
      <c r="JW54" s="35"/>
      <c r="JX54" s="35"/>
      <c r="JY54" s="35"/>
      <c r="JZ54" s="35"/>
      <c r="KA54" s="35"/>
      <c r="KB54" s="35"/>
      <c r="KC54" s="35"/>
      <c r="KD54" s="35"/>
      <c r="KE54" s="35"/>
      <c r="KF54" s="35"/>
      <c r="KG54" s="35"/>
      <c r="KH54" s="35"/>
      <c r="KI54" s="35"/>
      <c r="KJ54" s="35"/>
      <c r="KK54" s="35"/>
      <c r="KL54" s="35"/>
      <c r="KM54" s="35"/>
      <c r="KN54" s="35"/>
      <c r="KO54" s="35"/>
      <c r="KP54" s="35"/>
      <c r="KQ54" s="35"/>
      <c r="KR54" s="35"/>
      <c r="KS54" s="35"/>
      <c r="KT54" s="35"/>
      <c r="KU54" s="35"/>
      <c r="KV54" s="35"/>
      <c r="KW54" s="35"/>
      <c r="KX54" s="35"/>
      <c r="KY54" s="35"/>
      <c r="KZ54" s="35"/>
      <c r="LA54" s="35"/>
      <c r="LB54" s="35"/>
      <c r="LC54" s="35"/>
      <c r="LD54" s="35"/>
      <c r="LE54" s="35"/>
      <c r="LF54" s="35"/>
      <c r="LG54" s="35"/>
      <c r="LH54" s="35"/>
      <c r="LI54" s="35"/>
      <c r="LJ54" s="35"/>
      <c r="LK54" s="35"/>
      <c r="LL54" s="35"/>
      <c r="LM54" s="35"/>
      <c r="LN54" s="35"/>
      <c r="LO54" s="35"/>
      <c r="LP54" s="35"/>
      <c r="LQ54" s="35"/>
      <c r="LR54" s="35"/>
      <c r="LS54" s="35"/>
      <c r="LT54" s="35"/>
      <c r="LU54" s="35"/>
      <c r="LV54" s="35"/>
      <c r="LW54" s="35"/>
      <c r="LX54" s="35"/>
      <c r="LY54" s="35"/>
      <c r="LZ54" s="35"/>
      <c r="MA54" s="35"/>
      <c r="MB54" s="35"/>
      <c r="MC54" s="35"/>
      <c r="MD54" s="35"/>
      <c r="ME54" s="35"/>
      <c r="MF54" s="35"/>
      <c r="MG54" s="35"/>
    </row>
    <row r="55" spans="2:345" s="67" customFormat="1" ht="36" hidden="1" customHeight="1" x14ac:dyDescent="0.25">
      <c r="B55" s="28">
        <v>4142</v>
      </c>
      <c r="C55" s="24" t="s">
        <v>14</v>
      </c>
      <c r="D55" s="19" t="s">
        <v>4315</v>
      </c>
      <c r="E55" s="18">
        <v>42443</v>
      </c>
      <c r="F55" s="27">
        <f t="shared" ca="1" si="1"/>
        <v>2030</v>
      </c>
      <c r="G55" s="69"/>
      <c r="H55" s="68"/>
      <c r="I55" s="25"/>
      <c r="J55" s="25">
        <v>42444</v>
      </c>
      <c r="K55" s="68" t="s">
        <v>4313</v>
      </c>
      <c r="L55" s="68">
        <v>42443</v>
      </c>
      <c r="M55" s="68"/>
      <c r="N55" s="22"/>
      <c r="O55" s="26" t="s">
        <v>4316</v>
      </c>
      <c r="P55" s="35"/>
      <c r="Q55" s="35"/>
      <c r="R55" s="20"/>
      <c r="S55" s="35"/>
      <c r="T55" s="35"/>
      <c r="U55" s="35"/>
      <c r="V55" s="35"/>
      <c r="W55" s="35"/>
      <c r="X55" s="35"/>
      <c r="Y55" s="35"/>
      <c r="Z55" s="35"/>
      <c r="AA55" s="35"/>
      <c r="AB55" s="35"/>
      <c r="AC55" s="35"/>
      <c r="AD55" s="35"/>
      <c r="AE55" s="35"/>
      <c r="AF55" s="35"/>
      <c r="AG55" s="35"/>
      <c r="AH55" s="35"/>
      <c r="AI55" s="35"/>
      <c r="AJ55" s="35"/>
      <c r="AK55" s="35"/>
      <c r="AL55" s="35"/>
      <c r="AM55" s="35"/>
      <c r="AN55" s="35"/>
      <c r="AO55" s="35"/>
      <c r="AP55" s="35"/>
      <c r="AQ55" s="35"/>
      <c r="AR55" s="35"/>
      <c r="AS55" s="35"/>
      <c r="AT55" s="35"/>
      <c r="AU55" s="35"/>
      <c r="AV55" s="35"/>
      <c r="AW55" s="35"/>
      <c r="AX55" s="35"/>
      <c r="AY55" s="35"/>
      <c r="AZ55" s="35"/>
      <c r="BA55" s="35"/>
      <c r="BB55" s="35"/>
      <c r="BC55" s="35"/>
      <c r="BD55" s="35"/>
      <c r="BE55" s="35"/>
      <c r="BF55" s="35"/>
      <c r="BG55" s="35"/>
      <c r="BH55" s="35"/>
      <c r="BI55" s="35"/>
      <c r="BJ55" s="35"/>
      <c r="BK55" s="35"/>
      <c r="BL55" s="35"/>
      <c r="BM55" s="35"/>
      <c r="BN55" s="35"/>
      <c r="BO55" s="35"/>
      <c r="BP55" s="35"/>
      <c r="BQ55" s="35"/>
      <c r="BR55" s="35"/>
      <c r="BS55" s="35"/>
      <c r="BT55" s="35"/>
      <c r="BU55" s="35"/>
      <c r="BV55" s="35"/>
      <c r="BW55" s="35"/>
      <c r="BX55" s="35"/>
      <c r="BY55" s="35"/>
      <c r="BZ55" s="35"/>
      <c r="CA55" s="35"/>
      <c r="CB55" s="35"/>
      <c r="CC55" s="35"/>
      <c r="CD55" s="35"/>
      <c r="CE55" s="35"/>
      <c r="CF55" s="35"/>
      <c r="CG55" s="35"/>
      <c r="CH55" s="35"/>
      <c r="CI55" s="35"/>
      <c r="CJ55" s="35"/>
      <c r="CK55" s="35"/>
      <c r="CL55" s="35"/>
      <c r="CM55" s="35"/>
      <c r="CN55" s="35"/>
      <c r="CO55" s="35"/>
      <c r="CP55" s="35"/>
      <c r="CQ55" s="35"/>
      <c r="CR55" s="35"/>
      <c r="CS55" s="35"/>
      <c r="CT55" s="35"/>
      <c r="CU55" s="35"/>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c r="DV55" s="35"/>
      <c r="DW55" s="35"/>
      <c r="DX55" s="35"/>
      <c r="DY55" s="35"/>
      <c r="DZ55" s="35"/>
      <c r="EA55" s="35"/>
      <c r="EB55" s="35"/>
      <c r="EC55" s="35"/>
      <c r="ED55" s="35"/>
      <c r="EE55" s="35"/>
      <c r="EF55" s="35"/>
      <c r="EG55" s="35"/>
      <c r="EH55" s="35"/>
      <c r="EI55" s="35"/>
      <c r="EJ55" s="35"/>
      <c r="EK55" s="35"/>
      <c r="EL55" s="35"/>
      <c r="EM55" s="35"/>
      <c r="EN55" s="35"/>
      <c r="EO55" s="35"/>
      <c r="EP55" s="35"/>
      <c r="EQ55" s="35"/>
      <c r="ER55" s="35"/>
      <c r="ES55" s="35"/>
      <c r="ET55" s="35"/>
      <c r="EU55" s="35"/>
      <c r="EV55" s="35"/>
      <c r="EW55" s="35"/>
      <c r="EX55" s="35"/>
      <c r="EY55" s="35"/>
      <c r="EZ55" s="35"/>
      <c r="FA55" s="35"/>
      <c r="FB55" s="35"/>
      <c r="FC55" s="35"/>
      <c r="FD55" s="35"/>
      <c r="FE55" s="35"/>
      <c r="FF55" s="35"/>
      <c r="FG55" s="35"/>
      <c r="FH55" s="35"/>
      <c r="FI55" s="35"/>
      <c r="FJ55" s="35"/>
      <c r="FK55" s="35"/>
      <c r="FL55" s="35"/>
      <c r="FM55" s="35"/>
      <c r="FN55" s="35"/>
      <c r="FO55" s="35"/>
      <c r="FP55" s="35"/>
      <c r="FQ55" s="35"/>
      <c r="FR55" s="35"/>
      <c r="FS55" s="35"/>
      <c r="FT55" s="35"/>
      <c r="FU55" s="35"/>
      <c r="FV55" s="35"/>
      <c r="FW55" s="35"/>
      <c r="FX55" s="35"/>
      <c r="FY55" s="35"/>
      <c r="FZ55" s="35"/>
      <c r="GA55" s="35"/>
      <c r="GB55" s="35"/>
      <c r="GC55" s="35"/>
      <c r="GD55" s="35"/>
      <c r="GE55" s="35"/>
      <c r="GF55" s="35"/>
      <c r="GG55" s="35"/>
      <c r="GH55" s="35"/>
      <c r="GI55" s="35"/>
      <c r="GJ55" s="35"/>
      <c r="GK55" s="35"/>
      <c r="GL55" s="35"/>
      <c r="GM55" s="35"/>
      <c r="GN55" s="35"/>
      <c r="GO55" s="35"/>
      <c r="GP55" s="35"/>
      <c r="GQ55" s="35"/>
      <c r="GR55" s="35"/>
      <c r="GS55" s="35"/>
      <c r="GT55" s="35"/>
      <c r="GU55" s="35"/>
      <c r="GV55" s="35"/>
      <c r="GW55" s="35"/>
      <c r="GX55" s="35"/>
      <c r="GY55" s="35"/>
      <c r="GZ55" s="35"/>
      <c r="HA55" s="35"/>
      <c r="HB55" s="35"/>
      <c r="HC55" s="35"/>
      <c r="HD55" s="35"/>
      <c r="HE55" s="35"/>
      <c r="HF55" s="35"/>
      <c r="HG55" s="35"/>
      <c r="HH55" s="35"/>
      <c r="HI55" s="35"/>
      <c r="HJ55" s="35"/>
      <c r="HK55" s="35"/>
      <c r="HL55" s="35"/>
      <c r="HM55" s="35"/>
      <c r="HN55" s="35"/>
      <c r="HO55" s="35"/>
      <c r="HP55" s="35"/>
      <c r="HQ55" s="35"/>
      <c r="HR55" s="35"/>
      <c r="HS55" s="35"/>
      <c r="HT55" s="35"/>
      <c r="HU55" s="35"/>
      <c r="HV55" s="35"/>
      <c r="HW55" s="35"/>
      <c r="HX55" s="35"/>
      <c r="HY55" s="35"/>
      <c r="HZ55" s="35"/>
      <c r="IA55" s="35"/>
      <c r="IB55" s="35"/>
      <c r="IC55" s="35"/>
      <c r="ID55" s="35"/>
      <c r="IE55" s="35"/>
      <c r="IF55" s="35"/>
      <c r="IG55" s="35"/>
      <c r="IH55" s="35"/>
      <c r="II55" s="35"/>
      <c r="IJ55" s="35"/>
      <c r="IK55" s="35"/>
      <c r="IL55" s="35"/>
      <c r="IM55" s="35"/>
      <c r="IN55" s="35"/>
      <c r="IO55" s="35"/>
      <c r="IP55" s="35"/>
      <c r="IQ55" s="35"/>
      <c r="IR55" s="35"/>
      <c r="IS55" s="35"/>
      <c r="IT55" s="35"/>
      <c r="IU55" s="35"/>
      <c r="IV55" s="35"/>
      <c r="IW55" s="35"/>
      <c r="IX55" s="35"/>
      <c r="IY55" s="35"/>
      <c r="IZ55" s="35"/>
      <c r="JA55" s="35"/>
      <c r="JB55" s="35"/>
      <c r="JC55" s="35"/>
      <c r="JD55" s="35"/>
      <c r="JE55" s="35"/>
      <c r="JF55" s="35"/>
      <c r="JG55" s="35"/>
      <c r="JH55" s="35"/>
      <c r="JI55" s="35"/>
      <c r="JJ55" s="35"/>
      <c r="JK55" s="35"/>
      <c r="JL55" s="35"/>
      <c r="JM55" s="35"/>
      <c r="JN55" s="35"/>
      <c r="JO55" s="35"/>
      <c r="JP55" s="35"/>
      <c r="JQ55" s="35"/>
      <c r="JR55" s="35"/>
      <c r="JS55" s="35"/>
      <c r="JT55" s="35"/>
      <c r="JU55" s="35"/>
      <c r="JV55" s="35"/>
      <c r="JW55" s="35"/>
      <c r="JX55" s="35"/>
      <c r="JY55" s="35"/>
      <c r="JZ55" s="35"/>
      <c r="KA55" s="35"/>
      <c r="KB55" s="35"/>
      <c r="KC55" s="35"/>
      <c r="KD55" s="35"/>
      <c r="KE55" s="35"/>
      <c r="KF55" s="35"/>
      <c r="KG55" s="35"/>
      <c r="KH55" s="35"/>
      <c r="KI55" s="35"/>
      <c r="KJ55" s="35"/>
      <c r="KK55" s="35"/>
      <c r="KL55" s="35"/>
      <c r="KM55" s="35"/>
      <c r="KN55" s="35"/>
      <c r="KO55" s="35"/>
      <c r="KP55" s="35"/>
      <c r="KQ55" s="35"/>
      <c r="KR55" s="35"/>
      <c r="KS55" s="35"/>
      <c r="KT55" s="35"/>
      <c r="KU55" s="35"/>
      <c r="KV55" s="35"/>
      <c r="KW55" s="35"/>
      <c r="KX55" s="35"/>
      <c r="KY55" s="35"/>
      <c r="KZ55" s="35"/>
      <c r="LA55" s="35"/>
      <c r="LB55" s="35"/>
      <c r="LC55" s="35"/>
      <c r="LD55" s="35"/>
      <c r="LE55" s="35"/>
      <c r="LF55" s="35"/>
      <c r="LG55" s="35"/>
      <c r="LH55" s="35"/>
      <c r="LI55" s="35"/>
      <c r="LJ55" s="35"/>
      <c r="LK55" s="35"/>
      <c r="LL55" s="35"/>
      <c r="LM55" s="35"/>
      <c r="LN55" s="35"/>
      <c r="LO55" s="35"/>
      <c r="LP55" s="35"/>
      <c r="LQ55" s="35"/>
      <c r="LR55" s="35"/>
      <c r="LS55" s="35"/>
      <c r="LT55" s="35"/>
      <c r="LU55" s="35"/>
      <c r="LV55" s="35"/>
      <c r="LW55" s="35"/>
      <c r="LX55" s="35"/>
      <c r="LY55" s="35"/>
      <c r="LZ55" s="35"/>
      <c r="MA55" s="35"/>
      <c r="MB55" s="35"/>
      <c r="MC55" s="35"/>
      <c r="MD55" s="35"/>
      <c r="ME55" s="35"/>
      <c r="MF55" s="35"/>
      <c r="MG55" s="35"/>
    </row>
    <row r="56" spans="2:345" s="67" customFormat="1" ht="36" hidden="1" customHeight="1" x14ac:dyDescent="0.25">
      <c r="B56" s="28">
        <v>4142</v>
      </c>
      <c r="C56" s="24" t="s">
        <v>16</v>
      </c>
      <c r="D56" s="19" t="s">
        <v>4317</v>
      </c>
      <c r="E56" s="18">
        <v>42443</v>
      </c>
      <c r="F56" s="27">
        <f t="shared" ca="1" si="1"/>
        <v>2030</v>
      </c>
      <c r="G56" s="69"/>
      <c r="H56" s="68"/>
      <c r="I56" s="25"/>
      <c r="J56" s="25">
        <v>42444</v>
      </c>
      <c r="K56" s="68" t="s">
        <v>4313</v>
      </c>
      <c r="L56" s="68">
        <v>42443</v>
      </c>
      <c r="M56" s="68"/>
      <c r="N56" s="22"/>
      <c r="O56" s="26" t="s">
        <v>4318</v>
      </c>
      <c r="P56" s="35"/>
      <c r="Q56" s="35"/>
      <c r="R56" s="20"/>
      <c r="S56" s="35"/>
      <c r="T56" s="35"/>
      <c r="U56" s="35"/>
      <c r="V56" s="35"/>
      <c r="W56" s="35"/>
      <c r="X56" s="35"/>
      <c r="Y56" s="35"/>
      <c r="Z56" s="35"/>
      <c r="AA56" s="35"/>
      <c r="AB56" s="35"/>
      <c r="AC56" s="35"/>
      <c r="AD56" s="35"/>
      <c r="AE56" s="35"/>
      <c r="AF56" s="35"/>
      <c r="AG56" s="35"/>
      <c r="AH56" s="35"/>
      <c r="AI56" s="35"/>
      <c r="AJ56" s="35"/>
      <c r="AK56" s="35"/>
      <c r="AL56" s="35"/>
      <c r="AM56" s="35"/>
      <c r="AN56" s="35"/>
      <c r="AO56" s="35"/>
      <c r="AP56" s="35"/>
      <c r="AQ56" s="35"/>
      <c r="AR56" s="35"/>
      <c r="AS56" s="35"/>
      <c r="AT56" s="35"/>
      <c r="AU56" s="35"/>
      <c r="AV56" s="35"/>
      <c r="AW56" s="35"/>
      <c r="AX56" s="35"/>
      <c r="AY56" s="35"/>
      <c r="AZ56" s="35"/>
      <c r="BA56" s="35"/>
      <c r="BB56" s="35"/>
      <c r="BC56" s="35"/>
      <c r="BD56" s="35"/>
      <c r="BE56" s="35"/>
      <c r="BF56" s="35"/>
      <c r="BG56" s="35"/>
      <c r="BH56" s="35"/>
      <c r="BI56" s="35"/>
      <c r="BJ56" s="35"/>
      <c r="BK56" s="35"/>
      <c r="BL56" s="35"/>
      <c r="BM56" s="35"/>
      <c r="BN56" s="35"/>
      <c r="BO56" s="35"/>
      <c r="BP56" s="35"/>
      <c r="BQ56" s="35"/>
      <c r="BR56" s="35"/>
      <c r="BS56" s="35"/>
      <c r="BT56" s="35"/>
      <c r="BU56" s="35"/>
      <c r="BV56" s="35"/>
      <c r="BW56" s="35"/>
      <c r="BX56" s="35"/>
      <c r="BY56" s="35"/>
      <c r="BZ56" s="35"/>
      <c r="CA56" s="35"/>
      <c r="CB56" s="35"/>
      <c r="CC56" s="35"/>
      <c r="CD56" s="35"/>
      <c r="CE56" s="35"/>
      <c r="CF56" s="35"/>
      <c r="CG56" s="35"/>
      <c r="CH56" s="35"/>
      <c r="CI56" s="35"/>
      <c r="CJ56" s="35"/>
      <c r="CK56" s="35"/>
      <c r="CL56" s="35"/>
      <c r="CM56" s="35"/>
      <c r="CN56" s="35"/>
      <c r="CO56" s="35"/>
      <c r="CP56" s="35"/>
      <c r="CQ56" s="35"/>
      <c r="CR56" s="35"/>
      <c r="CS56" s="35"/>
      <c r="CT56" s="35"/>
      <c r="CU56" s="35"/>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c r="DV56" s="35"/>
      <c r="DW56" s="35"/>
      <c r="DX56" s="35"/>
      <c r="DY56" s="35"/>
      <c r="DZ56" s="35"/>
      <c r="EA56" s="35"/>
      <c r="EB56" s="35"/>
      <c r="EC56" s="35"/>
      <c r="ED56" s="35"/>
      <c r="EE56" s="35"/>
      <c r="EF56" s="35"/>
      <c r="EG56" s="35"/>
      <c r="EH56" s="35"/>
      <c r="EI56" s="35"/>
      <c r="EJ56" s="35"/>
      <c r="EK56" s="35"/>
      <c r="EL56" s="35"/>
      <c r="EM56" s="35"/>
      <c r="EN56" s="35"/>
      <c r="EO56" s="35"/>
      <c r="EP56" s="35"/>
      <c r="EQ56" s="35"/>
      <c r="ER56" s="35"/>
      <c r="ES56" s="35"/>
      <c r="ET56" s="35"/>
      <c r="EU56" s="35"/>
      <c r="EV56" s="35"/>
      <c r="EW56" s="35"/>
      <c r="EX56" s="35"/>
      <c r="EY56" s="35"/>
      <c r="EZ56" s="35"/>
      <c r="FA56" s="35"/>
      <c r="FB56" s="35"/>
      <c r="FC56" s="35"/>
      <c r="FD56" s="35"/>
      <c r="FE56" s="35"/>
      <c r="FF56" s="35"/>
      <c r="FG56" s="35"/>
      <c r="FH56" s="35"/>
      <c r="FI56" s="35"/>
      <c r="FJ56" s="35"/>
      <c r="FK56" s="35"/>
      <c r="FL56" s="35"/>
      <c r="FM56" s="35"/>
      <c r="FN56" s="35"/>
      <c r="FO56" s="35"/>
      <c r="FP56" s="35"/>
      <c r="FQ56" s="35"/>
      <c r="FR56" s="35"/>
      <c r="FS56" s="35"/>
      <c r="FT56" s="35"/>
      <c r="FU56" s="35"/>
      <c r="FV56" s="35"/>
      <c r="FW56" s="35"/>
      <c r="FX56" s="35"/>
      <c r="FY56" s="35"/>
      <c r="FZ56" s="35"/>
      <c r="GA56" s="35"/>
      <c r="GB56" s="35"/>
      <c r="GC56" s="35"/>
      <c r="GD56" s="35"/>
      <c r="GE56" s="35"/>
      <c r="GF56" s="35"/>
      <c r="GG56" s="35"/>
      <c r="GH56" s="35"/>
      <c r="GI56" s="35"/>
      <c r="GJ56" s="35"/>
      <c r="GK56" s="35"/>
      <c r="GL56" s="35"/>
      <c r="GM56" s="35"/>
      <c r="GN56" s="35"/>
      <c r="GO56" s="35"/>
      <c r="GP56" s="35"/>
      <c r="GQ56" s="35"/>
      <c r="GR56" s="35"/>
      <c r="GS56" s="35"/>
      <c r="GT56" s="35"/>
      <c r="GU56" s="35"/>
      <c r="GV56" s="35"/>
      <c r="GW56" s="35"/>
      <c r="GX56" s="35"/>
      <c r="GY56" s="35"/>
      <c r="GZ56" s="35"/>
      <c r="HA56" s="35"/>
      <c r="HB56" s="35"/>
      <c r="HC56" s="35"/>
      <c r="HD56" s="35"/>
      <c r="HE56" s="35"/>
      <c r="HF56" s="35"/>
      <c r="HG56" s="35"/>
      <c r="HH56" s="35"/>
      <c r="HI56" s="35"/>
      <c r="HJ56" s="35"/>
      <c r="HK56" s="35"/>
      <c r="HL56" s="35"/>
      <c r="HM56" s="35"/>
      <c r="HN56" s="35"/>
      <c r="HO56" s="35"/>
      <c r="HP56" s="35"/>
      <c r="HQ56" s="35"/>
      <c r="HR56" s="35"/>
      <c r="HS56" s="35"/>
      <c r="HT56" s="35"/>
      <c r="HU56" s="35"/>
      <c r="HV56" s="35"/>
      <c r="HW56" s="35"/>
      <c r="HX56" s="35"/>
      <c r="HY56" s="35"/>
      <c r="HZ56" s="35"/>
      <c r="IA56" s="35"/>
      <c r="IB56" s="35"/>
      <c r="IC56" s="35"/>
      <c r="ID56" s="35"/>
      <c r="IE56" s="35"/>
      <c r="IF56" s="35"/>
      <c r="IG56" s="35"/>
      <c r="IH56" s="35"/>
      <c r="II56" s="35"/>
      <c r="IJ56" s="35"/>
      <c r="IK56" s="35"/>
      <c r="IL56" s="35"/>
      <c r="IM56" s="35"/>
      <c r="IN56" s="35"/>
      <c r="IO56" s="35"/>
      <c r="IP56" s="35"/>
      <c r="IQ56" s="35"/>
      <c r="IR56" s="35"/>
      <c r="IS56" s="35"/>
      <c r="IT56" s="35"/>
      <c r="IU56" s="35"/>
      <c r="IV56" s="35"/>
      <c r="IW56" s="35"/>
      <c r="IX56" s="35"/>
      <c r="IY56" s="35"/>
      <c r="IZ56" s="35"/>
      <c r="JA56" s="35"/>
      <c r="JB56" s="35"/>
      <c r="JC56" s="35"/>
      <c r="JD56" s="35"/>
      <c r="JE56" s="35"/>
      <c r="JF56" s="35"/>
      <c r="JG56" s="35"/>
      <c r="JH56" s="35"/>
      <c r="JI56" s="35"/>
      <c r="JJ56" s="35"/>
      <c r="JK56" s="35"/>
      <c r="JL56" s="35"/>
      <c r="JM56" s="35"/>
      <c r="JN56" s="35"/>
      <c r="JO56" s="35"/>
      <c r="JP56" s="35"/>
      <c r="JQ56" s="35"/>
      <c r="JR56" s="35"/>
      <c r="JS56" s="35"/>
      <c r="JT56" s="35"/>
      <c r="JU56" s="35"/>
      <c r="JV56" s="35"/>
      <c r="JW56" s="35"/>
      <c r="JX56" s="35"/>
      <c r="JY56" s="35"/>
      <c r="JZ56" s="35"/>
      <c r="KA56" s="35"/>
      <c r="KB56" s="35"/>
      <c r="KC56" s="35"/>
      <c r="KD56" s="35"/>
      <c r="KE56" s="35"/>
      <c r="KF56" s="35"/>
      <c r="KG56" s="35"/>
      <c r="KH56" s="35"/>
      <c r="KI56" s="35"/>
      <c r="KJ56" s="35"/>
      <c r="KK56" s="35"/>
      <c r="KL56" s="35"/>
      <c r="KM56" s="35"/>
      <c r="KN56" s="35"/>
      <c r="KO56" s="35"/>
      <c r="KP56" s="35"/>
      <c r="KQ56" s="35"/>
      <c r="KR56" s="35"/>
      <c r="KS56" s="35"/>
      <c r="KT56" s="35"/>
      <c r="KU56" s="35"/>
      <c r="KV56" s="35"/>
      <c r="KW56" s="35"/>
      <c r="KX56" s="35"/>
      <c r="KY56" s="35"/>
      <c r="KZ56" s="35"/>
      <c r="LA56" s="35"/>
      <c r="LB56" s="35"/>
      <c r="LC56" s="35"/>
      <c r="LD56" s="35"/>
      <c r="LE56" s="35"/>
      <c r="LF56" s="35"/>
      <c r="LG56" s="35"/>
      <c r="LH56" s="35"/>
      <c r="LI56" s="35"/>
      <c r="LJ56" s="35"/>
      <c r="LK56" s="35"/>
      <c r="LL56" s="35"/>
      <c r="LM56" s="35"/>
      <c r="LN56" s="35"/>
      <c r="LO56" s="35"/>
      <c r="LP56" s="35"/>
      <c r="LQ56" s="35"/>
      <c r="LR56" s="35"/>
      <c r="LS56" s="35"/>
      <c r="LT56" s="35"/>
      <c r="LU56" s="35"/>
      <c r="LV56" s="35"/>
      <c r="LW56" s="35"/>
      <c r="LX56" s="35"/>
      <c r="LY56" s="35"/>
      <c r="LZ56" s="35"/>
      <c r="MA56" s="35"/>
      <c r="MB56" s="35"/>
      <c r="MC56" s="35"/>
      <c r="MD56" s="35"/>
      <c r="ME56" s="35"/>
      <c r="MF56" s="35"/>
      <c r="MG56" s="35"/>
    </row>
    <row r="57" spans="2:345" s="67" customFormat="1" ht="36" hidden="1" customHeight="1" x14ac:dyDescent="0.25">
      <c r="B57" s="28">
        <v>4142</v>
      </c>
      <c r="C57" s="24" t="s">
        <v>10</v>
      </c>
      <c r="D57" s="19" t="s">
        <v>4319</v>
      </c>
      <c r="E57" s="18">
        <v>42447</v>
      </c>
      <c r="F57" s="27">
        <f t="shared" ca="1" si="1"/>
        <v>2026</v>
      </c>
      <c r="G57" s="69"/>
      <c r="H57" s="68"/>
      <c r="I57" s="25"/>
      <c r="J57" s="25">
        <v>42449</v>
      </c>
      <c r="K57" s="68" t="s">
        <v>4313</v>
      </c>
      <c r="L57" s="68">
        <v>42457</v>
      </c>
      <c r="M57" s="68"/>
      <c r="N57" s="22"/>
      <c r="O57" s="26"/>
      <c r="P57" s="35"/>
      <c r="Q57" s="35"/>
      <c r="R57" s="20"/>
      <c r="S57" s="35"/>
      <c r="T57" s="35"/>
      <c r="U57" s="35"/>
      <c r="V57" s="35"/>
      <c r="W57" s="35"/>
      <c r="X57" s="35"/>
      <c r="Y57" s="35"/>
      <c r="Z57" s="35"/>
      <c r="AA57" s="35"/>
      <c r="AB57" s="35"/>
      <c r="AC57" s="35"/>
      <c r="AD57" s="35"/>
      <c r="AE57" s="35"/>
      <c r="AF57" s="35"/>
      <c r="AG57" s="35"/>
      <c r="AH57" s="35"/>
      <c r="AI57" s="35"/>
      <c r="AJ57" s="35"/>
      <c r="AK57" s="35"/>
      <c r="AL57" s="35"/>
      <c r="AM57" s="35"/>
      <c r="AN57" s="35"/>
      <c r="AO57" s="35"/>
      <c r="AP57" s="35"/>
      <c r="AQ57" s="35"/>
      <c r="AR57" s="35"/>
      <c r="AS57" s="35"/>
      <c r="AT57" s="35"/>
      <c r="AU57" s="35"/>
      <c r="AV57" s="35"/>
      <c r="AW57" s="35"/>
      <c r="AX57" s="35"/>
      <c r="AY57" s="35"/>
      <c r="AZ57" s="35"/>
      <c r="BA57" s="35"/>
      <c r="BB57" s="35"/>
      <c r="BC57" s="35"/>
      <c r="BD57" s="35"/>
      <c r="BE57" s="35"/>
      <c r="BF57" s="35"/>
      <c r="BG57" s="35"/>
      <c r="BH57" s="35"/>
      <c r="BI57" s="35"/>
      <c r="BJ57" s="35"/>
      <c r="BK57" s="35"/>
      <c r="BL57" s="35"/>
      <c r="BM57" s="35"/>
      <c r="BN57" s="35"/>
      <c r="BO57" s="35"/>
      <c r="BP57" s="35"/>
      <c r="BQ57" s="35"/>
      <c r="BR57" s="35"/>
      <c r="BS57" s="35"/>
      <c r="BT57" s="35"/>
      <c r="BU57" s="35"/>
      <c r="BV57" s="35"/>
      <c r="BW57" s="35"/>
      <c r="BX57" s="35"/>
      <c r="BY57" s="35"/>
      <c r="BZ57" s="35"/>
      <c r="CA57" s="35"/>
      <c r="CB57" s="35"/>
      <c r="CC57" s="35"/>
      <c r="CD57" s="35"/>
      <c r="CE57" s="35"/>
      <c r="CF57" s="35"/>
      <c r="CG57" s="35"/>
      <c r="CH57" s="35"/>
      <c r="CI57" s="35"/>
      <c r="CJ57" s="35"/>
      <c r="CK57" s="35"/>
      <c r="CL57" s="35"/>
      <c r="CM57" s="35"/>
      <c r="CN57" s="35"/>
      <c r="CO57" s="35"/>
      <c r="CP57" s="35"/>
      <c r="CQ57" s="35"/>
      <c r="CR57" s="35"/>
      <c r="CS57" s="35"/>
      <c r="CT57" s="35"/>
      <c r="CU57" s="35"/>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c r="DV57" s="35"/>
      <c r="DW57" s="35"/>
      <c r="DX57" s="35"/>
      <c r="DY57" s="35"/>
      <c r="DZ57" s="35"/>
      <c r="EA57" s="35"/>
      <c r="EB57" s="35"/>
      <c r="EC57" s="35"/>
      <c r="ED57" s="35"/>
      <c r="EE57" s="35"/>
      <c r="EF57" s="35"/>
      <c r="EG57" s="35"/>
      <c r="EH57" s="35"/>
      <c r="EI57" s="35"/>
      <c r="EJ57" s="35"/>
      <c r="EK57" s="35"/>
      <c r="EL57" s="35"/>
      <c r="EM57" s="35"/>
      <c r="EN57" s="35"/>
      <c r="EO57" s="35"/>
      <c r="EP57" s="35"/>
      <c r="EQ57" s="35"/>
      <c r="ER57" s="35"/>
      <c r="ES57" s="35"/>
      <c r="ET57" s="35"/>
      <c r="EU57" s="35"/>
      <c r="EV57" s="35"/>
      <c r="EW57" s="35"/>
      <c r="EX57" s="35"/>
      <c r="EY57" s="35"/>
      <c r="EZ57" s="35"/>
      <c r="FA57" s="35"/>
      <c r="FB57" s="35"/>
      <c r="FC57" s="35"/>
      <c r="FD57" s="35"/>
      <c r="FE57" s="35"/>
      <c r="FF57" s="35"/>
      <c r="FG57" s="35"/>
      <c r="FH57" s="35"/>
      <c r="FI57" s="35"/>
      <c r="FJ57" s="35"/>
      <c r="FK57" s="35"/>
      <c r="FL57" s="35"/>
      <c r="FM57" s="35"/>
      <c r="FN57" s="35"/>
      <c r="FO57" s="35"/>
      <c r="FP57" s="35"/>
      <c r="FQ57" s="35"/>
      <c r="FR57" s="35"/>
      <c r="FS57" s="35"/>
      <c r="FT57" s="35"/>
      <c r="FU57" s="35"/>
      <c r="FV57" s="35"/>
      <c r="FW57" s="35"/>
      <c r="FX57" s="35"/>
      <c r="FY57" s="35"/>
      <c r="FZ57" s="35"/>
      <c r="GA57" s="35"/>
      <c r="GB57" s="35"/>
      <c r="GC57" s="35"/>
      <c r="GD57" s="35"/>
      <c r="GE57" s="35"/>
      <c r="GF57" s="35"/>
      <c r="GG57" s="35"/>
      <c r="GH57" s="35"/>
      <c r="GI57" s="35"/>
      <c r="GJ57" s="35"/>
      <c r="GK57" s="35"/>
      <c r="GL57" s="35"/>
      <c r="GM57" s="35"/>
      <c r="GN57" s="35"/>
      <c r="GO57" s="35"/>
      <c r="GP57" s="35"/>
      <c r="GQ57" s="35"/>
      <c r="GR57" s="35"/>
      <c r="GS57" s="35"/>
      <c r="GT57" s="35"/>
      <c r="GU57" s="35"/>
      <c r="GV57" s="35"/>
      <c r="GW57" s="35"/>
      <c r="GX57" s="35"/>
      <c r="GY57" s="35"/>
      <c r="GZ57" s="35"/>
      <c r="HA57" s="35"/>
      <c r="HB57" s="35"/>
      <c r="HC57" s="35"/>
      <c r="HD57" s="35"/>
      <c r="HE57" s="35"/>
      <c r="HF57" s="35"/>
      <c r="HG57" s="35"/>
      <c r="HH57" s="35"/>
      <c r="HI57" s="35"/>
      <c r="HJ57" s="35"/>
      <c r="HK57" s="35"/>
      <c r="HL57" s="35"/>
      <c r="HM57" s="35"/>
      <c r="HN57" s="35"/>
      <c r="HO57" s="35"/>
      <c r="HP57" s="35"/>
      <c r="HQ57" s="35"/>
      <c r="HR57" s="35"/>
      <c r="HS57" s="35"/>
      <c r="HT57" s="35"/>
      <c r="HU57" s="35"/>
      <c r="HV57" s="35"/>
      <c r="HW57" s="35"/>
      <c r="HX57" s="35"/>
      <c r="HY57" s="35"/>
      <c r="HZ57" s="35"/>
      <c r="IA57" s="35"/>
      <c r="IB57" s="35"/>
      <c r="IC57" s="35"/>
      <c r="ID57" s="35"/>
      <c r="IE57" s="35"/>
      <c r="IF57" s="35"/>
      <c r="IG57" s="35"/>
      <c r="IH57" s="35"/>
      <c r="II57" s="35"/>
      <c r="IJ57" s="35"/>
      <c r="IK57" s="35"/>
      <c r="IL57" s="35"/>
      <c r="IM57" s="35"/>
      <c r="IN57" s="35"/>
      <c r="IO57" s="35"/>
      <c r="IP57" s="35"/>
      <c r="IQ57" s="35"/>
      <c r="IR57" s="35"/>
      <c r="IS57" s="35"/>
      <c r="IT57" s="35"/>
      <c r="IU57" s="35"/>
      <c r="IV57" s="35"/>
      <c r="IW57" s="35"/>
      <c r="IX57" s="35"/>
      <c r="IY57" s="35"/>
      <c r="IZ57" s="35"/>
      <c r="JA57" s="35"/>
      <c r="JB57" s="35"/>
      <c r="JC57" s="35"/>
      <c r="JD57" s="35"/>
      <c r="JE57" s="35"/>
      <c r="JF57" s="35"/>
      <c r="JG57" s="35"/>
      <c r="JH57" s="35"/>
      <c r="JI57" s="35"/>
      <c r="JJ57" s="35"/>
      <c r="JK57" s="35"/>
      <c r="JL57" s="35"/>
      <c r="JM57" s="35"/>
      <c r="JN57" s="35"/>
      <c r="JO57" s="35"/>
      <c r="JP57" s="35"/>
      <c r="JQ57" s="35"/>
      <c r="JR57" s="35"/>
      <c r="JS57" s="35"/>
      <c r="JT57" s="35"/>
      <c r="JU57" s="35"/>
      <c r="JV57" s="35"/>
      <c r="JW57" s="35"/>
      <c r="JX57" s="35"/>
      <c r="JY57" s="35"/>
      <c r="JZ57" s="35"/>
      <c r="KA57" s="35"/>
      <c r="KB57" s="35"/>
      <c r="KC57" s="35"/>
      <c r="KD57" s="35"/>
      <c r="KE57" s="35"/>
      <c r="KF57" s="35"/>
      <c r="KG57" s="35"/>
      <c r="KH57" s="35"/>
      <c r="KI57" s="35"/>
      <c r="KJ57" s="35"/>
      <c r="KK57" s="35"/>
      <c r="KL57" s="35"/>
      <c r="KM57" s="35"/>
      <c r="KN57" s="35"/>
      <c r="KO57" s="35"/>
      <c r="KP57" s="35"/>
      <c r="KQ57" s="35"/>
      <c r="KR57" s="35"/>
      <c r="KS57" s="35"/>
      <c r="KT57" s="35"/>
      <c r="KU57" s="35"/>
      <c r="KV57" s="35"/>
      <c r="KW57" s="35"/>
      <c r="KX57" s="35"/>
      <c r="KY57" s="35"/>
      <c r="KZ57" s="35"/>
      <c r="LA57" s="35"/>
      <c r="LB57" s="35"/>
      <c r="LC57" s="35"/>
      <c r="LD57" s="35"/>
      <c r="LE57" s="35"/>
      <c r="LF57" s="35"/>
      <c r="LG57" s="35"/>
      <c r="LH57" s="35"/>
      <c r="LI57" s="35"/>
      <c r="LJ57" s="35"/>
      <c r="LK57" s="35"/>
      <c r="LL57" s="35"/>
      <c r="LM57" s="35"/>
      <c r="LN57" s="35"/>
      <c r="LO57" s="35"/>
      <c r="LP57" s="35"/>
      <c r="LQ57" s="35"/>
      <c r="LR57" s="35"/>
      <c r="LS57" s="35"/>
      <c r="LT57" s="35"/>
      <c r="LU57" s="35"/>
      <c r="LV57" s="35"/>
      <c r="LW57" s="35"/>
      <c r="LX57" s="35"/>
      <c r="LY57" s="35"/>
      <c r="LZ57" s="35"/>
      <c r="MA57" s="35"/>
      <c r="MB57" s="35"/>
      <c r="MC57" s="35"/>
      <c r="MD57" s="35"/>
      <c r="ME57" s="35"/>
      <c r="MF57" s="35"/>
      <c r="MG57" s="35"/>
    </row>
    <row r="58" spans="2:345" s="67" customFormat="1" ht="36" hidden="1" customHeight="1" x14ac:dyDescent="0.25">
      <c r="B58" s="28">
        <v>4143</v>
      </c>
      <c r="C58" s="24" t="s">
        <v>35</v>
      </c>
      <c r="D58" s="19" t="s">
        <v>1482</v>
      </c>
      <c r="E58" s="18">
        <v>42453</v>
      </c>
      <c r="F58" s="27">
        <f t="shared" ca="1" si="1"/>
        <v>2020</v>
      </c>
      <c r="G58" s="69"/>
      <c r="H58" s="68"/>
      <c r="I58" s="25"/>
      <c r="J58" s="25"/>
      <c r="K58" s="68"/>
      <c r="L58" s="68">
        <v>42457</v>
      </c>
      <c r="M58" s="68"/>
      <c r="N58" s="22"/>
      <c r="O58" s="26"/>
      <c r="P58" s="35"/>
      <c r="Q58" s="35"/>
      <c r="R58" s="20"/>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35"/>
      <c r="BA58" s="35"/>
      <c r="BB58" s="35"/>
      <c r="BC58" s="35"/>
      <c r="BD58" s="35"/>
      <c r="BE58" s="35"/>
      <c r="BF58" s="35"/>
      <c r="BG58" s="35"/>
      <c r="BH58" s="35"/>
      <c r="BI58" s="35"/>
      <c r="BJ58" s="35"/>
      <c r="BK58" s="35"/>
      <c r="BL58" s="35"/>
      <c r="BM58" s="35"/>
      <c r="BN58" s="35"/>
      <c r="BO58" s="35"/>
      <c r="BP58" s="35"/>
      <c r="BQ58" s="35"/>
      <c r="BR58" s="35"/>
      <c r="BS58" s="35"/>
      <c r="BT58" s="35"/>
      <c r="BU58" s="35"/>
      <c r="BV58" s="35"/>
      <c r="BW58" s="35"/>
      <c r="BX58" s="35"/>
      <c r="BY58" s="35"/>
      <c r="BZ58" s="35"/>
      <c r="CA58" s="35"/>
      <c r="CB58" s="35"/>
      <c r="CC58" s="35"/>
      <c r="CD58" s="35"/>
      <c r="CE58" s="35"/>
      <c r="CF58" s="35"/>
      <c r="CG58" s="35"/>
      <c r="CH58" s="35"/>
      <c r="CI58" s="35"/>
      <c r="CJ58" s="35"/>
      <c r="CK58" s="35"/>
      <c r="CL58" s="35"/>
      <c r="CM58" s="35"/>
      <c r="CN58" s="35"/>
      <c r="CO58" s="35"/>
      <c r="CP58" s="35"/>
      <c r="CQ58" s="35"/>
      <c r="CR58" s="35"/>
      <c r="CS58" s="35"/>
      <c r="CT58" s="35"/>
      <c r="CU58" s="35"/>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c r="DV58" s="35"/>
      <c r="DW58" s="35"/>
      <c r="DX58" s="35"/>
      <c r="DY58" s="35"/>
      <c r="DZ58" s="35"/>
      <c r="EA58" s="35"/>
      <c r="EB58" s="35"/>
      <c r="EC58" s="35"/>
      <c r="ED58" s="35"/>
      <c r="EE58" s="35"/>
      <c r="EF58" s="35"/>
      <c r="EG58" s="35"/>
      <c r="EH58" s="35"/>
      <c r="EI58" s="35"/>
      <c r="EJ58" s="35"/>
      <c r="EK58" s="35"/>
      <c r="EL58" s="35"/>
      <c r="EM58" s="35"/>
      <c r="EN58" s="35"/>
      <c r="EO58" s="35"/>
      <c r="EP58" s="35"/>
      <c r="EQ58" s="35"/>
      <c r="ER58" s="35"/>
      <c r="ES58" s="35"/>
      <c r="ET58" s="35"/>
      <c r="EU58" s="35"/>
      <c r="EV58" s="35"/>
      <c r="EW58" s="35"/>
      <c r="EX58" s="35"/>
      <c r="EY58" s="35"/>
      <c r="EZ58" s="35"/>
      <c r="FA58" s="35"/>
      <c r="FB58" s="35"/>
      <c r="FC58" s="35"/>
      <c r="FD58" s="35"/>
      <c r="FE58" s="35"/>
      <c r="FF58" s="35"/>
      <c r="FG58" s="35"/>
      <c r="FH58" s="35"/>
      <c r="FI58" s="35"/>
      <c r="FJ58" s="35"/>
      <c r="FK58" s="35"/>
      <c r="FL58" s="35"/>
      <c r="FM58" s="35"/>
      <c r="FN58" s="35"/>
      <c r="FO58" s="35"/>
      <c r="FP58" s="35"/>
      <c r="FQ58" s="35"/>
      <c r="FR58" s="35"/>
      <c r="FS58" s="35"/>
      <c r="FT58" s="35"/>
      <c r="FU58" s="35"/>
      <c r="FV58" s="35"/>
      <c r="FW58" s="35"/>
      <c r="FX58" s="35"/>
      <c r="FY58" s="35"/>
      <c r="FZ58" s="35"/>
      <c r="GA58" s="35"/>
      <c r="GB58" s="35"/>
      <c r="GC58" s="35"/>
      <c r="GD58" s="35"/>
      <c r="GE58" s="35"/>
      <c r="GF58" s="35"/>
      <c r="GG58" s="35"/>
      <c r="GH58" s="35"/>
      <c r="GI58" s="35"/>
      <c r="GJ58" s="35"/>
      <c r="GK58" s="35"/>
      <c r="GL58" s="35"/>
      <c r="GM58" s="35"/>
      <c r="GN58" s="35"/>
      <c r="GO58" s="35"/>
      <c r="GP58" s="35"/>
      <c r="GQ58" s="35"/>
      <c r="GR58" s="35"/>
      <c r="GS58" s="35"/>
      <c r="GT58" s="35"/>
      <c r="GU58" s="35"/>
      <c r="GV58" s="35"/>
      <c r="GW58" s="35"/>
      <c r="GX58" s="35"/>
      <c r="GY58" s="35"/>
      <c r="GZ58" s="35"/>
      <c r="HA58" s="35"/>
      <c r="HB58" s="35"/>
      <c r="HC58" s="35"/>
      <c r="HD58" s="35"/>
      <c r="HE58" s="35"/>
      <c r="HF58" s="35"/>
      <c r="HG58" s="35"/>
      <c r="HH58" s="35"/>
      <c r="HI58" s="35"/>
      <c r="HJ58" s="35"/>
      <c r="HK58" s="35"/>
      <c r="HL58" s="35"/>
      <c r="HM58" s="35"/>
      <c r="HN58" s="35"/>
      <c r="HO58" s="35"/>
      <c r="HP58" s="35"/>
      <c r="HQ58" s="35"/>
      <c r="HR58" s="35"/>
      <c r="HS58" s="35"/>
      <c r="HT58" s="35"/>
      <c r="HU58" s="35"/>
      <c r="HV58" s="35"/>
      <c r="HW58" s="35"/>
      <c r="HX58" s="35"/>
      <c r="HY58" s="35"/>
      <c r="HZ58" s="35"/>
      <c r="IA58" s="35"/>
      <c r="IB58" s="35"/>
      <c r="IC58" s="35"/>
      <c r="ID58" s="35"/>
      <c r="IE58" s="35"/>
      <c r="IF58" s="35"/>
      <c r="IG58" s="35"/>
      <c r="IH58" s="35"/>
      <c r="II58" s="35"/>
      <c r="IJ58" s="35"/>
      <c r="IK58" s="35"/>
      <c r="IL58" s="35"/>
      <c r="IM58" s="35"/>
      <c r="IN58" s="35"/>
      <c r="IO58" s="35"/>
      <c r="IP58" s="35"/>
      <c r="IQ58" s="35"/>
      <c r="IR58" s="35"/>
      <c r="IS58" s="35"/>
      <c r="IT58" s="35"/>
      <c r="IU58" s="35"/>
      <c r="IV58" s="35"/>
      <c r="IW58" s="35"/>
      <c r="IX58" s="35"/>
      <c r="IY58" s="35"/>
      <c r="IZ58" s="35"/>
      <c r="JA58" s="35"/>
      <c r="JB58" s="35"/>
      <c r="JC58" s="35"/>
      <c r="JD58" s="35"/>
      <c r="JE58" s="35"/>
      <c r="JF58" s="35"/>
      <c r="JG58" s="35"/>
      <c r="JH58" s="35"/>
      <c r="JI58" s="35"/>
      <c r="JJ58" s="35"/>
      <c r="JK58" s="35"/>
      <c r="JL58" s="35"/>
      <c r="JM58" s="35"/>
      <c r="JN58" s="35"/>
      <c r="JO58" s="35"/>
      <c r="JP58" s="35"/>
      <c r="JQ58" s="35"/>
      <c r="JR58" s="35"/>
      <c r="JS58" s="35"/>
      <c r="JT58" s="35"/>
      <c r="JU58" s="35"/>
      <c r="JV58" s="35"/>
      <c r="JW58" s="35"/>
      <c r="JX58" s="35"/>
      <c r="JY58" s="35"/>
      <c r="JZ58" s="35"/>
      <c r="KA58" s="35"/>
      <c r="KB58" s="35"/>
      <c r="KC58" s="35"/>
      <c r="KD58" s="35"/>
      <c r="KE58" s="35"/>
      <c r="KF58" s="35"/>
      <c r="KG58" s="35"/>
      <c r="KH58" s="35"/>
      <c r="KI58" s="35"/>
      <c r="KJ58" s="35"/>
      <c r="KK58" s="35"/>
      <c r="KL58" s="35"/>
      <c r="KM58" s="35"/>
      <c r="KN58" s="35"/>
      <c r="KO58" s="35"/>
      <c r="KP58" s="35"/>
      <c r="KQ58" s="35"/>
      <c r="KR58" s="35"/>
      <c r="KS58" s="35"/>
      <c r="KT58" s="35"/>
      <c r="KU58" s="35"/>
      <c r="KV58" s="35"/>
      <c r="KW58" s="35"/>
      <c r="KX58" s="35"/>
      <c r="KY58" s="35"/>
      <c r="KZ58" s="35"/>
      <c r="LA58" s="35"/>
      <c r="LB58" s="35"/>
      <c r="LC58" s="35"/>
      <c r="LD58" s="35"/>
      <c r="LE58" s="35"/>
      <c r="LF58" s="35"/>
      <c r="LG58" s="35"/>
      <c r="LH58" s="35"/>
      <c r="LI58" s="35"/>
      <c r="LJ58" s="35"/>
      <c r="LK58" s="35"/>
      <c r="LL58" s="35"/>
      <c r="LM58" s="35"/>
      <c r="LN58" s="35"/>
      <c r="LO58" s="35"/>
      <c r="LP58" s="35"/>
      <c r="LQ58" s="35"/>
      <c r="LR58" s="35"/>
      <c r="LS58" s="35"/>
      <c r="LT58" s="35"/>
      <c r="LU58" s="35"/>
      <c r="LV58" s="35"/>
      <c r="LW58" s="35"/>
      <c r="LX58" s="35"/>
      <c r="LY58" s="35"/>
      <c r="LZ58" s="35"/>
      <c r="MA58" s="35"/>
      <c r="MB58" s="35"/>
      <c r="MC58" s="35"/>
      <c r="MD58" s="35"/>
      <c r="ME58" s="35"/>
      <c r="MF58" s="35"/>
      <c r="MG58" s="35"/>
    </row>
    <row r="59" spans="2:345" s="67" customFormat="1" ht="36" hidden="1" customHeight="1" x14ac:dyDescent="0.25">
      <c r="B59" s="28">
        <v>4153</v>
      </c>
      <c r="C59" s="24" t="s">
        <v>40</v>
      </c>
      <c r="D59" s="19" t="s">
        <v>4371</v>
      </c>
      <c r="E59" s="18">
        <v>42461</v>
      </c>
      <c r="F59" s="27">
        <f t="shared" ca="1" si="1"/>
        <v>2012</v>
      </c>
      <c r="G59" s="69">
        <v>42465</v>
      </c>
      <c r="H59" s="68" t="s">
        <v>4372</v>
      </c>
      <c r="I59" s="25"/>
      <c r="J59" s="25">
        <v>42471</v>
      </c>
      <c r="K59" s="68" t="s">
        <v>730</v>
      </c>
      <c r="L59" s="68">
        <v>42471</v>
      </c>
      <c r="M59" s="68"/>
      <c r="N59" s="22"/>
      <c r="O59" s="26"/>
      <c r="P59" s="35"/>
      <c r="Q59" s="35"/>
      <c r="R59" s="20"/>
      <c r="S59" s="35"/>
      <c r="T59" s="35"/>
      <c r="U59" s="35"/>
      <c r="V59" s="35"/>
      <c r="W59" s="35"/>
      <c r="X59" s="35"/>
      <c r="Y59" s="35"/>
      <c r="Z59" s="35"/>
      <c r="AA59" s="35"/>
      <c r="AB59" s="35"/>
      <c r="AC59" s="35"/>
      <c r="AD59" s="35"/>
      <c r="AE59" s="35"/>
      <c r="AF59" s="35"/>
      <c r="AG59" s="35"/>
      <c r="AH59" s="35"/>
      <c r="AI59" s="35"/>
      <c r="AJ59" s="35"/>
      <c r="AK59" s="35"/>
      <c r="AL59" s="35"/>
      <c r="AM59" s="35"/>
      <c r="AN59" s="35"/>
      <c r="AO59" s="35"/>
      <c r="AP59" s="35"/>
      <c r="AQ59" s="35"/>
      <c r="AR59" s="35"/>
      <c r="AS59" s="35"/>
      <c r="AT59" s="35"/>
      <c r="AU59" s="35"/>
      <c r="AV59" s="35"/>
      <c r="AW59" s="35"/>
      <c r="AX59" s="35"/>
      <c r="AY59" s="35"/>
      <c r="AZ59" s="35"/>
      <c r="BA59" s="35"/>
      <c r="BB59" s="35"/>
      <c r="BC59" s="35"/>
      <c r="BD59" s="35"/>
      <c r="BE59" s="35"/>
      <c r="BF59" s="35"/>
      <c r="BG59" s="35"/>
      <c r="BH59" s="35"/>
      <c r="BI59" s="35"/>
      <c r="BJ59" s="35"/>
      <c r="BK59" s="35"/>
      <c r="BL59" s="35"/>
      <c r="BM59" s="35"/>
      <c r="BN59" s="35"/>
      <c r="BO59" s="35"/>
      <c r="BP59" s="35"/>
      <c r="BQ59" s="35"/>
      <c r="BR59" s="35"/>
      <c r="BS59" s="35"/>
      <c r="BT59" s="35"/>
      <c r="BU59" s="35"/>
      <c r="BV59" s="35"/>
      <c r="BW59" s="35"/>
      <c r="BX59" s="35"/>
      <c r="BY59" s="35"/>
      <c r="BZ59" s="35"/>
      <c r="CA59" s="35"/>
      <c r="CB59" s="35"/>
      <c r="CC59" s="35"/>
      <c r="CD59" s="35"/>
      <c r="CE59" s="35"/>
      <c r="CF59" s="35"/>
      <c r="CG59" s="35"/>
      <c r="CH59" s="35"/>
      <c r="CI59" s="35"/>
      <c r="CJ59" s="35"/>
      <c r="CK59" s="35"/>
      <c r="CL59" s="35"/>
      <c r="CM59" s="35"/>
      <c r="CN59" s="35"/>
      <c r="CO59" s="35"/>
      <c r="CP59" s="35"/>
      <c r="CQ59" s="35"/>
      <c r="CR59" s="35"/>
      <c r="CS59" s="35"/>
      <c r="CT59" s="35"/>
      <c r="CU59" s="35"/>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c r="DV59" s="35"/>
      <c r="DW59" s="35"/>
      <c r="DX59" s="35"/>
      <c r="DY59" s="35"/>
      <c r="DZ59" s="35"/>
      <c r="EA59" s="35"/>
      <c r="EB59" s="35"/>
      <c r="EC59" s="35"/>
      <c r="ED59" s="35"/>
      <c r="EE59" s="35"/>
      <c r="EF59" s="35"/>
      <c r="EG59" s="35"/>
      <c r="EH59" s="35"/>
      <c r="EI59" s="35"/>
      <c r="EJ59" s="35"/>
      <c r="EK59" s="35"/>
      <c r="EL59" s="35"/>
      <c r="EM59" s="35"/>
      <c r="EN59" s="35"/>
      <c r="EO59" s="35"/>
      <c r="EP59" s="35"/>
      <c r="EQ59" s="35"/>
      <c r="ER59" s="35"/>
      <c r="ES59" s="35"/>
      <c r="ET59" s="35"/>
      <c r="EU59" s="35"/>
      <c r="EV59" s="35"/>
      <c r="EW59" s="35"/>
      <c r="EX59" s="35"/>
      <c r="EY59" s="35"/>
      <c r="EZ59" s="35"/>
      <c r="FA59" s="35"/>
      <c r="FB59" s="35"/>
      <c r="FC59" s="35"/>
      <c r="FD59" s="35"/>
      <c r="FE59" s="35"/>
      <c r="FF59" s="35"/>
      <c r="FG59" s="35"/>
      <c r="FH59" s="35"/>
      <c r="FI59" s="35"/>
      <c r="FJ59" s="35"/>
      <c r="FK59" s="35"/>
      <c r="FL59" s="35"/>
      <c r="FM59" s="35"/>
      <c r="FN59" s="35"/>
      <c r="FO59" s="35"/>
      <c r="FP59" s="35"/>
      <c r="FQ59" s="35"/>
      <c r="FR59" s="35"/>
      <c r="FS59" s="35"/>
      <c r="FT59" s="35"/>
      <c r="FU59" s="35"/>
      <c r="FV59" s="35"/>
      <c r="FW59" s="35"/>
      <c r="FX59" s="35"/>
      <c r="FY59" s="35"/>
      <c r="FZ59" s="35"/>
      <c r="GA59" s="35"/>
      <c r="GB59" s="35"/>
      <c r="GC59" s="35"/>
      <c r="GD59" s="35"/>
      <c r="GE59" s="35"/>
      <c r="GF59" s="35"/>
      <c r="GG59" s="35"/>
      <c r="GH59" s="35"/>
      <c r="GI59" s="35"/>
      <c r="GJ59" s="35"/>
      <c r="GK59" s="35"/>
      <c r="GL59" s="35"/>
      <c r="GM59" s="35"/>
      <c r="GN59" s="35"/>
      <c r="GO59" s="35"/>
      <c r="GP59" s="35"/>
      <c r="GQ59" s="35"/>
      <c r="GR59" s="35"/>
      <c r="GS59" s="35"/>
      <c r="GT59" s="35"/>
      <c r="GU59" s="35"/>
      <c r="GV59" s="35"/>
      <c r="GW59" s="35"/>
      <c r="GX59" s="35"/>
      <c r="GY59" s="35"/>
      <c r="GZ59" s="35"/>
      <c r="HA59" s="35"/>
      <c r="HB59" s="35"/>
      <c r="HC59" s="35"/>
      <c r="HD59" s="35"/>
      <c r="HE59" s="35"/>
      <c r="HF59" s="35"/>
      <c r="HG59" s="35"/>
      <c r="HH59" s="35"/>
      <c r="HI59" s="35"/>
      <c r="HJ59" s="35"/>
      <c r="HK59" s="35"/>
      <c r="HL59" s="35"/>
      <c r="HM59" s="35"/>
      <c r="HN59" s="35"/>
      <c r="HO59" s="35"/>
      <c r="HP59" s="35"/>
      <c r="HQ59" s="35"/>
      <c r="HR59" s="35"/>
      <c r="HS59" s="35"/>
      <c r="HT59" s="35"/>
      <c r="HU59" s="35"/>
      <c r="HV59" s="35"/>
      <c r="HW59" s="35"/>
      <c r="HX59" s="35"/>
      <c r="HY59" s="35"/>
      <c r="HZ59" s="35"/>
      <c r="IA59" s="35"/>
      <c r="IB59" s="35"/>
      <c r="IC59" s="35"/>
      <c r="ID59" s="35"/>
      <c r="IE59" s="35"/>
      <c r="IF59" s="35"/>
      <c r="IG59" s="35"/>
      <c r="IH59" s="35"/>
      <c r="II59" s="35"/>
      <c r="IJ59" s="35"/>
      <c r="IK59" s="35"/>
      <c r="IL59" s="35"/>
      <c r="IM59" s="35"/>
      <c r="IN59" s="35"/>
      <c r="IO59" s="35"/>
      <c r="IP59" s="35"/>
      <c r="IQ59" s="35"/>
      <c r="IR59" s="35"/>
      <c r="IS59" s="35"/>
      <c r="IT59" s="35"/>
      <c r="IU59" s="35"/>
      <c r="IV59" s="35"/>
      <c r="IW59" s="35"/>
      <c r="IX59" s="35"/>
      <c r="IY59" s="35"/>
      <c r="IZ59" s="35"/>
      <c r="JA59" s="35"/>
      <c r="JB59" s="35"/>
      <c r="JC59" s="35"/>
      <c r="JD59" s="35"/>
      <c r="JE59" s="35"/>
      <c r="JF59" s="35"/>
      <c r="JG59" s="35"/>
      <c r="JH59" s="35"/>
      <c r="JI59" s="35"/>
      <c r="JJ59" s="35"/>
      <c r="JK59" s="35"/>
      <c r="JL59" s="35"/>
      <c r="JM59" s="35"/>
      <c r="JN59" s="35"/>
      <c r="JO59" s="35"/>
      <c r="JP59" s="35"/>
      <c r="JQ59" s="35"/>
      <c r="JR59" s="35"/>
      <c r="JS59" s="35"/>
      <c r="JT59" s="35"/>
      <c r="JU59" s="35"/>
      <c r="JV59" s="35"/>
      <c r="JW59" s="35"/>
      <c r="JX59" s="35"/>
      <c r="JY59" s="35"/>
      <c r="JZ59" s="35"/>
      <c r="KA59" s="35"/>
      <c r="KB59" s="35"/>
      <c r="KC59" s="35"/>
      <c r="KD59" s="35"/>
      <c r="KE59" s="35"/>
      <c r="KF59" s="35"/>
      <c r="KG59" s="35"/>
      <c r="KH59" s="35"/>
      <c r="KI59" s="35"/>
      <c r="KJ59" s="35"/>
      <c r="KK59" s="35"/>
      <c r="KL59" s="35"/>
      <c r="KM59" s="35"/>
      <c r="KN59" s="35"/>
      <c r="KO59" s="35"/>
      <c r="KP59" s="35"/>
      <c r="KQ59" s="35"/>
      <c r="KR59" s="35"/>
      <c r="KS59" s="35"/>
      <c r="KT59" s="35"/>
      <c r="KU59" s="35"/>
      <c r="KV59" s="35"/>
      <c r="KW59" s="35"/>
      <c r="KX59" s="35"/>
      <c r="KY59" s="35"/>
      <c r="KZ59" s="35"/>
      <c r="LA59" s="35"/>
      <c r="LB59" s="35"/>
      <c r="LC59" s="35"/>
      <c r="LD59" s="35"/>
      <c r="LE59" s="35"/>
      <c r="LF59" s="35"/>
      <c r="LG59" s="35"/>
      <c r="LH59" s="35"/>
      <c r="LI59" s="35"/>
      <c r="LJ59" s="35"/>
      <c r="LK59" s="35"/>
      <c r="LL59" s="35"/>
      <c r="LM59" s="35"/>
      <c r="LN59" s="35"/>
      <c r="LO59" s="35"/>
      <c r="LP59" s="35"/>
      <c r="LQ59" s="35"/>
      <c r="LR59" s="35"/>
      <c r="LS59" s="35"/>
      <c r="LT59" s="35"/>
      <c r="LU59" s="35"/>
      <c r="LV59" s="35"/>
      <c r="LW59" s="35"/>
      <c r="LX59" s="35"/>
      <c r="LY59" s="35"/>
      <c r="LZ59" s="35"/>
      <c r="MA59" s="35"/>
      <c r="MB59" s="35"/>
      <c r="MC59" s="35"/>
      <c r="MD59" s="35"/>
      <c r="ME59" s="35"/>
      <c r="MF59" s="35"/>
      <c r="MG59" s="35"/>
    </row>
    <row r="60" spans="2:345" s="67" customFormat="1" ht="36" hidden="1" customHeight="1" x14ac:dyDescent="0.25">
      <c r="B60" s="28">
        <v>4153</v>
      </c>
      <c r="C60" s="24" t="s">
        <v>1082</v>
      </c>
      <c r="D60" s="19" t="s">
        <v>4373</v>
      </c>
      <c r="E60" s="18">
        <v>42465</v>
      </c>
      <c r="F60" s="27">
        <f t="shared" ca="1" si="1"/>
        <v>2008</v>
      </c>
      <c r="G60" s="69">
        <v>42465</v>
      </c>
      <c r="H60" s="68" t="s">
        <v>4372</v>
      </c>
      <c r="I60" s="25"/>
      <c r="J60" s="25">
        <v>42471</v>
      </c>
      <c r="K60" s="68" t="s">
        <v>730</v>
      </c>
      <c r="L60" s="68">
        <v>42471</v>
      </c>
      <c r="M60" s="68"/>
      <c r="N60" s="22"/>
      <c r="O60" s="26"/>
      <c r="P60" s="35"/>
      <c r="Q60" s="35"/>
      <c r="R60" s="20"/>
      <c r="S60" s="35"/>
      <c r="T60" s="35"/>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35"/>
      <c r="AS60" s="35"/>
      <c r="AT60" s="35"/>
      <c r="AU60" s="35"/>
      <c r="AV60" s="35"/>
      <c r="AW60" s="35"/>
      <c r="AX60" s="35"/>
      <c r="AY60" s="35"/>
      <c r="AZ60" s="35"/>
      <c r="BA60" s="35"/>
      <c r="BB60" s="35"/>
      <c r="BC60" s="35"/>
      <c r="BD60" s="35"/>
      <c r="BE60" s="35"/>
      <c r="BF60" s="35"/>
      <c r="BG60" s="35"/>
      <c r="BH60" s="35"/>
      <c r="BI60" s="35"/>
      <c r="BJ60" s="35"/>
      <c r="BK60" s="35"/>
      <c r="BL60" s="35"/>
      <c r="BM60" s="35"/>
      <c r="BN60" s="35"/>
      <c r="BO60" s="35"/>
      <c r="BP60" s="35"/>
      <c r="BQ60" s="35"/>
      <c r="BR60" s="35"/>
      <c r="BS60" s="35"/>
      <c r="BT60" s="35"/>
      <c r="BU60" s="35"/>
      <c r="BV60" s="35"/>
      <c r="BW60" s="35"/>
      <c r="BX60" s="35"/>
      <c r="BY60" s="35"/>
      <c r="BZ60" s="35"/>
      <c r="CA60" s="35"/>
      <c r="CB60" s="35"/>
      <c r="CC60" s="35"/>
      <c r="CD60" s="35"/>
      <c r="CE60" s="35"/>
      <c r="CF60" s="35"/>
      <c r="CG60" s="35"/>
      <c r="CH60" s="35"/>
      <c r="CI60" s="35"/>
      <c r="CJ60" s="35"/>
      <c r="CK60" s="35"/>
      <c r="CL60" s="35"/>
      <c r="CM60" s="35"/>
      <c r="CN60" s="35"/>
      <c r="CO60" s="35"/>
      <c r="CP60" s="35"/>
      <c r="CQ60" s="35"/>
      <c r="CR60" s="35"/>
      <c r="CS60" s="35"/>
      <c r="CT60" s="35"/>
      <c r="CU60" s="35"/>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c r="DV60" s="35"/>
      <c r="DW60" s="35"/>
      <c r="DX60" s="35"/>
      <c r="DY60" s="35"/>
      <c r="DZ60" s="35"/>
      <c r="EA60" s="35"/>
      <c r="EB60" s="35"/>
      <c r="EC60" s="35"/>
      <c r="ED60" s="35"/>
      <c r="EE60" s="35"/>
      <c r="EF60" s="35"/>
      <c r="EG60" s="35"/>
      <c r="EH60" s="35"/>
      <c r="EI60" s="35"/>
      <c r="EJ60" s="35"/>
      <c r="EK60" s="35"/>
      <c r="EL60" s="35"/>
      <c r="EM60" s="35"/>
      <c r="EN60" s="35"/>
      <c r="EO60" s="35"/>
      <c r="EP60" s="35"/>
      <c r="EQ60" s="35"/>
      <c r="ER60" s="35"/>
      <c r="ES60" s="35"/>
      <c r="ET60" s="35"/>
      <c r="EU60" s="35"/>
      <c r="EV60" s="35"/>
      <c r="EW60" s="35"/>
      <c r="EX60" s="35"/>
      <c r="EY60" s="35"/>
      <c r="EZ60" s="35"/>
      <c r="FA60" s="35"/>
      <c r="FB60" s="35"/>
      <c r="FC60" s="35"/>
      <c r="FD60" s="35"/>
      <c r="FE60" s="35"/>
      <c r="FF60" s="35"/>
      <c r="FG60" s="35"/>
      <c r="FH60" s="35"/>
      <c r="FI60" s="35"/>
      <c r="FJ60" s="35"/>
      <c r="FK60" s="35"/>
      <c r="FL60" s="35"/>
      <c r="FM60" s="35"/>
      <c r="FN60" s="35"/>
      <c r="FO60" s="35"/>
      <c r="FP60" s="35"/>
      <c r="FQ60" s="35"/>
      <c r="FR60" s="35"/>
      <c r="FS60" s="35"/>
      <c r="FT60" s="35"/>
      <c r="FU60" s="35"/>
      <c r="FV60" s="35"/>
      <c r="FW60" s="35"/>
      <c r="FX60" s="35"/>
      <c r="FY60" s="35"/>
      <c r="FZ60" s="35"/>
      <c r="GA60" s="35"/>
      <c r="GB60" s="35"/>
      <c r="GC60" s="35"/>
      <c r="GD60" s="35"/>
      <c r="GE60" s="35"/>
      <c r="GF60" s="35"/>
      <c r="GG60" s="35"/>
      <c r="GH60" s="35"/>
      <c r="GI60" s="35"/>
      <c r="GJ60" s="35"/>
      <c r="GK60" s="35"/>
      <c r="GL60" s="35"/>
      <c r="GM60" s="35"/>
      <c r="GN60" s="35"/>
      <c r="GO60" s="35"/>
      <c r="GP60" s="35"/>
      <c r="GQ60" s="35"/>
      <c r="GR60" s="35"/>
      <c r="GS60" s="35"/>
      <c r="GT60" s="35"/>
      <c r="GU60" s="35"/>
      <c r="GV60" s="35"/>
      <c r="GW60" s="35"/>
      <c r="GX60" s="35"/>
      <c r="GY60" s="35"/>
      <c r="GZ60" s="35"/>
      <c r="HA60" s="35"/>
      <c r="HB60" s="35"/>
      <c r="HC60" s="35"/>
      <c r="HD60" s="35"/>
      <c r="HE60" s="35"/>
      <c r="HF60" s="35"/>
      <c r="HG60" s="35"/>
      <c r="HH60" s="35"/>
      <c r="HI60" s="35"/>
      <c r="HJ60" s="35"/>
      <c r="HK60" s="35"/>
      <c r="HL60" s="35"/>
      <c r="HM60" s="35"/>
      <c r="HN60" s="35"/>
      <c r="HO60" s="35"/>
      <c r="HP60" s="35"/>
      <c r="HQ60" s="35"/>
      <c r="HR60" s="35"/>
      <c r="HS60" s="35"/>
      <c r="HT60" s="35"/>
      <c r="HU60" s="35"/>
      <c r="HV60" s="35"/>
      <c r="HW60" s="35"/>
      <c r="HX60" s="35"/>
      <c r="HY60" s="35"/>
      <c r="HZ60" s="35"/>
      <c r="IA60" s="35"/>
      <c r="IB60" s="35"/>
      <c r="IC60" s="35"/>
      <c r="ID60" s="35"/>
      <c r="IE60" s="35"/>
      <c r="IF60" s="35"/>
      <c r="IG60" s="35"/>
      <c r="IH60" s="35"/>
      <c r="II60" s="35"/>
      <c r="IJ60" s="35"/>
      <c r="IK60" s="35"/>
      <c r="IL60" s="35"/>
      <c r="IM60" s="35"/>
      <c r="IN60" s="35"/>
      <c r="IO60" s="35"/>
      <c r="IP60" s="35"/>
      <c r="IQ60" s="35"/>
      <c r="IR60" s="35"/>
      <c r="IS60" s="35"/>
      <c r="IT60" s="35"/>
      <c r="IU60" s="35"/>
      <c r="IV60" s="35"/>
      <c r="IW60" s="35"/>
      <c r="IX60" s="35"/>
      <c r="IY60" s="35"/>
      <c r="IZ60" s="35"/>
      <c r="JA60" s="35"/>
      <c r="JB60" s="35"/>
      <c r="JC60" s="35"/>
      <c r="JD60" s="35"/>
      <c r="JE60" s="35"/>
      <c r="JF60" s="35"/>
      <c r="JG60" s="35"/>
      <c r="JH60" s="35"/>
      <c r="JI60" s="35"/>
      <c r="JJ60" s="35"/>
      <c r="JK60" s="35"/>
      <c r="JL60" s="35"/>
      <c r="JM60" s="35"/>
      <c r="JN60" s="35"/>
      <c r="JO60" s="35"/>
      <c r="JP60" s="35"/>
      <c r="JQ60" s="35"/>
      <c r="JR60" s="35"/>
      <c r="JS60" s="35"/>
      <c r="JT60" s="35"/>
      <c r="JU60" s="35"/>
      <c r="JV60" s="35"/>
      <c r="JW60" s="35"/>
      <c r="JX60" s="35"/>
      <c r="JY60" s="35"/>
      <c r="JZ60" s="35"/>
      <c r="KA60" s="35"/>
      <c r="KB60" s="35"/>
      <c r="KC60" s="35"/>
      <c r="KD60" s="35"/>
      <c r="KE60" s="35"/>
      <c r="KF60" s="35"/>
      <c r="KG60" s="35"/>
      <c r="KH60" s="35"/>
      <c r="KI60" s="35"/>
      <c r="KJ60" s="35"/>
      <c r="KK60" s="35"/>
      <c r="KL60" s="35"/>
      <c r="KM60" s="35"/>
      <c r="KN60" s="35"/>
      <c r="KO60" s="35"/>
      <c r="KP60" s="35"/>
      <c r="KQ60" s="35"/>
      <c r="KR60" s="35"/>
      <c r="KS60" s="35"/>
      <c r="KT60" s="35"/>
      <c r="KU60" s="35"/>
      <c r="KV60" s="35"/>
      <c r="KW60" s="35"/>
      <c r="KX60" s="35"/>
      <c r="KY60" s="35"/>
      <c r="KZ60" s="35"/>
      <c r="LA60" s="35"/>
      <c r="LB60" s="35"/>
      <c r="LC60" s="35"/>
      <c r="LD60" s="35"/>
      <c r="LE60" s="35"/>
      <c r="LF60" s="35"/>
      <c r="LG60" s="35"/>
      <c r="LH60" s="35"/>
      <c r="LI60" s="35"/>
      <c r="LJ60" s="35"/>
      <c r="LK60" s="35"/>
      <c r="LL60" s="35"/>
      <c r="LM60" s="35"/>
      <c r="LN60" s="35"/>
      <c r="LO60" s="35"/>
      <c r="LP60" s="35"/>
      <c r="LQ60" s="35"/>
      <c r="LR60" s="35"/>
      <c r="LS60" s="35"/>
      <c r="LT60" s="35"/>
      <c r="LU60" s="35"/>
      <c r="LV60" s="35"/>
      <c r="LW60" s="35"/>
      <c r="LX60" s="35"/>
      <c r="LY60" s="35"/>
      <c r="LZ60" s="35"/>
      <c r="MA60" s="35"/>
      <c r="MB60" s="35"/>
      <c r="MC60" s="35"/>
      <c r="MD60" s="35"/>
      <c r="ME60" s="35"/>
      <c r="MF60" s="35"/>
      <c r="MG60" s="35"/>
    </row>
    <row r="61" spans="2:345" s="67" customFormat="1" ht="36" hidden="1" customHeight="1" x14ac:dyDescent="0.25">
      <c r="B61" s="28">
        <v>4143</v>
      </c>
      <c r="C61" s="24" t="s">
        <v>40</v>
      </c>
      <c r="D61" s="19" t="s">
        <v>4342</v>
      </c>
      <c r="E61" s="18">
        <v>42474</v>
      </c>
      <c r="F61" s="27">
        <f t="shared" ca="1" si="1"/>
        <v>1999</v>
      </c>
      <c r="G61" s="69"/>
      <c r="H61" s="68"/>
      <c r="I61" s="25"/>
      <c r="J61" s="25"/>
      <c r="K61" s="68"/>
      <c r="L61" s="68">
        <v>42475</v>
      </c>
      <c r="M61" s="68"/>
      <c r="N61" s="22"/>
      <c r="O61" s="26"/>
      <c r="P61" s="35"/>
      <c r="Q61" s="35"/>
      <c r="R61" s="20"/>
      <c r="S61" s="35"/>
      <c r="T61" s="35"/>
      <c r="U61" s="35"/>
      <c r="V61" s="35"/>
      <c r="W61" s="35"/>
      <c r="X61" s="35"/>
      <c r="Y61" s="35"/>
      <c r="Z61" s="35"/>
      <c r="AA61" s="35"/>
      <c r="AB61" s="35"/>
      <c r="AC61" s="35"/>
      <c r="AD61" s="35"/>
      <c r="AE61" s="35"/>
      <c r="AF61" s="35"/>
      <c r="AG61" s="35"/>
      <c r="AH61" s="35"/>
      <c r="AI61" s="35"/>
      <c r="AJ61" s="35"/>
      <c r="AK61" s="35"/>
      <c r="AL61" s="35"/>
      <c r="AM61" s="35"/>
      <c r="AN61" s="35"/>
      <c r="AO61" s="35"/>
      <c r="AP61" s="35"/>
      <c r="AQ61" s="35"/>
      <c r="AR61" s="35"/>
      <c r="AS61" s="35"/>
      <c r="AT61" s="35"/>
      <c r="AU61" s="35"/>
      <c r="AV61" s="35"/>
      <c r="AW61" s="35"/>
      <c r="AX61" s="35"/>
      <c r="AY61" s="35"/>
      <c r="AZ61" s="35"/>
      <c r="BA61" s="35"/>
      <c r="BB61" s="35"/>
      <c r="BC61" s="35"/>
      <c r="BD61" s="35"/>
      <c r="BE61" s="35"/>
      <c r="BF61" s="35"/>
      <c r="BG61" s="35"/>
      <c r="BH61" s="35"/>
      <c r="BI61" s="35"/>
      <c r="BJ61" s="35"/>
      <c r="BK61" s="35"/>
      <c r="BL61" s="35"/>
      <c r="BM61" s="35"/>
      <c r="BN61" s="35"/>
      <c r="BO61" s="35"/>
      <c r="BP61" s="35"/>
      <c r="BQ61" s="35"/>
      <c r="BR61" s="35"/>
      <c r="BS61" s="35"/>
      <c r="BT61" s="35"/>
      <c r="BU61" s="35"/>
      <c r="BV61" s="35"/>
      <c r="BW61" s="35"/>
      <c r="BX61" s="35"/>
      <c r="BY61" s="35"/>
      <c r="BZ61" s="35"/>
      <c r="CA61" s="35"/>
      <c r="CB61" s="35"/>
      <c r="CC61" s="35"/>
      <c r="CD61" s="35"/>
      <c r="CE61" s="35"/>
      <c r="CF61" s="35"/>
      <c r="CG61" s="35"/>
      <c r="CH61" s="35"/>
      <c r="CI61" s="35"/>
      <c r="CJ61" s="35"/>
      <c r="CK61" s="35"/>
      <c r="CL61" s="35"/>
      <c r="CM61" s="35"/>
      <c r="CN61" s="35"/>
      <c r="CO61" s="35"/>
      <c r="CP61" s="35"/>
      <c r="CQ61" s="35"/>
      <c r="CR61" s="35"/>
      <c r="CS61" s="35"/>
      <c r="CT61" s="35"/>
      <c r="CU61" s="35"/>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c r="DV61" s="35"/>
      <c r="DW61" s="35"/>
      <c r="DX61" s="35"/>
      <c r="DY61" s="35"/>
      <c r="DZ61" s="35"/>
      <c r="EA61" s="35"/>
      <c r="EB61" s="35"/>
      <c r="EC61" s="35"/>
      <c r="ED61" s="35"/>
      <c r="EE61" s="35"/>
      <c r="EF61" s="35"/>
      <c r="EG61" s="35"/>
      <c r="EH61" s="35"/>
      <c r="EI61" s="35"/>
      <c r="EJ61" s="35"/>
      <c r="EK61" s="35"/>
      <c r="EL61" s="35"/>
      <c r="EM61" s="35"/>
      <c r="EN61" s="35"/>
      <c r="EO61" s="35"/>
      <c r="EP61" s="35"/>
      <c r="EQ61" s="35"/>
      <c r="ER61" s="35"/>
      <c r="ES61" s="35"/>
      <c r="ET61" s="35"/>
      <c r="EU61" s="35"/>
      <c r="EV61" s="35"/>
      <c r="EW61" s="35"/>
      <c r="EX61" s="35"/>
      <c r="EY61" s="35"/>
      <c r="EZ61" s="35"/>
      <c r="FA61" s="35"/>
      <c r="FB61" s="35"/>
      <c r="FC61" s="35"/>
      <c r="FD61" s="35"/>
      <c r="FE61" s="35"/>
      <c r="FF61" s="35"/>
      <c r="FG61" s="35"/>
      <c r="FH61" s="35"/>
      <c r="FI61" s="35"/>
      <c r="FJ61" s="35"/>
      <c r="FK61" s="35"/>
      <c r="FL61" s="35"/>
      <c r="FM61" s="35"/>
      <c r="FN61" s="35"/>
      <c r="FO61" s="35"/>
      <c r="FP61" s="35"/>
      <c r="FQ61" s="35"/>
      <c r="FR61" s="35"/>
      <c r="FS61" s="35"/>
      <c r="FT61" s="35"/>
      <c r="FU61" s="35"/>
      <c r="FV61" s="35"/>
      <c r="FW61" s="35"/>
      <c r="FX61" s="35"/>
      <c r="FY61" s="35"/>
      <c r="FZ61" s="35"/>
      <c r="GA61" s="35"/>
      <c r="GB61" s="35"/>
      <c r="GC61" s="35"/>
      <c r="GD61" s="35"/>
      <c r="GE61" s="35"/>
      <c r="GF61" s="35"/>
      <c r="GG61" s="35"/>
      <c r="GH61" s="35"/>
      <c r="GI61" s="35"/>
      <c r="GJ61" s="35"/>
      <c r="GK61" s="35"/>
      <c r="GL61" s="35"/>
      <c r="GM61" s="35"/>
      <c r="GN61" s="35"/>
      <c r="GO61" s="35"/>
      <c r="GP61" s="35"/>
      <c r="GQ61" s="35"/>
      <c r="GR61" s="35"/>
      <c r="GS61" s="35"/>
      <c r="GT61" s="35"/>
      <c r="GU61" s="35"/>
      <c r="GV61" s="35"/>
      <c r="GW61" s="35"/>
      <c r="GX61" s="35"/>
      <c r="GY61" s="35"/>
      <c r="GZ61" s="35"/>
      <c r="HA61" s="35"/>
      <c r="HB61" s="35"/>
      <c r="HC61" s="35"/>
      <c r="HD61" s="35"/>
      <c r="HE61" s="35"/>
      <c r="HF61" s="35"/>
      <c r="HG61" s="35"/>
      <c r="HH61" s="35"/>
      <c r="HI61" s="35"/>
      <c r="HJ61" s="35"/>
      <c r="HK61" s="35"/>
      <c r="HL61" s="35"/>
      <c r="HM61" s="35"/>
      <c r="HN61" s="35"/>
      <c r="HO61" s="35"/>
      <c r="HP61" s="35"/>
      <c r="HQ61" s="35"/>
      <c r="HR61" s="35"/>
      <c r="HS61" s="35"/>
      <c r="HT61" s="35"/>
      <c r="HU61" s="35"/>
      <c r="HV61" s="35"/>
      <c r="HW61" s="35"/>
      <c r="HX61" s="35"/>
      <c r="HY61" s="35"/>
      <c r="HZ61" s="35"/>
      <c r="IA61" s="35"/>
      <c r="IB61" s="35"/>
      <c r="IC61" s="35"/>
      <c r="ID61" s="35"/>
      <c r="IE61" s="35"/>
      <c r="IF61" s="35"/>
      <c r="IG61" s="35"/>
      <c r="IH61" s="35"/>
      <c r="II61" s="35"/>
      <c r="IJ61" s="35"/>
      <c r="IK61" s="35"/>
      <c r="IL61" s="35"/>
      <c r="IM61" s="35"/>
      <c r="IN61" s="35"/>
      <c r="IO61" s="35"/>
      <c r="IP61" s="35"/>
      <c r="IQ61" s="35"/>
      <c r="IR61" s="35"/>
      <c r="IS61" s="35"/>
      <c r="IT61" s="35"/>
      <c r="IU61" s="35"/>
      <c r="IV61" s="35"/>
      <c r="IW61" s="35"/>
      <c r="IX61" s="35"/>
      <c r="IY61" s="35"/>
      <c r="IZ61" s="35"/>
      <c r="JA61" s="35"/>
      <c r="JB61" s="35"/>
      <c r="JC61" s="35"/>
      <c r="JD61" s="35"/>
      <c r="JE61" s="35"/>
      <c r="JF61" s="35"/>
      <c r="JG61" s="35"/>
      <c r="JH61" s="35"/>
      <c r="JI61" s="35"/>
      <c r="JJ61" s="35"/>
      <c r="JK61" s="35"/>
      <c r="JL61" s="35"/>
      <c r="JM61" s="35"/>
      <c r="JN61" s="35"/>
      <c r="JO61" s="35"/>
      <c r="JP61" s="35"/>
      <c r="JQ61" s="35"/>
      <c r="JR61" s="35"/>
      <c r="JS61" s="35"/>
      <c r="JT61" s="35"/>
      <c r="JU61" s="35"/>
      <c r="JV61" s="35"/>
      <c r="JW61" s="35"/>
      <c r="JX61" s="35"/>
      <c r="JY61" s="35"/>
      <c r="JZ61" s="35"/>
      <c r="KA61" s="35"/>
      <c r="KB61" s="35"/>
      <c r="KC61" s="35"/>
      <c r="KD61" s="35"/>
      <c r="KE61" s="35"/>
      <c r="KF61" s="35"/>
      <c r="KG61" s="35"/>
      <c r="KH61" s="35"/>
      <c r="KI61" s="35"/>
      <c r="KJ61" s="35"/>
      <c r="KK61" s="35"/>
      <c r="KL61" s="35"/>
      <c r="KM61" s="35"/>
      <c r="KN61" s="35"/>
      <c r="KO61" s="35"/>
      <c r="KP61" s="35"/>
      <c r="KQ61" s="35"/>
      <c r="KR61" s="35"/>
      <c r="KS61" s="35"/>
      <c r="KT61" s="35"/>
      <c r="KU61" s="35"/>
      <c r="KV61" s="35"/>
      <c r="KW61" s="35"/>
      <c r="KX61" s="35"/>
      <c r="KY61" s="35"/>
      <c r="KZ61" s="35"/>
      <c r="LA61" s="35"/>
      <c r="LB61" s="35"/>
      <c r="LC61" s="35"/>
      <c r="LD61" s="35"/>
      <c r="LE61" s="35"/>
      <c r="LF61" s="35"/>
      <c r="LG61" s="35"/>
      <c r="LH61" s="35"/>
      <c r="LI61" s="35"/>
      <c r="LJ61" s="35"/>
      <c r="LK61" s="35"/>
      <c r="LL61" s="35"/>
      <c r="LM61" s="35"/>
      <c r="LN61" s="35"/>
      <c r="LO61" s="35"/>
      <c r="LP61" s="35"/>
      <c r="LQ61" s="35"/>
      <c r="LR61" s="35"/>
      <c r="LS61" s="35"/>
      <c r="LT61" s="35"/>
      <c r="LU61" s="35"/>
      <c r="LV61" s="35"/>
      <c r="LW61" s="35"/>
      <c r="LX61" s="35"/>
      <c r="LY61" s="35"/>
      <c r="LZ61" s="35"/>
      <c r="MA61" s="35"/>
      <c r="MB61" s="35"/>
      <c r="MC61" s="35"/>
      <c r="MD61" s="35"/>
      <c r="ME61" s="35"/>
      <c r="MF61" s="35"/>
      <c r="MG61" s="35"/>
    </row>
    <row r="62" spans="2:345" s="67" customFormat="1" ht="36" hidden="1" customHeight="1" x14ac:dyDescent="0.25">
      <c r="B62" s="28" t="s">
        <v>4404</v>
      </c>
      <c r="C62" s="24" t="s">
        <v>33</v>
      </c>
      <c r="D62" s="19" t="s">
        <v>4409</v>
      </c>
      <c r="E62" s="18">
        <v>42478</v>
      </c>
      <c r="F62" s="27">
        <f t="shared" ca="1" si="1"/>
        <v>1995</v>
      </c>
      <c r="G62" s="69"/>
      <c r="H62" s="68"/>
      <c r="I62" s="25"/>
      <c r="J62" s="25"/>
      <c r="K62" s="68"/>
      <c r="L62" s="68">
        <v>42487</v>
      </c>
      <c r="M62" s="68"/>
      <c r="N62" s="22"/>
      <c r="O62" s="26"/>
      <c r="P62" s="35"/>
      <c r="Q62" s="35"/>
      <c r="R62" s="20"/>
      <c r="S62" s="35"/>
      <c r="T62" s="35"/>
      <c r="U62" s="35"/>
      <c r="V62" s="35"/>
      <c r="W62" s="35"/>
      <c r="X62" s="35"/>
      <c r="Y62" s="35"/>
      <c r="Z62" s="35"/>
      <c r="AA62" s="35"/>
      <c r="AB62" s="35"/>
      <c r="AC62" s="35"/>
      <c r="AD62" s="35"/>
      <c r="AE62" s="35"/>
      <c r="AF62" s="35"/>
      <c r="AG62" s="35"/>
      <c r="AH62" s="35"/>
      <c r="AI62" s="35"/>
      <c r="AJ62" s="35"/>
      <c r="AK62" s="35"/>
      <c r="AL62" s="35"/>
      <c r="AM62" s="35"/>
      <c r="AN62" s="35"/>
      <c r="AO62" s="35"/>
      <c r="AP62" s="35"/>
      <c r="AQ62" s="35"/>
      <c r="AR62" s="35"/>
      <c r="AS62" s="35"/>
      <c r="AT62" s="35"/>
      <c r="AU62" s="35"/>
      <c r="AV62" s="35"/>
      <c r="AW62" s="35"/>
      <c r="AX62" s="35"/>
      <c r="AY62" s="35"/>
      <c r="AZ62" s="35"/>
      <c r="BA62" s="35"/>
      <c r="BB62" s="35"/>
      <c r="BC62" s="35"/>
      <c r="BD62" s="35"/>
      <c r="BE62" s="35"/>
      <c r="BF62" s="35"/>
      <c r="BG62" s="35"/>
      <c r="BH62" s="35"/>
      <c r="BI62" s="35"/>
      <c r="BJ62" s="35"/>
      <c r="BK62" s="35"/>
      <c r="BL62" s="35"/>
      <c r="BM62" s="35"/>
      <c r="BN62" s="35"/>
      <c r="BO62" s="35"/>
      <c r="BP62" s="35"/>
      <c r="BQ62" s="35"/>
      <c r="BR62" s="35"/>
      <c r="BS62" s="35"/>
      <c r="BT62" s="35"/>
      <c r="BU62" s="35"/>
      <c r="BV62" s="35"/>
      <c r="BW62" s="35"/>
      <c r="BX62" s="35"/>
      <c r="BY62" s="35"/>
      <c r="BZ62" s="35"/>
      <c r="CA62" s="35"/>
      <c r="CB62" s="35"/>
      <c r="CC62" s="35"/>
      <c r="CD62" s="35"/>
      <c r="CE62" s="35"/>
      <c r="CF62" s="35"/>
      <c r="CG62" s="35"/>
      <c r="CH62" s="35"/>
      <c r="CI62" s="35"/>
      <c r="CJ62" s="35"/>
      <c r="CK62" s="35"/>
      <c r="CL62" s="35"/>
      <c r="CM62" s="35"/>
      <c r="CN62" s="35"/>
      <c r="CO62" s="35"/>
      <c r="CP62" s="35"/>
      <c r="CQ62" s="35"/>
      <c r="CR62" s="35"/>
      <c r="CS62" s="35"/>
      <c r="CT62" s="35"/>
      <c r="CU62" s="35"/>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c r="DV62" s="35"/>
      <c r="DW62" s="35"/>
      <c r="DX62" s="35"/>
      <c r="DY62" s="35"/>
      <c r="DZ62" s="35"/>
      <c r="EA62" s="35"/>
      <c r="EB62" s="35"/>
      <c r="EC62" s="35"/>
      <c r="ED62" s="35"/>
      <c r="EE62" s="35"/>
      <c r="EF62" s="35"/>
      <c r="EG62" s="35"/>
      <c r="EH62" s="35"/>
      <c r="EI62" s="35"/>
      <c r="EJ62" s="35"/>
      <c r="EK62" s="35"/>
      <c r="EL62" s="35"/>
      <c r="EM62" s="35"/>
      <c r="EN62" s="35"/>
      <c r="EO62" s="35"/>
      <c r="EP62" s="35"/>
      <c r="EQ62" s="35"/>
      <c r="ER62" s="35"/>
      <c r="ES62" s="35"/>
      <c r="ET62" s="35"/>
      <c r="EU62" s="35"/>
      <c r="EV62" s="35"/>
      <c r="EW62" s="35"/>
      <c r="EX62" s="35"/>
      <c r="EY62" s="35"/>
      <c r="EZ62" s="35"/>
      <c r="FA62" s="35"/>
      <c r="FB62" s="35"/>
      <c r="FC62" s="35"/>
      <c r="FD62" s="35"/>
      <c r="FE62" s="35"/>
      <c r="FF62" s="35"/>
      <c r="FG62" s="35"/>
      <c r="FH62" s="35"/>
      <c r="FI62" s="35"/>
      <c r="FJ62" s="35"/>
      <c r="FK62" s="35"/>
      <c r="FL62" s="35"/>
      <c r="FM62" s="35"/>
      <c r="FN62" s="35"/>
      <c r="FO62" s="35"/>
      <c r="FP62" s="35"/>
      <c r="FQ62" s="35"/>
      <c r="FR62" s="35"/>
      <c r="FS62" s="35"/>
      <c r="FT62" s="35"/>
      <c r="FU62" s="35"/>
      <c r="FV62" s="35"/>
      <c r="FW62" s="35"/>
      <c r="FX62" s="35"/>
      <c r="FY62" s="35"/>
      <c r="FZ62" s="35"/>
      <c r="GA62" s="35"/>
      <c r="GB62" s="35"/>
      <c r="GC62" s="35"/>
      <c r="GD62" s="35"/>
      <c r="GE62" s="35"/>
      <c r="GF62" s="35"/>
      <c r="GG62" s="35"/>
      <c r="GH62" s="35"/>
      <c r="GI62" s="35"/>
      <c r="GJ62" s="35"/>
      <c r="GK62" s="35"/>
      <c r="GL62" s="35"/>
      <c r="GM62" s="35"/>
      <c r="GN62" s="35"/>
      <c r="GO62" s="35"/>
      <c r="GP62" s="35"/>
      <c r="GQ62" s="35"/>
      <c r="GR62" s="35"/>
      <c r="GS62" s="35"/>
      <c r="GT62" s="35"/>
      <c r="GU62" s="35"/>
      <c r="GV62" s="35"/>
      <c r="GW62" s="35"/>
      <c r="GX62" s="35"/>
      <c r="GY62" s="35"/>
      <c r="GZ62" s="35"/>
      <c r="HA62" s="35"/>
      <c r="HB62" s="35"/>
      <c r="HC62" s="35"/>
      <c r="HD62" s="35"/>
      <c r="HE62" s="35"/>
      <c r="HF62" s="35"/>
      <c r="HG62" s="35"/>
      <c r="HH62" s="35"/>
      <c r="HI62" s="35"/>
      <c r="HJ62" s="35"/>
      <c r="HK62" s="35"/>
      <c r="HL62" s="35"/>
      <c r="HM62" s="35"/>
      <c r="HN62" s="35"/>
      <c r="HO62" s="35"/>
      <c r="HP62" s="35"/>
      <c r="HQ62" s="35"/>
      <c r="HR62" s="35"/>
      <c r="HS62" s="35"/>
      <c r="HT62" s="35"/>
      <c r="HU62" s="35"/>
      <c r="HV62" s="35"/>
      <c r="HW62" s="35"/>
      <c r="HX62" s="35"/>
      <c r="HY62" s="35"/>
      <c r="HZ62" s="35"/>
      <c r="IA62" s="35"/>
      <c r="IB62" s="35"/>
      <c r="IC62" s="35"/>
      <c r="ID62" s="35"/>
      <c r="IE62" s="35"/>
      <c r="IF62" s="35"/>
      <c r="IG62" s="35"/>
      <c r="IH62" s="35"/>
      <c r="II62" s="35"/>
      <c r="IJ62" s="35"/>
      <c r="IK62" s="35"/>
      <c r="IL62" s="35"/>
      <c r="IM62" s="35"/>
      <c r="IN62" s="35"/>
      <c r="IO62" s="35"/>
      <c r="IP62" s="35"/>
      <c r="IQ62" s="35"/>
      <c r="IR62" s="35"/>
      <c r="IS62" s="35"/>
      <c r="IT62" s="35"/>
      <c r="IU62" s="35"/>
      <c r="IV62" s="35"/>
      <c r="IW62" s="35"/>
      <c r="IX62" s="35"/>
      <c r="IY62" s="35"/>
      <c r="IZ62" s="35"/>
      <c r="JA62" s="35"/>
      <c r="JB62" s="35"/>
      <c r="JC62" s="35"/>
      <c r="JD62" s="35"/>
      <c r="JE62" s="35"/>
      <c r="JF62" s="35"/>
      <c r="JG62" s="35"/>
      <c r="JH62" s="35"/>
      <c r="JI62" s="35"/>
      <c r="JJ62" s="35"/>
      <c r="JK62" s="35"/>
      <c r="JL62" s="35"/>
      <c r="JM62" s="35"/>
      <c r="JN62" s="35"/>
      <c r="JO62" s="35"/>
      <c r="JP62" s="35"/>
      <c r="JQ62" s="35"/>
      <c r="JR62" s="35"/>
      <c r="JS62" s="35"/>
      <c r="JT62" s="35"/>
      <c r="JU62" s="35"/>
      <c r="JV62" s="35"/>
      <c r="JW62" s="35"/>
      <c r="JX62" s="35"/>
      <c r="JY62" s="35"/>
      <c r="JZ62" s="35"/>
      <c r="KA62" s="35"/>
      <c r="KB62" s="35"/>
      <c r="KC62" s="35"/>
      <c r="KD62" s="35"/>
      <c r="KE62" s="35"/>
      <c r="KF62" s="35"/>
      <c r="KG62" s="35"/>
      <c r="KH62" s="35"/>
      <c r="KI62" s="35"/>
      <c r="KJ62" s="35"/>
      <c r="KK62" s="35"/>
      <c r="KL62" s="35"/>
      <c r="KM62" s="35"/>
      <c r="KN62" s="35"/>
      <c r="KO62" s="35"/>
      <c r="KP62" s="35"/>
      <c r="KQ62" s="35"/>
      <c r="KR62" s="35"/>
      <c r="KS62" s="35"/>
      <c r="KT62" s="35"/>
      <c r="KU62" s="35"/>
      <c r="KV62" s="35"/>
      <c r="KW62" s="35"/>
      <c r="KX62" s="35"/>
      <c r="KY62" s="35"/>
      <c r="KZ62" s="35"/>
      <c r="LA62" s="35"/>
      <c r="LB62" s="35"/>
      <c r="LC62" s="35"/>
      <c r="LD62" s="35"/>
      <c r="LE62" s="35"/>
      <c r="LF62" s="35"/>
      <c r="LG62" s="35"/>
      <c r="LH62" s="35"/>
      <c r="LI62" s="35"/>
      <c r="LJ62" s="35"/>
      <c r="LK62" s="35"/>
      <c r="LL62" s="35"/>
      <c r="LM62" s="35"/>
      <c r="LN62" s="35"/>
      <c r="LO62" s="35"/>
      <c r="LP62" s="35"/>
      <c r="LQ62" s="35"/>
      <c r="LR62" s="35"/>
      <c r="LS62" s="35"/>
      <c r="LT62" s="35"/>
      <c r="LU62" s="35"/>
      <c r="LV62" s="35"/>
      <c r="LW62" s="35"/>
      <c r="LX62" s="35"/>
      <c r="LY62" s="35"/>
      <c r="LZ62" s="35"/>
      <c r="MA62" s="35"/>
      <c r="MB62" s="35"/>
      <c r="MC62" s="35"/>
      <c r="MD62" s="35"/>
      <c r="ME62" s="35"/>
      <c r="MF62" s="35"/>
      <c r="MG62" s="35"/>
    </row>
    <row r="63" spans="2:345" s="67" customFormat="1" ht="36" hidden="1" customHeight="1" x14ac:dyDescent="0.25">
      <c r="B63" s="28" t="s">
        <v>4404</v>
      </c>
      <c r="C63" s="24" t="s">
        <v>40</v>
      </c>
      <c r="D63" s="19" t="s">
        <v>4410</v>
      </c>
      <c r="E63" s="18">
        <v>42478</v>
      </c>
      <c r="F63" s="27">
        <f t="shared" ca="1" si="1"/>
        <v>1995</v>
      </c>
      <c r="G63" s="69"/>
      <c r="H63" s="68"/>
      <c r="I63" s="25"/>
      <c r="J63" s="25"/>
      <c r="K63" s="68"/>
      <c r="L63" s="68">
        <v>42487</v>
      </c>
      <c r="M63" s="68"/>
      <c r="N63" s="22"/>
      <c r="O63" s="26"/>
      <c r="P63" s="35"/>
      <c r="Q63" s="35"/>
      <c r="R63" s="20"/>
      <c r="S63" s="35"/>
      <c r="T63" s="35"/>
      <c r="U63" s="35"/>
      <c r="V63" s="35"/>
      <c r="W63" s="35"/>
      <c r="X63" s="35"/>
      <c r="Y63" s="35"/>
      <c r="Z63" s="35"/>
      <c r="AA63" s="35"/>
      <c r="AB63" s="35"/>
      <c r="AC63" s="35"/>
      <c r="AD63" s="35"/>
      <c r="AE63" s="35"/>
      <c r="AF63" s="35"/>
      <c r="AG63" s="35"/>
      <c r="AH63" s="35"/>
      <c r="AI63" s="35"/>
      <c r="AJ63" s="35"/>
      <c r="AK63" s="35"/>
      <c r="AL63" s="35"/>
      <c r="AM63" s="35"/>
      <c r="AN63" s="35"/>
      <c r="AO63" s="35"/>
      <c r="AP63" s="35"/>
      <c r="AQ63" s="35"/>
      <c r="AR63" s="35"/>
      <c r="AS63" s="35"/>
      <c r="AT63" s="35"/>
      <c r="AU63" s="35"/>
      <c r="AV63" s="35"/>
      <c r="AW63" s="35"/>
      <c r="AX63" s="35"/>
      <c r="AY63" s="35"/>
      <c r="AZ63" s="35"/>
      <c r="BA63" s="35"/>
      <c r="BB63" s="35"/>
      <c r="BC63" s="35"/>
      <c r="BD63" s="35"/>
      <c r="BE63" s="35"/>
      <c r="BF63" s="35"/>
      <c r="BG63" s="35"/>
      <c r="BH63" s="35"/>
      <c r="BI63" s="35"/>
      <c r="BJ63" s="35"/>
      <c r="BK63" s="35"/>
      <c r="BL63" s="35"/>
      <c r="BM63" s="35"/>
      <c r="BN63" s="35"/>
      <c r="BO63" s="35"/>
      <c r="BP63" s="35"/>
      <c r="BQ63" s="35"/>
      <c r="BR63" s="35"/>
      <c r="BS63" s="35"/>
      <c r="BT63" s="35"/>
      <c r="BU63" s="35"/>
      <c r="BV63" s="35"/>
      <c r="BW63" s="35"/>
      <c r="BX63" s="35"/>
      <c r="BY63" s="35"/>
      <c r="BZ63" s="35"/>
      <c r="CA63" s="35"/>
      <c r="CB63" s="35"/>
      <c r="CC63" s="35"/>
      <c r="CD63" s="35"/>
      <c r="CE63" s="35"/>
      <c r="CF63" s="35"/>
      <c r="CG63" s="35"/>
      <c r="CH63" s="35"/>
      <c r="CI63" s="35"/>
      <c r="CJ63" s="35"/>
      <c r="CK63" s="35"/>
      <c r="CL63" s="35"/>
      <c r="CM63" s="35"/>
      <c r="CN63" s="35"/>
      <c r="CO63" s="35"/>
      <c r="CP63" s="35"/>
      <c r="CQ63" s="35"/>
      <c r="CR63" s="35"/>
      <c r="CS63" s="35"/>
      <c r="CT63" s="35"/>
      <c r="CU63" s="35"/>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c r="DV63" s="35"/>
      <c r="DW63" s="35"/>
      <c r="DX63" s="35"/>
      <c r="DY63" s="35"/>
      <c r="DZ63" s="35"/>
      <c r="EA63" s="35"/>
      <c r="EB63" s="35"/>
      <c r="EC63" s="35"/>
      <c r="ED63" s="35"/>
      <c r="EE63" s="35"/>
      <c r="EF63" s="35"/>
      <c r="EG63" s="35"/>
      <c r="EH63" s="35"/>
      <c r="EI63" s="35"/>
      <c r="EJ63" s="35"/>
      <c r="EK63" s="35"/>
      <c r="EL63" s="35"/>
      <c r="EM63" s="35"/>
      <c r="EN63" s="35"/>
      <c r="EO63" s="35"/>
      <c r="EP63" s="35"/>
      <c r="EQ63" s="35"/>
      <c r="ER63" s="35"/>
      <c r="ES63" s="35"/>
      <c r="ET63" s="35"/>
      <c r="EU63" s="35"/>
      <c r="EV63" s="35"/>
      <c r="EW63" s="35"/>
      <c r="EX63" s="35"/>
      <c r="EY63" s="35"/>
      <c r="EZ63" s="35"/>
      <c r="FA63" s="35"/>
      <c r="FB63" s="35"/>
      <c r="FC63" s="35"/>
      <c r="FD63" s="35"/>
      <c r="FE63" s="35"/>
      <c r="FF63" s="35"/>
      <c r="FG63" s="35"/>
      <c r="FH63" s="35"/>
      <c r="FI63" s="35"/>
      <c r="FJ63" s="35"/>
      <c r="FK63" s="35"/>
      <c r="FL63" s="35"/>
      <c r="FM63" s="35"/>
      <c r="FN63" s="35"/>
      <c r="FO63" s="35"/>
      <c r="FP63" s="35"/>
      <c r="FQ63" s="35"/>
      <c r="FR63" s="35"/>
      <c r="FS63" s="35"/>
      <c r="FT63" s="35"/>
      <c r="FU63" s="35"/>
      <c r="FV63" s="35"/>
      <c r="FW63" s="35"/>
      <c r="FX63" s="35"/>
      <c r="FY63" s="35"/>
      <c r="FZ63" s="35"/>
      <c r="GA63" s="35"/>
      <c r="GB63" s="35"/>
      <c r="GC63" s="35"/>
      <c r="GD63" s="35"/>
      <c r="GE63" s="35"/>
      <c r="GF63" s="35"/>
      <c r="GG63" s="35"/>
      <c r="GH63" s="35"/>
      <c r="GI63" s="35"/>
      <c r="GJ63" s="35"/>
      <c r="GK63" s="35"/>
      <c r="GL63" s="35"/>
      <c r="GM63" s="35"/>
      <c r="GN63" s="35"/>
      <c r="GO63" s="35"/>
      <c r="GP63" s="35"/>
      <c r="GQ63" s="35"/>
      <c r="GR63" s="35"/>
      <c r="GS63" s="35"/>
      <c r="GT63" s="35"/>
      <c r="GU63" s="35"/>
      <c r="GV63" s="35"/>
      <c r="GW63" s="35"/>
      <c r="GX63" s="35"/>
      <c r="GY63" s="35"/>
      <c r="GZ63" s="35"/>
      <c r="HA63" s="35"/>
      <c r="HB63" s="35"/>
      <c r="HC63" s="35"/>
      <c r="HD63" s="35"/>
      <c r="HE63" s="35"/>
      <c r="HF63" s="35"/>
      <c r="HG63" s="35"/>
      <c r="HH63" s="35"/>
      <c r="HI63" s="35"/>
      <c r="HJ63" s="35"/>
      <c r="HK63" s="35"/>
      <c r="HL63" s="35"/>
      <c r="HM63" s="35"/>
      <c r="HN63" s="35"/>
      <c r="HO63" s="35"/>
      <c r="HP63" s="35"/>
      <c r="HQ63" s="35"/>
      <c r="HR63" s="35"/>
      <c r="HS63" s="35"/>
      <c r="HT63" s="35"/>
      <c r="HU63" s="35"/>
      <c r="HV63" s="35"/>
      <c r="HW63" s="35"/>
      <c r="HX63" s="35"/>
      <c r="HY63" s="35"/>
      <c r="HZ63" s="35"/>
      <c r="IA63" s="35"/>
      <c r="IB63" s="35"/>
      <c r="IC63" s="35"/>
      <c r="ID63" s="35"/>
      <c r="IE63" s="35"/>
      <c r="IF63" s="35"/>
      <c r="IG63" s="35"/>
      <c r="IH63" s="35"/>
      <c r="II63" s="35"/>
      <c r="IJ63" s="35"/>
      <c r="IK63" s="35"/>
      <c r="IL63" s="35"/>
      <c r="IM63" s="35"/>
      <c r="IN63" s="35"/>
      <c r="IO63" s="35"/>
      <c r="IP63" s="35"/>
      <c r="IQ63" s="35"/>
      <c r="IR63" s="35"/>
      <c r="IS63" s="35"/>
      <c r="IT63" s="35"/>
      <c r="IU63" s="35"/>
      <c r="IV63" s="35"/>
      <c r="IW63" s="35"/>
      <c r="IX63" s="35"/>
      <c r="IY63" s="35"/>
      <c r="IZ63" s="35"/>
      <c r="JA63" s="35"/>
      <c r="JB63" s="35"/>
      <c r="JC63" s="35"/>
      <c r="JD63" s="35"/>
      <c r="JE63" s="35"/>
      <c r="JF63" s="35"/>
      <c r="JG63" s="35"/>
      <c r="JH63" s="35"/>
      <c r="JI63" s="35"/>
      <c r="JJ63" s="35"/>
      <c r="JK63" s="35"/>
      <c r="JL63" s="35"/>
      <c r="JM63" s="35"/>
      <c r="JN63" s="35"/>
      <c r="JO63" s="35"/>
      <c r="JP63" s="35"/>
      <c r="JQ63" s="35"/>
      <c r="JR63" s="35"/>
      <c r="JS63" s="35"/>
      <c r="JT63" s="35"/>
      <c r="JU63" s="35"/>
      <c r="JV63" s="35"/>
      <c r="JW63" s="35"/>
      <c r="JX63" s="35"/>
      <c r="JY63" s="35"/>
      <c r="JZ63" s="35"/>
      <c r="KA63" s="35"/>
      <c r="KB63" s="35"/>
      <c r="KC63" s="35"/>
      <c r="KD63" s="35"/>
      <c r="KE63" s="35"/>
      <c r="KF63" s="35"/>
      <c r="KG63" s="35"/>
      <c r="KH63" s="35"/>
      <c r="KI63" s="35"/>
      <c r="KJ63" s="35"/>
      <c r="KK63" s="35"/>
      <c r="KL63" s="35"/>
      <c r="KM63" s="35"/>
      <c r="KN63" s="35"/>
      <c r="KO63" s="35"/>
      <c r="KP63" s="35"/>
      <c r="KQ63" s="35"/>
      <c r="KR63" s="35"/>
      <c r="KS63" s="35"/>
      <c r="KT63" s="35"/>
      <c r="KU63" s="35"/>
      <c r="KV63" s="35"/>
      <c r="KW63" s="35"/>
      <c r="KX63" s="35"/>
      <c r="KY63" s="35"/>
      <c r="KZ63" s="35"/>
      <c r="LA63" s="35"/>
      <c r="LB63" s="35"/>
      <c r="LC63" s="35"/>
      <c r="LD63" s="35"/>
      <c r="LE63" s="35"/>
      <c r="LF63" s="35"/>
      <c r="LG63" s="35"/>
      <c r="LH63" s="35"/>
      <c r="LI63" s="35"/>
      <c r="LJ63" s="35"/>
      <c r="LK63" s="35"/>
      <c r="LL63" s="35"/>
      <c r="LM63" s="35"/>
      <c r="LN63" s="35"/>
      <c r="LO63" s="35"/>
      <c r="LP63" s="35"/>
      <c r="LQ63" s="35"/>
      <c r="LR63" s="35"/>
      <c r="LS63" s="35"/>
      <c r="LT63" s="35"/>
      <c r="LU63" s="35"/>
      <c r="LV63" s="35"/>
      <c r="LW63" s="35"/>
      <c r="LX63" s="35"/>
      <c r="LY63" s="35"/>
      <c r="LZ63" s="35"/>
      <c r="MA63" s="35"/>
      <c r="MB63" s="35"/>
      <c r="MC63" s="35"/>
      <c r="MD63" s="35"/>
      <c r="ME63" s="35"/>
      <c r="MF63" s="35"/>
      <c r="MG63" s="35"/>
    </row>
    <row r="64" spans="2:345" s="67" customFormat="1" ht="36" hidden="1" customHeight="1" x14ac:dyDescent="0.25">
      <c r="B64" s="28" t="s">
        <v>4404</v>
      </c>
      <c r="C64" s="24" t="s">
        <v>21</v>
      </c>
      <c r="D64" s="19" t="s">
        <v>4411</v>
      </c>
      <c r="E64" s="18">
        <v>42478</v>
      </c>
      <c r="F64" s="27">
        <f t="shared" ca="1" si="1"/>
        <v>1995</v>
      </c>
      <c r="G64" s="69"/>
      <c r="H64" s="68"/>
      <c r="I64" s="25"/>
      <c r="J64" s="25"/>
      <c r="K64" s="68"/>
      <c r="L64" s="68">
        <v>42487</v>
      </c>
      <c r="M64" s="68"/>
      <c r="N64" s="22"/>
      <c r="O64" s="26"/>
      <c r="P64" s="35"/>
      <c r="Q64" s="35"/>
      <c r="R64" s="20"/>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35"/>
      <c r="AS64" s="35"/>
      <c r="AT64" s="35"/>
      <c r="AU64" s="35"/>
      <c r="AV64" s="35"/>
      <c r="AW64" s="35"/>
      <c r="AX64" s="35"/>
      <c r="AY64" s="35"/>
      <c r="AZ64" s="35"/>
      <c r="BA64" s="35"/>
      <c r="BB64" s="35"/>
      <c r="BC64" s="35"/>
      <c r="BD64" s="35"/>
      <c r="BE64" s="35"/>
      <c r="BF64" s="35"/>
      <c r="BG64" s="35"/>
      <c r="BH64" s="35"/>
      <c r="BI64" s="35"/>
      <c r="BJ64" s="35"/>
      <c r="BK64" s="35"/>
      <c r="BL64" s="35"/>
      <c r="BM64" s="35"/>
      <c r="BN64" s="35"/>
      <c r="BO64" s="35"/>
      <c r="BP64" s="35"/>
      <c r="BQ64" s="35"/>
      <c r="BR64" s="35"/>
      <c r="BS64" s="35"/>
      <c r="BT64" s="35"/>
      <c r="BU64" s="35"/>
      <c r="BV64" s="35"/>
      <c r="BW64" s="35"/>
      <c r="BX64" s="35"/>
      <c r="BY64" s="35"/>
      <c r="BZ64" s="35"/>
      <c r="CA64" s="35"/>
      <c r="CB64" s="35"/>
      <c r="CC64" s="35"/>
      <c r="CD64" s="35"/>
      <c r="CE64" s="35"/>
      <c r="CF64" s="35"/>
      <c r="CG64" s="35"/>
      <c r="CH64" s="35"/>
      <c r="CI64" s="35"/>
      <c r="CJ64" s="35"/>
      <c r="CK64" s="35"/>
      <c r="CL64" s="35"/>
      <c r="CM64" s="35"/>
      <c r="CN64" s="35"/>
      <c r="CO64" s="35"/>
      <c r="CP64" s="35"/>
      <c r="CQ64" s="35"/>
      <c r="CR64" s="35"/>
      <c r="CS64" s="35"/>
      <c r="CT64" s="35"/>
      <c r="CU64" s="35"/>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c r="DV64" s="35"/>
      <c r="DW64" s="35"/>
      <c r="DX64" s="35"/>
      <c r="DY64" s="35"/>
      <c r="DZ64" s="35"/>
      <c r="EA64" s="35"/>
      <c r="EB64" s="35"/>
      <c r="EC64" s="35"/>
      <c r="ED64" s="35"/>
      <c r="EE64" s="35"/>
      <c r="EF64" s="35"/>
      <c r="EG64" s="35"/>
      <c r="EH64" s="35"/>
      <c r="EI64" s="35"/>
      <c r="EJ64" s="35"/>
      <c r="EK64" s="35"/>
      <c r="EL64" s="35"/>
      <c r="EM64" s="35"/>
      <c r="EN64" s="35"/>
      <c r="EO64" s="35"/>
      <c r="EP64" s="35"/>
      <c r="EQ64" s="35"/>
      <c r="ER64" s="35"/>
      <c r="ES64" s="35"/>
      <c r="ET64" s="35"/>
      <c r="EU64" s="35"/>
      <c r="EV64" s="35"/>
      <c r="EW64" s="35"/>
      <c r="EX64" s="35"/>
      <c r="EY64" s="35"/>
      <c r="EZ64" s="35"/>
      <c r="FA64" s="35"/>
      <c r="FB64" s="35"/>
      <c r="FC64" s="35"/>
      <c r="FD64" s="35"/>
      <c r="FE64" s="35"/>
      <c r="FF64" s="35"/>
      <c r="FG64" s="35"/>
      <c r="FH64" s="35"/>
      <c r="FI64" s="35"/>
      <c r="FJ64" s="35"/>
      <c r="FK64" s="35"/>
      <c r="FL64" s="35"/>
      <c r="FM64" s="35"/>
      <c r="FN64" s="35"/>
      <c r="FO64" s="35"/>
      <c r="FP64" s="35"/>
      <c r="FQ64" s="35"/>
      <c r="FR64" s="35"/>
      <c r="FS64" s="35"/>
      <c r="FT64" s="35"/>
      <c r="FU64" s="35"/>
      <c r="FV64" s="35"/>
      <c r="FW64" s="35"/>
      <c r="FX64" s="35"/>
      <c r="FY64" s="35"/>
      <c r="FZ64" s="35"/>
      <c r="GA64" s="35"/>
      <c r="GB64" s="35"/>
      <c r="GC64" s="35"/>
      <c r="GD64" s="35"/>
      <c r="GE64" s="35"/>
      <c r="GF64" s="35"/>
      <c r="GG64" s="35"/>
      <c r="GH64" s="35"/>
      <c r="GI64" s="35"/>
      <c r="GJ64" s="35"/>
      <c r="GK64" s="35"/>
      <c r="GL64" s="35"/>
      <c r="GM64" s="35"/>
      <c r="GN64" s="35"/>
      <c r="GO64" s="35"/>
      <c r="GP64" s="35"/>
      <c r="GQ64" s="35"/>
      <c r="GR64" s="35"/>
      <c r="GS64" s="35"/>
      <c r="GT64" s="35"/>
      <c r="GU64" s="35"/>
      <c r="GV64" s="35"/>
      <c r="GW64" s="35"/>
      <c r="GX64" s="35"/>
      <c r="GY64" s="35"/>
      <c r="GZ64" s="35"/>
      <c r="HA64" s="35"/>
      <c r="HB64" s="35"/>
      <c r="HC64" s="35"/>
      <c r="HD64" s="35"/>
      <c r="HE64" s="35"/>
      <c r="HF64" s="35"/>
      <c r="HG64" s="35"/>
      <c r="HH64" s="35"/>
      <c r="HI64" s="35"/>
      <c r="HJ64" s="35"/>
      <c r="HK64" s="35"/>
      <c r="HL64" s="35"/>
      <c r="HM64" s="35"/>
      <c r="HN64" s="35"/>
      <c r="HO64" s="35"/>
      <c r="HP64" s="35"/>
      <c r="HQ64" s="35"/>
      <c r="HR64" s="35"/>
      <c r="HS64" s="35"/>
      <c r="HT64" s="35"/>
      <c r="HU64" s="35"/>
      <c r="HV64" s="35"/>
      <c r="HW64" s="35"/>
      <c r="HX64" s="35"/>
      <c r="HY64" s="35"/>
      <c r="HZ64" s="35"/>
      <c r="IA64" s="35"/>
      <c r="IB64" s="35"/>
      <c r="IC64" s="35"/>
      <c r="ID64" s="35"/>
      <c r="IE64" s="35"/>
      <c r="IF64" s="35"/>
      <c r="IG64" s="35"/>
      <c r="IH64" s="35"/>
      <c r="II64" s="35"/>
      <c r="IJ64" s="35"/>
      <c r="IK64" s="35"/>
      <c r="IL64" s="35"/>
      <c r="IM64" s="35"/>
      <c r="IN64" s="35"/>
      <c r="IO64" s="35"/>
      <c r="IP64" s="35"/>
      <c r="IQ64" s="35"/>
      <c r="IR64" s="35"/>
      <c r="IS64" s="35"/>
      <c r="IT64" s="35"/>
      <c r="IU64" s="35"/>
      <c r="IV64" s="35"/>
      <c r="IW64" s="35"/>
      <c r="IX64" s="35"/>
      <c r="IY64" s="35"/>
      <c r="IZ64" s="35"/>
      <c r="JA64" s="35"/>
      <c r="JB64" s="35"/>
      <c r="JC64" s="35"/>
      <c r="JD64" s="35"/>
      <c r="JE64" s="35"/>
      <c r="JF64" s="35"/>
      <c r="JG64" s="35"/>
      <c r="JH64" s="35"/>
      <c r="JI64" s="35"/>
      <c r="JJ64" s="35"/>
      <c r="JK64" s="35"/>
      <c r="JL64" s="35"/>
      <c r="JM64" s="35"/>
      <c r="JN64" s="35"/>
      <c r="JO64" s="35"/>
      <c r="JP64" s="35"/>
      <c r="JQ64" s="35"/>
      <c r="JR64" s="35"/>
      <c r="JS64" s="35"/>
      <c r="JT64" s="35"/>
      <c r="JU64" s="35"/>
      <c r="JV64" s="35"/>
      <c r="JW64" s="35"/>
      <c r="JX64" s="35"/>
      <c r="JY64" s="35"/>
      <c r="JZ64" s="35"/>
      <c r="KA64" s="35"/>
      <c r="KB64" s="35"/>
      <c r="KC64" s="35"/>
      <c r="KD64" s="35"/>
      <c r="KE64" s="35"/>
      <c r="KF64" s="35"/>
      <c r="KG64" s="35"/>
      <c r="KH64" s="35"/>
      <c r="KI64" s="35"/>
      <c r="KJ64" s="35"/>
      <c r="KK64" s="35"/>
      <c r="KL64" s="35"/>
      <c r="KM64" s="35"/>
      <c r="KN64" s="35"/>
      <c r="KO64" s="35"/>
      <c r="KP64" s="35"/>
      <c r="KQ64" s="35"/>
      <c r="KR64" s="35"/>
      <c r="KS64" s="35"/>
      <c r="KT64" s="35"/>
      <c r="KU64" s="35"/>
      <c r="KV64" s="35"/>
      <c r="KW64" s="35"/>
      <c r="KX64" s="35"/>
      <c r="KY64" s="35"/>
      <c r="KZ64" s="35"/>
      <c r="LA64" s="35"/>
      <c r="LB64" s="35"/>
      <c r="LC64" s="35"/>
      <c r="LD64" s="35"/>
      <c r="LE64" s="35"/>
      <c r="LF64" s="35"/>
      <c r="LG64" s="35"/>
      <c r="LH64" s="35"/>
      <c r="LI64" s="35"/>
      <c r="LJ64" s="35"/>
      <c r="LK64" s="35"/>
      <c r="LL64" s="35"/>
      <c r="LM64" s="35"/>
      <c r="LN64" s="35"/>
      <c r="LO64" s="35"/>
      <c r="LP64" s="35"/>
      <c r="LQ64" s="35"/>
      <c r="LR64" s="35"/>
      <c r="LS64" s="35"/>
      <c r="LT64" s="35"/>
      <c r="LU64" s="35"/>
      <c r="LV64" s="35"/>
      <c r="LW64" s="35"/>
      <c r="LX64" s="35"/>
      <c r="LY64" s="35"/>
      <c r="LZ64" s="35"/>
      <c r="MA64" s="35"/>
      <c r="MB64" s="35"/>
      <c r="MC64" s="35"/>
      <c r="MD64" s="35"/>
      <c r="ME64" s="35"/>
      <c r="MF64" s="35"/>
      <c r="MG64" s="35"/>
    </row>
    <row r="65" spans="2:345" s="67" customFormat="1" ht="36" hidden="1" customHeight="1" x14ac:dyDescent="0.25">
      <c r="B65" s="28">
        <v>4142</v>
      </c>
      <c r="C65" s="24" t="s">
        <v>38</v>
      </c>
      <c r="D65" s="19" t="s">
        <v>4320</v>
      </c>
      <c r="E65" s="18">
        <v>42479</v>
      </c>
      <c r="F65" s="27">
        <f t="shared" ca="1" si="1"/>
        <v>1994</v>
      </c>
      <c r="G65" s="69"/>
      <c r="H65" s="68"/>
      <c r="I65" s="25"/>
      <c r="J65" s="25"/>
      <c r="K65" s="68"/>
      <c r="L65" s="68">
        <v>42480</v>
      </c>
      <c r="M65" s="68"/>
      <c r="N65" s="22"/>
      <c r="O65" s="26"/>
      <c r="P65" s="35"/>
      <c r="Q65" s="35"/>
      <c r="R65" s="20"/>
      <c r="S65" s="35"/>
      <c r="T65" s="35"/>
      <c r="U65" s="35"/>
      <c r="V65" s="35"/>
      <c r="W65" s="35"/>
      <c r="X65" s="35"/>
      <c r="Y65" s="35"/>
      <c r="Z65" s="35"/>
      <c r="AA65" s="35"/>
      <c r="AB65" s="35"/>
      <c r="AC65" s="35"/>
      <c r="AD65" s="35"/>
      <c r="AE65" s="35"/>
      <c r="AF65" s="35"/>
      <c r="AG65" s="35"/>
      <c r="AH65" s="35"/>
      <c r="AI65" s="35"/>
      <c r="AJ65" s="35"/>
      <c r="AK65" s="35"/>
      <c r="AL65" s="35"/>
      <c r="AM65" s="35"/>
      <c r="AN65" s="35"/>
      <c r="AO65" s="35"/>
      <c r="AP65" s="35"/>
      <c r="AQ65" s="35"/>
      <c r="AR65" s="35"/>
      <c r="AS65" s="35"/>
      <c r="AT65" s="35"/>
      <c r="AU65" s="35"/>
      <c r="AV65" s="35"/>
      <c r="AW65" s="35"/>
      <c r="AX65" s="35"/>
      <c r="AY65" s="35"/>
      <c r="AZ65" s="35"/>
      <c r="BA65" s="35"/>
      <c r="BB65" s="35"/>
      <c r="BC65" s="35"/>
      <c r="BD65" s="35"/>
      <c r="BE65" s="35"/>
      <c r="BF65" s="35"/>
      <c r="BG65" s="35"/>
      <c r="BH65" s="35"/>
      <c r="BI65" s="35"/>
      <c r="BJ65" s="35"/>
      <c r="BK65" s="35"/>
      <c r="BL65" s="35"/>
      <c r="BM65" s="35"/>
      <c r="BN65" s="35"/>
      <c r="BO65" s="35"/>
      <c r="BP65" s="35"/>
      <c r="BQ65" s="35"/>
      <c r="BR65" s="35"/>
      <c r="BS65" s="35"/>
      <c r="BT65" s="35"/>
      <c r="BU65" s="35"/>
      <c r="BV65" s="35"/>
      <c r="BW65" s="35"/>
      <c r="BX65" s="35"/>
      <c r="BY65" s="35"/>
      <c r="BZ65" s="35"/>
      <c r="CA65" s="35"/>
      <c r="CB65" s="35"/>
      <c r="CC65" s="35"/>
      <c r="CD65" s="35"/>
      <c r="CE65" s="35"/>
      <c r="CF65" s="35"/>
      <c r="CG65" s="35"/>
      <c r="CH65" s="35"/>
      <c r="CI65" s="35"/>
      <c r="CJ65" s="35"/>
      <c r="CK65" s="35"/>
      <c r="CL65" s="35"/>
      <c r="CM65" s="35"/>
      <c r="CN65" s="35"/>
      <c r="CO65" s="35"/>
      <c r="CP65" s="35"/>
      <c r="CQ65" s="35"/>
      <c r="CR65" s="35"/>
      <c r="CS65" s="35"/>
      <c r="CT65" s="35"/>
      <c r="CU65" s="35"/>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c r="DV65" s="35"/>
      <c r="DW65" s="35"/>
      <c r="DX65" s="35"/>
      <c r="DY65" s="35"/>
      <c r="DZ65" s="35"/>
      <c r="EA65" s="35"/>
      <c r="EB65" s="35"/>
      <c r="EC65" s="35"/>
      <c r="ED65" s="35"/>
      <c r="EE65" s="35"/>
      <c r="EF65" s="35"/>
      <c r="EG65" s="35"/>
      <c r="EH65" s="35"/>
      <c r="EI65" s="35"/>
      <c r="EJ65" s="35"/>
      <c r="EK65" s="35"/>
      <c r="EL65" s="35"/>
      <c r="EM65" s="35"/>
      <c r="EN65" s="35"/>
      <c r="EO65" s="35"/>
      <c r="EP65" s="35"/>
      <c r="EQ65" s="35"/>
      <c r="ER65" s="35"/>
      <c r="ES65" s="35"/>
      <c r="ET65" s="35"/>
      <c r="EU65" s="35"/>
      <c r="EV65" s="35"/>
      <c r="EW65" s="35"/>
      <c r="EX65" s="35"/>
      <c r="EY65" s="35"/>
      <c r="EZ65" s="35"/>
      <c r="FA65" s="35"/>
      <c r="FB65" s="35"/>
      <c r="FC65" s="35"/>
      <c r="FD65" s="35"/>
      <c r="FE65" s="35"/>
      <c r="FF65" s="35"/>
      <c r="FG65" s="35"/>
      <c r="FH65" s="35"/>
      <c r="FI65" s="35"/>
      <c r="FJ65" s="35"/>
      <c r="FK65" s="35"/>
      <c r="FL65" s="35"/>
      <c r="FM65" s="35"/>
      <c r="FN65" s="35"/>
      <c r="FO65" s="35"/>
      <c r="FP65" s="35"/>
      <c r="FQ65" s="35"/>
      <c r="FR65" s="35"/>
      <c r="FS65" s="35"/>
      <c r="FT65" s="35"/>
      <c r="FU65" s="35"/>
      <c r="FV65" s="35"/>
      <c r="FW65" s="35"/>
      <c r="FX65" s="35"/>
      <c r="FY65" s="35"/>
      <c r="FZ65" s="35"/>
      <c r="GA65" s="35"/>
      <c r="GB65" s="35"/>
      <c r="GC65" s="35"/>
      <c r="GD65" s="35"/>
      <c r="GE65" s="35"/>
      <c r="GF65" s="35"/>
      <c r="GG65" s="35"/>
      <c r="GH65" s="35"/>
      <c r="GI65" s="35"/>
      <c r="GJ65" s="35"/>
      <c r="GK65" s="35"/>
      <c r="GL65" s="35"/>
      <c r="GM65" s="35"/>
      <c r="GN65" s="35"/>
      <c r="GO65" s="35"/>
      <c r="GP65" s="35"/>
      <c r="GQ65" s="35"/>
      <c r="GR65" s="35"/>
      <c r="GS65" s="35"/>
      <c r="GT65" s="35"/>
      <c r="GU65" s="35"/>
      <c r="GV65" s="35"/>
      <c r="GW65" s="35"/>
      <c r="GX65" s="35"/>
      <c r="GY65" s="35"/>
      <c r="GZ65" s="35"/>
      <c r="HA65" s="35"/>
      <c r="HB65" s="35"/>
      <c r="HC65" s="35"/>
      <c r="HD65" s="35"/>
      <c r="HE65" s="35"/>
      <c r="HF65" s="35"/>
      <c r="HG65" s="35"/>
      <c r="HH65" s="35"/>
      <c r="HI65" s="35"/>
      <c r="HJ65" s="35"/>
      <c r="HK65" s="35"/>
      <c r="HL65" s="35"/>
      <c r="HM65" s="35"/>
      <c r="HN65" s="35"/>
      <c r="HO65" s="35"/>
      <c r="HP65" s="35"/>
      <c r="HQ65" s="35"/>
      <c r="HR65" s="35"/>
      <c r="HS65" s="35"/>
      <c r="HT65" s="35"/>
      <c r="HU65" s="35"/>
      <c r="HV65" s="35"/>
      <c r="HW65" s="35"/>
      <c r="HX65" s="35"/>
      <c r="HY65" s="35"/>
      <c r="HZ65" s="35"/>
      <c r="IA65" s="35"/>
      <c r="IB65" s="35"/>
      <c r="IC65" s="35"/>
      <c r="ID65" s="35"/>
      <c r="IE65" s="35"/>
      <c r="IF65" s="35"/>
      <c r="IG65" s="35"/>
      <c r="IH65" s="35"/>
      <c r="II65" s="35"/>
      <c r="IJ65" s="35"/>
      <c r="IK65" s="35"/>
      <c r="IL65" s="35"/>
      <c r="IM65" s="35"/>
      <c r="IN65" s="35"/>
      <c r="IO65" s="35"/>
      <c r="IP65" s="35"/>
      <c r="IQ65" s="35"/>
      <c r="IR65" s="35"/>
      <c r="IS65" s="35"/>
      <c r="IT65" s="35"/>
      <c r="IU65" s="35"/>
      <c r="IV65" s="35"/>
      <c r="IW65" s="35"/>
      <c r="IX65" s="35"/>
      <c r="IY65" s="35"/>
      <c r="IZ65" s="35"/>
      <c r="JA65" s="35"/>
      <c r="JB65" s="35"/>
      <c r="JC65" s="35"/>
      <c r="JD65" s="35"/>
      <c r="JE65" s="35"/>
      <c r="JF65" s="35"/>
      <c r="JG65" s="35"/>
      <c r="JH65" s="35"/>
      <c r="JI65" s="35"/>
      <c r="JJ65" s="35"/>
      <c r="JK65" s="35"/>
      <c r="JL65" s="35"/>
      <c r="JM65" s="35"/>
      <c r="JN65" s="35"/>
      <c r="JO65" s="35"/>
      <c r="JP65" s="35"/>
      <c r="JQ65" s="35"/>
      <c r="JR65" s="35"/>
      <c r="JS65" s="35"/>
      <c r="JT65" s="35"/>
      <c r="JU65" s="35"/>
      <c r="JV65" s="35"/>
      <c r="JW65" s="35"/>
      <c r="JX65" s="35"/>
      <c r="JY65" s="35"/>
      <c r="JZ65" s="35"/>
      <c r="KA65" s="35"/>
      <c r="KB65" s="35"/>
      <c r="KC65" s="35"/>
      <c r="KD65" s="35"/>
      <c r="KE65" s="35"/>
      <c r="KF65" s="35"/>
      <c r="KG65" s="35"/>
      <c r="KH65" s="35"/>
      <c r="KI65" s="35"/>
      <c r="KJ65" s="35"/>
      <c r="KK65" s="35"/>
      <c r="KL65" s="35"/>
      <c r="KM65" s="35"/>
      <c r="KN65" s="35"/>
      <c r="KO65" s="35"/>
      <c r="KP65" s="35"/>
      <c r="KQ65" s="35"/>
      <c r="KR65" s="35"/>
      <c r="KS65" s="35"/>
      <c r="KT65" s="35"/>
      <c r="KU65" s="35"/>
      <c r="KV65" s="35"/>
      <c r="KW65" s="35"/>
      <c r="KX65" s="35"/>
      <c r="KY65" s="35"/>
      <c r="KZ65" s="35"/>
      <c r="LA65" s="35"/>
      <c r="LB65" s="35"/>
      <c r="LC65" s="35"/>
      <c r="LD65" s="35"/>
      <c r="LE65" s="35"/>
      <c r="LF65" s="35"/>
      <c r="LG65" s="35"/>
      <c r="LH65" s="35"/>
      <c r="LI65" s="35"/>
      <c r="LJ65" s="35"/>
      <c r="LK65" s="35"/>
      <c r="LL65" s="35"/>
      <c r="LM65" s="35"/>
      <c r="LN65" s="35"/>
      <c r="LO65" s="35"/>
      <c r="LP65" s="35"/>
      <c r="LQ65" s="35"/>
      <c r="LR65" s="35"/>
      <c r="LS65" s="35"/>
      <c r="LT65" s="35"/>
      <c r="LU65" s="35"/>
      <c r="LV65" s="35"/>
      <c r="LW65" s="35"/>
      <c r="LX65" s="35"/>
      <c r="LY65" s="35"/>
      <c r="LZ65" s="35"/>
      <c r="MA65" s="35"/>
      <c r="MB65" s="35"/>
      <c r="MC65" s="35"/>
      <c r="MD65" s="35"/>
      <c r="ME65" s="35"/>
      <c r="MF65" s="35"/>
      <c r="MG65" s="35"/>
    </row>
    <row r="66" spans="2:345" s="67" customFormat="1" ht="36" hidden="1" customHeight="1" x14ac:dyDescent="0.25">
      <c r="B66" s="28">
        <v>4142</v>
      </c>
      <c r="C66" s="24" t="s">
        <v>40</v>
      </c>
      <c r="D66" s="19" t="s">
        <v>4321</v>
      </c>
      <c r="E66" s="18">
        <v>42479</v>
      </c>
      <c r="F66" s="27">
        <f t="shared" ca="1" si="1"/>
        <v>1994</v>
      </c>
      <c r="G66" s="69"/>
      <c r="H66" s="68"/>
      <c r="I66" s="25"/>
      <c r="J66" s="25"/>
      <c r="K66" s="68"/>
      <c r="L66" s="68">
        <v>42480</v>
      </c>
      <c r="M66" s="68"/>
      <c r="N66" s="22"/>
      <c r="O66" s="26"/>
      <c r="P66" s="35"/>
      <c r="Q66" s="35"/>
      <c r="R66" s="20"/>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35"/>
      <c r="AS66" s="35"/>
      <c r="AT66" s="35"/>
      <c r="AU66" s="35"/>
      <c r="AV66" s="35"/>
      <c r="AW66" s="35"/>
      <c r="AX66" s="35"/>
      <c r="AY66" s="35"/>
      <c r="AZ66" s="35"/>
      <c r="BA66" s="35"/>
      <c r="BB66" s="35"/>
      <c r="BC66" s="35"/>
      <c r="BD66" s="35"/>
      <c r="BE66" s="35"/>
      <c r="BF66" s="35"/>
      <c r="BG66" s="35"/>
      <c r="BH66" s="35"/>
      <c r="BI66" s="35"/>
      <c r="BJ66" s="35"/>
      <c r="BK66" s="35"/>
      <c r="BL66" s="35"/>
      <c r="BM66" s="35"/>
      <c r="BN66" s="35"/>
      <c r="BO66" s="35"/>
      <c r="BP66" s="35"/>
      <c r="BQ66" s="35"/>
      <c r="BR66" s="35"/>
      <c r="BS66" s="35"/>
      <c r="BT66" s="35"/>
      <c r="BU66" s="35"/>
      <c r="BV66" s="35"/>
      <c r="BW66" s="35"/>
      <c r="BX66" s="35"/>
      <c r="BY66" s="35"/>
      <c r="BZ66" s="35"/>
      <c r="CA66" s="35"/>
      <c r="CB66" s="35"/>
      <c r="CC66" s="35"/>
      <c r="CD66" s="35"/>
      <c r="CE66" s="35"/>
      <c r="CF66" s="35"/>
      <c r="CG66" s="35"/>
      <c r="CH66" s="35"/>
      <c r="CI66" s="35"/>
      <c r="CJ66" s="35"/>
      <c r="CK66" s="35"/>
      <c r="CL66" s="35"/>
      <c r="CM66" s="35"/>
      <c r="CN66" s="35"/>
      <c r="CO66" s="35"/>
      <c r="CP66" s="35"/>
      <c r="CQ66" s="35"/>
      <c r="CR66" s="35"/>
      <c r="CS66" s="35"/>
      <c r="CT66" s="35"/>
      <c r="CU66" s="35"/>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c r="DV66" s="35"/>
      <c r="DW66" s="35"/>
      <c r="DX66" s="35"/>
      <c r="DY66" s="35"/>
      <c r="DZ66" s="35"/>
      <c r="EA66" s="35"/>
      <c r="EB66" s="35"/>
      <c r="EC66" s="35"/>
      <c r="ED66" s="35"/>
      <c r="EE66" s="35"/>
      <c r="EF66" s="35"/>
      <c r="EG66" s="35"/>
      <c r="EH66" s="35"/>
      <c r="EI66" s="35"/>
      <c r="EJ66" s="35"/>
      <c r="EK66" s="35"/>
      <c r="EL66" s="35"/>
      <c r="EM66" s="35"/>
      <c r="EN66" s="35"/>
      <c r="EO66" s="35"/>
      <c r="EP66" s="35"/>
      <c r="EQ66" s="35"/>
      <c r="ER66" s="35"/>
      <c r="ES66" s="35"/>
      <c r="ET66" s="35"/>
      <c r="EU66" s="35"/>
      <c r="EV66" s="35"/>
      <c r="EW66" s="35"/>
      <c r="EX66" s="35"/>
      <c r="EY66" s="35"/>
      <c r="EZ66" s="35"/>
      <c r="FA66" s="35"/>
      <c r="FB66" s="35"/>
      <c r="FC66" s="35"/>
      <c r="FD66" s="35"/>
      <c r="FE66" s="35"/>
      <c r="FF66" s="35"/>
      <c r="FG66" s="35"/>
      <c r="FH66" s="35"/>
      <c r="FI66" s="35"/>
      <c r="FJ66" s="35"/>
      <c r="FK66" s="35"/>
      <c r="FL66" s="35"/>
      <c r="FM66" s="35"/>
      <c r="FN66" s="35"/>
      <c r="FO66" s="35"/>
      <c r="FP66" s="35"/>
      <c r="FQ66" s="35"/>
      <c r="FR66" s="35"/>
      <c r="FS66" s="35"/>
      <c r="FT66" s="35"/>
      <c r="FU66" s="35"/>
      <c r="FV66" s="35"/>
      <c r="FW66" s="35"/>
      <c r="FX66" s="35"/>
      <c r="FY66" s="35"/>
      <c r="FZ66" s="35"/>
      <c r="GA66" s="35"/>
      <c r="GB66" s="35"/>
      <c r="GC66" s="35"/>
      <c r="GD66" s="35"/>
      <c r="GE66" s="35"/>
      <c r="GF66" s="35"/>
      <c r="GG66" s="35"/>
      <c r="GH66" s="35"/>
      <c r="GI66" s="35"/>
      <c r="GJ66" s="35"/>
      <c r="GK66" s="35"/>
      <c r="GL66" s="35"/>
      <c r="GM66" s="35"/>
      <c r="GN66" s="35"/>
      <c r="GO66" s="35"/>
      <c r="GP66" s="35"/>
      <c r="GQ66" s="35"/>
      <c r="GR66" s="35"/>
      <c r="GS66" s="35"/>
      <c r="GT66" s="35"/>
      <c r="GU66" s="35"/>
      <c r="GV66" s="35"/>
      <c r="GW66" s="35"/>
      <c r="GX66" s="35"/>
      <c r="GY66" s="35"/>
      <c r="GZ66" s="35"/>
      <c r="HA66" s="35"/>
      <c r="HB66" s="35"/>
      <c r="HC66" s="35"/>
      <c r="HD66" s="35"/>
      <c r="HE66" s="35"/>
      <c r="HF66" s="35"/>
      <c r="HG66" s="35"/>
      <c r="HH66" s="35"/>
      <c r="HI66" s="35"/>
      <c r="HJ66" s="35"/>
      <c r="HK66" s="35"/>
      <c r="HL66" s="35"/>
      <c r="HM66" s="35"/>
      <c r="HN66" s="35"/>
      <c r="HO66" s="35"/>
      <c r="HP66" s="35"/>
      <c r="HQ66" s="35"/>
      <c r="HR66" s="35"/>
      <c r="HS66" s="35"/>
      <c r="HT66" s="35"/>
      <c r="HU66" s="35"/>
      <c r="HV66" s="35"/>
      <c r="HW66" s="35"/>
      <c r="HX66" s="35"/>
      <c r="HY66" s="35"/>
      <c r="HZ66" s="35"/>
      <c r="IA66" s="35"/>
      <c r="IB66" s="35"/>
      <c r="IC66" s="35"/>
      <c r="ID66" s="35"/>
      <c r="IE66" s="35"/>
      <c r="IF66" s="35"/>
      <c r="IG66" s="35"/>
      <c r="IH66" s="35"/>
      <c r="II66" s="35"/>
      <c r="IJ66" s="35"/>
      <c r="IK66" s="35"/>
      <c r="IL66" s="35"/>
      <c r="IM66" s="35"/>
      <c r="IN66" s="35"/>
      <c r="IO66" s="35"/>
      <c r="IP66" s="35"/>
      <c r="IQ66" s="35"/>
      <c r="IR66" s="35"/>
      <c r="IS66" s="35"/>
      <c r="IT66" s="35"/>
      <c r="IU66" s="35"/>
      <c r="IV66" s="35"/>
      <c r="IW66" s="35"/>
      <c r="IX66" s="35"/>
      <c r="IY66" s="35"/>
      <c r="IZ66" s="35"/>
      <c r="JA66" s="35"/>
      <c r="JB66" s="35"/>
      <c r="JC66" s="35"/>
      <c r="JD66" s="35"/>
      <c r="JE66" s="35"/>
      <c r="JF66" s="35"/>
      <c r="JG66" s="35"/>
      <c r="JH66" s="35"/>
      <c r="JI66" s="35"/>
      <c r="JJ66" s="35"/>
      <c r="JK66" s="35"/>
      <c r="JL66" s="35"/>
      <c r="JM66" s="35"/>
      <c r="JN66" s="35"/>
      <c r="JO66" s="35"/>
      <c r="JP66" s="35"/>
      <c r="JQ66" s="35"/>
      <c r="JR66" s="35"/>
      <c r="JS66" s="35"/>
      <c r="JT66" s="35"/>
      <c r="JU66" s="35"/>
      <c r="JV66" s="35"/>
      <c r="JW66" s="35"/>
      <c r="JX66" s="35"/>
      <c r="JY66" s="35"/>
      <c r="JZ66" s="35"/>
      <c r="KA66" s="35"/>
      <c r="KB66" s="35"/>
      <c r="KC66" s="35"/>
      <c r="KD66" s="35"/>
      <c r="KE66" s="35"/>
      <c r="KF66" s="35"/>
      <c r="KG66" s="35"/>
      <c r="KH66" s="35"/>
      <c r="KI66" s="35"/>
      <c r="KJ66" s="35"/>
      <c r="KK66" s="35"/>
      <c r="KL66" s="35"/>
      <c r="KM66" s="35"/>
      <c r="KN66" s="35"/>
      <c r="KO66" s="35"/>
      <c r="KP66" s="35"/>
      <c r="KQ66" s="35"/>
      <c r="KR66" s="35"/>
      <c r="KS66" s="35"/>
      <c r="KT66" s="35"/>
      <c r="KU66" s="35"/>
      <c r="KV66" s="35"/>
      <c r="KW66" s="35"/>
      <c r="KX66" s="35"/>
      <c r="KY66" s="35"/>
      <c r="KZ66" s="35"/>
      <c r="LA66" s="35"/>
      <c r="LB66" s="35"/>
      <c r="LC66" s="35"/>
      <c r="LD66" s="35"/>
      <c r="LE66" s="35"/>
      <c r="LF66" s="35"/>
      <c r="LG66" s="35"/>
      <c r="LH66" s="35"/>
      <c r="LI66" s="35"/>
      <c r="LJ66" s="35"/>
      <c r="LK66" s="35"/>
      <c r="LL66" s="35"/>
      <c r="LM66" s="35"/>
      <c r="LN66" s="35"/>
      <c r="LO66" s="35"/>
      <c r="LP66" s="35"/>
      <c r="LQ66" s="35"/>
      <c r="LR66" s="35"/>
      <c r="LS66" s="35"/>
      <c r="LT66" s="35"/>
      <c r="LU66" s="35"/>
      <c r="LV66" s="35"/>
      <c r="LW66" s="35"/>
      <c r="LX66" s="35"/>
      <c r="LY66" s="35"/>
      <c r="LZ66" s="35"/>
      <c r="MA66" s="35"/>
      <c r="MB66" s="35"/>
      <c r="MC66" s="35"/>
      <c r="MD66" s="35"/>
      <c r="ME66" s="35"/>
      <c r="MF66" s="35"/>
      <c r="MG66" s="35"/>
    </row>
    <row r="67" spans="2:345" s="67" customFormat="1" ht="36" hidden="1" customHeight="1" x14ac:dyDescent="0.25">
      <c r="B67" s="28">
        <v>4143</v>
      </c>
      <c r="C67" s="24" t="s">
        <v>16</v>
      </c>
      <c r="D67" s="19" t="s">
        <v>4343</v>
      </c>
      <c r="E67" s="18">
        <v>42479</v>
      </c>
      <c r="F67" s="27">
        <f t="shared" ca="1" si="1"/>
        <v>1994</v>
      </c>
      <c r="G67" s="69"/>
      <c r="H67" s="68"/>
      <c r="I67" s="25"/>
      <c r="J67" s="25"/>
      <c r="K67" s="68"/>
      <c r="L67" s="68">
        <v>42482</v>
      </c>
      <c r="M67" s="68"/>
      <c r="N67" s="22"/>
      <c r="O67" s="26" t="s">
        <v>4318</v>
      </c>
      <c r="P67" s="35"/>
      <c r="Q67" s="35"/>
      <c r="R67" s="20"/>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35"/>
      <c r="AS67" s="35"/>
      <c r="AT67" s="35"/>
      <c r="AU67" s="35"/>
      <c r="AV67" s="35"/>
      <c r="AW67" s="35"/>
      <c r="AX67" s="35"/>
      <c r="AY67" s="35"/>
      <c r="AZ67" s="35"/>
      <c r="BA67" s="35"/>
      <c r="BB67" s="35"/>
      <c r="BC67" s="35"/>
      <c r="BD67" s="35"/>
      <c r="BE67" s="35"/>
      <c r="BF67" s="35"/>
      <c r="BG67" s="35"/>
      <c r="BH67" s="35"/>
      <c r="BI67" s="35"/>
      <c r="BJ67" s="35"/>
      <c r="BK67" s="35"/>
      <c r="BL67" s="35"/>
      <c r="BM67" s="35"/>
      <c r="BN67" s="35"/>
      <c r="BO67" s="35"/>
      <c r="BP67" s="35"/>
      <c r="BQ67" s="35"/>
      <c r="BR67" s="35"/>
      <c r="BS67" s="35"/>
      <c r="BT67" s="35"/>
      <c r="BU67" s="35"/>
      <c r="BV67" s="35"/>
      <c r="BW67" s="35"/>
      <c r="BX67" s="35"/>
      <c r="BY67" s="35"/>
      <c r="BZ67" s="35"/>
      <c r="CA67" s="35"/>
      <c r="CB67" s="35"/>
      <c r="CC67" s="35"/>
      <c r="CD67" s="35"/>
      <c r="CE67" s="35"/>
      <c r="CF67" s="35"/>
      <c r="CG67" s="35"/>
      <c r="CH67" s="35"/>
      <c r="CI67" s="35"/>
      <c r="CJ67" s="35"/>
      <c r="CK67" s="35"/>
      <c r="CL67" s="35"/>
      <c r="CM67" s="35"/>
      <c r="CN67" s="35"/>
      <c r="CO67" s="35"/>
      <c r="CP67" s="35"/>
      <c r="CQ67" s="35"/>
      <c r="CR67" s="35"/>
      <c r="CS67" s="35"/>
      <c r="CT67" s="35"/>
      <c r="CU67" s="35"/>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c r="DV67" s="35"/>
      <c r="DW67" s="35"/>
      <c r="DX67" s="35"/>
      <c r="DY67" s="35"/>
      <c r="DZ67" s="35"/>
      <c r="EA67" s="35"/>
      <c r="EB67" s="35"/>
      <c r="EC67" s="35"/>
      <c r="ED67" s="35"/>
      <c r="EE67" s="35"/>
      <c r="EF67" s="35"/>
      <c r="EG67" s="35"/>
      <c r="EH67" s="35"/>
      <c r="EI67" s="35"/>
      <c r="EJ67" s="35"/>
      <c r="EK67" s="35"/>
      <c r="EL67" s="35"/>
      <c r="EM67" s="35"/>
      <c r="EN67" s="35"/>
      <c r="EO67" s="35"/>
      <c r="EP67" s="35"/>
      <c r="EQ67" s="35"/>
      <c r="ER67" s="35"/>
      <c r="ES67" s="35"/>
      <c r="ET67" s="35"/>
      <c r="EU67" s="35"/>
      <c r="EV67" s="35"/>
      <c r="EW67" s="35"/>
      <c r="EX67" s="35"/>
      <c r="EY67" s="35"/>
      <c r="EZ67" s="35"/>
      <c r="FA67" s="35"/>
      <c r="FB67" s="35"/>
      <c r="FC67" s="35"/>
      <c r="FD67" s="35"/>
      <c r="FE67" s="35"/>
      <c r="FF67" s="35"/>
      <c r="FG67" s="35"/>
      <c r="FH67" s="35"/>
      <c r="FI67" s="35"/>
      <c r="FJ67" s="35"/>
      <c r="FK67" s="35"/>
      <c r="FL67" s="35"/>
      <c r="FM67" s="35"/>
      <c r="FN67" s="35"/>
      <c r="FO67" s="35"/>
      <c r="FP67" s="35"/>
      <c r="FQ67" s="35"/>
      <c r="FR67" s="35"/>
      <c r="FS67" s="35"/>
      <c r="FT67" s="35"/>
      <c r="FU67" s="35"/>
      <c r="FV67" s="35"/>
      <c r="FW67" s="35"/>
      <c r="FX67" s="35"/>
      <c r="FY67" s="35"/>
      <c r="FZ67" s="35"/>
      <c r="GA67" s="35"/>
      <c r="GB67" s="35"/>
      <c r="GC67" s="35"/>
      <c r="GD67" s="35"/>
      <c r="GE67" s="35"/>
      <c r="GF67" s="35"/>
      <c r="GG67" s="35"/>
      <c r="GH67" s="35"/>
      <c r="GI67" s="35"/>
      <c r="GJ67" s="35"/>
      <c r="GK67" s="35"/>
      <c r="GL67" s="35"/>
      <c r="GM67" s="35"/>
      <c r="GN67" s="35"/>
      <c r="GO67" s="35"/>
      <c r="GP67" s="35"/>
      <c r="GQ67" s="35"/>
      <c r="GR67" s="35"/>
      <c r="GS67" s="35"/>
      <c r="GT67" s="35"/>
      <c r="GU67" s="35"/>
      <c r="GV67" s="35"/>
      <c r="GW67" s="35"/>
      <c r="GX67" s="35"/>
      <c r="GY67" s="35"/>
      <c r="GZ67" s="35"/>
      <c r="HA67" s="35"/>
      <c r="HB67" s="35"/>
      <c r="HC67" s="35"/>
      <c r="HD67" s="35"/>
      <c r="HE67" s="35"/>
      <c r="HF67" s="35"/>
      <c r="HG67" s="35"/>
      <c r="HH67" s="35"/>
      <c r="HI67" s="35"/>
      <c r="HJ67" s="35"/>
      <c r="HK67" s="35"/>
      <c r="HL67" s="35"/>
      <c r="HM67" s="35"/>
      <c r="HN67" s="35"/>
      <c r="HO67" s="35"/>
      <c r="HP67" s="35"/>
      <c r="HQ67" s="35"/>
      <c r="HR67" s="35"/>
      <c r="HS67" s="35"/>
      <c r="HT67" s="35"/>
      <c r="HU67" s="35"/>
      <c r="HV67" s="35"/>
      <c r="HW67" s="35"/>
      <c r="HX67" s="35"/>
      <c r="HY67" s="35"/>
      <c r="HZ67" s="35"/>
      <c r="IA67" s="35"/>
      <c r="IB67" s="35"/>
      <c r="IC67" s="35"/>
      <c r="ID67" s="35"/>
      <c r="IE67" s="35"/>
      <c r="IF67" s="35"/>
      <c r="IG67" s="35"/>
      <c r="IH67" s="35"/>
      <c r="II67" s="35"/>
      <c r="IJ67" s="35"/>
      <c r="IK67" s="35"/>
      <c r="IL67" s="35"/>
      <c r="IM67" s="35"/>
      <c r="IN67" s="35"/>
      <c r="IO67" s="35"/>
      <c r="IP67" s="35"/>
      <c r="IQ67" s="35"/>
      <c r="IR67" s="35"/>
      <c r="IS67" s="35"/>
      <c r="IT67" s="35"/>
      <c r="IU67" s="35"/>
      <c r="IV67" s="35"/>
      <c r="IW67" s="35"/>
      <c r="IX67" s="35"/>
      <c r="IY67" s="35"/>
      <c r="IZ67" s="35"/>
      <c r="JA67" s="35"/>
      <c r="JB67" s="35"/>
      <c r="JC67" s="35"/>
      <c r="JD67" s="35"/>
      <c r="JE67" s="35"/>
      <c r="JF67" s="35"/>
      <c r="JG67" s="35"/>
      <c r="JH67" s="35"/>
      <c r="JI67" s="35"/>
      <c r="JJ67" s="35"/>
      <c r="JK67" s="35"/>
      <c r="JL67" s="35"/>
      <c r="JM67" s="35"/>
      <c r="JN67" s="35"/>
      <c r="JO67" s="35"/>
      <c r="JP67" s="35"/>
      <c r="JQ67" s="35"/>
      <c r="JR67" s="35"/>
      <c r="JS67" s="35"/>
      <c r="JT67" s="35"/>
      <c r="JU67" s="35"/>
      <c r="JV67" s="35"/>
      <c r="JW67" s="35"/>
      <c r="JX67" s="35"/>
      <c r="JY67" s="35"/>
      <c r="JZ67" s="35"/>
      <c r="KA67" s="35"/>
      <c r="KB67" s="35"/>
      <c r="KC67" s="35"/>
      <c r="KD67" s="35"/>
      <c r="KE67" s="35"/>
      <c r="KF67" s="35"/>
      <c r="KG67" s="35"/>
      <c r="KH67" s="35"/>
      <c r="KI67" s="35"/>
      <c r="KJ67" s="35"/>
      <c r="KK67" s="35"/>
      <c r="KL67" s="35"/>
      <c r="KM67" s="35"/>
      <c r="KN67" s="35"/>
      <c r="KO67" s="35"/>
      <c r="KP67" s="35"/>
      <c r="KQ67" s="35"/>
      <c r="KR67" s="35"/>
      <c r="KS67" s="35"/>
      <c r="KT67" s="35"/>
      <c r="KU67" s="35"/>
      <c r="KV67" s="35"/>
      <c r="KW67" s="35"/>
      <c r="KX67" s="35"/>
      <c r="KY67" s="35"/>
      <c r="KZ67" s="35"/>
      <c r="LA67" s="35"/>
      <c r="LB67" s="35"/>
      <c r="LC67" s="35"/>
      <c r="LD67" s="35"/>
      <c r="LE67" s="35"/>
      <c r="LF67" s="35"/>
      <c r="LG67" s="35"/>
      <c r="LH67" s="35"/>
      <c r="LI67" s="35"/>
      <c r="LJ67" s="35"/>
      <c r="LK67" s="35"/>
      <c r="LL67" s="35"/>
      <c r="LM67" s="35"/>
      <c r="LN67" s="35"/>
      <c r="LO67" s="35"/>
      <c r="LP67" s="35"/>
      <c r="LQ67" s="35"/>
      <c r="LR67" s="35"/>
      <c r="LS67" s="35"/>
      <c r="LT67" s="35"/>
      <c r="LU67" s="35"/>
      <c r="LV67" s="35"/>
      <c r="LW67" s="35"/>
      <c r="LX67" s="35"/>
      <c r="LY67" s="35"/>
      <c r="LZ67" s="35"/>
      <c r="MA67" s="35"/>
      <c r="MB67" s="35"/>
      <c r="MC67" s="35"/>
      <c r="MD67" s="35"/>
      <c r="ME67" s="35"/>
      <c r="MF67" s="35"/>
      <c r="MG67" s="35"/>
    </row>
    <row r="68" spans="2:345" s="67" customFormat="1" ht="36" hidden="1" customHeight="1" x14ac:dyDescent="0.25">
      <c r="B68" s="28">
        <v>4184</v>
      </c>
      <c r="C68" s="24" t="s">
        <v>40</v>
      </c>
      <c r="D68" s="19" t="s">
        <v>4385</v>
      </c>
      <c r="E68" s="18">
        <v>42479</v>
      </c>
      <c r="F68" s="27">
        <f t="shared" ca="1" si="1"/>
        <v>1994</v>
      </c>
      <c r="G68" s="69"/>
      <c r="H68" s="68"/>
      <c r="I68" s="25"/>
      <c r="J68" s="25"/>
      <c r="K68" s="68"/>
      <c r="L68" s="68">
        <v>42482</v>
      </c>
      <c r="M68" s="68"/>
      <c r="N68" s="22"/>
      <c r="O68" s="26"/>
      <c r="P68" s="35"/>
      <c r="Q68" s="35"/>
      <c r="R68" s="20"/>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35"/>
      <c r="AS68" s="35"/>
      <c r="AT68" s="35"/>
      <c r="AU68" s="35"/>
      <c r="AV68" s="35"/>
      <c r="AW68" s="35"/>
      <c r="AX68" s="35"/>
      <c r="AY68" s="35"/>
      <c r="AZ68" s="35"/>
      <c r="BA68" s="35"/>
      <c r="BB68" s="35"/>
      <c r="BC68" s="35"/>
      <c r="BD68" s="35"/>
      <c r="BE68" s="35"/>
      <c r="BF68" s="35"/>
      <c r="BG68" s="35"/>
      <c r="BH68" s="35"/>
      <c r="BI68" s="35"/>
      <c r="BJ68" s="35"/>
      <c r="BK68" s="35"/>
      <c r="BL68" s="35"/>
      <c r="BM68" s="35"/>
      <c r="BN68" s="35"/>
      <c r="BO68" s="35"/>
      <c r="BP68" s="35"/>
      <c r="BQ68" s="35"/>
      <c r="BR68" s="35"/>
      <c r="BS68" s="35"/>
      <c r="BT68" s="35"/>
      <c r="BU68" s="35"/>
      <c r="BV68" s="35"/>
      <c r="BW68" s="35"/>
      <c r="BX68" s="35"/>
      <c r="BY68" s="35"/>
      <c r="BZ68" s="35"/>
      <c r="CA68" s="35"/>
      <c r="CB68" s="35"/>
      <c r="CC68" s="35"/>
      <c r="CD68" s="35"/>
      <c r="CE68" s="35"/>
      <c r="CF68" s="35"/>
      <c r="CG68" s="35"/>
      <c r="CH68" s="35"/>
      <c r="CI68" s="35"/>
      <c r="CJ68" s="35"/>
      <c r="CK68" s="35"/>
      <c r="CL68" s="35"/>
      <c r="CM68" s="35"/>
      <c r="CN68" s="35"/>
      <c r="CO68" s="35"/>
      <c r="CP68" s="35"/>
      <c r="CQ68" s="35"/>
      <c r="CR68" s="35"/>
      <c r="CS68" s="35"/>
      <c r="CT68" s="35"/>
      <c r="CU68" s="35"/>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c r="DV68" s="35"/>
      <c r="DW68" s="35"/>
      <c r="DX68" s="35"/>
      <c r="DY68" s="35"/>
      <c r="DZ68" s="35"/>
      <c r="EA68" s="35"/>
      <c r="EB68" s="35"/>
      <c r="EC68" s="35"/>
      <c r="ED68" s="35"/>
      <c r="EE68" s="35"/>
      <c r="EF68" s="35"/>
      <c r="EG68" s="35"/>
      <c r="EH68" s="35"/>
      <c r="EI68" s="35"/>
      <c r="EJ68" s="35"/>
      <c r="EK68" s="35"/>
      <c r="EL68" s="35"/>
      <c r="EM68" s="35"/>
      <c r="EN68" s="35"/>
      <c r="EO68" s="35"/>
      <c r="EP68" s="35"/>
      <c r="EQ68" s="35"/>
      <c r="ER68" s="35"/>
      <c r="ES68" s="35"/>
      <c r="ET68" s="35"/>
      <c r="EU68" s="35"/>
      <c r="EV68" s="35"/>
      <c r="EW68" s="35"/>
      <c r="EX68" s="35"/>
      <c r="EY68" s="35"/>
      <c r="EZ68" s="35"/>
      <c r="FA68" s="35"/>
      <c r="FB68" s="35"/>
      <c r="FC68" s="35"/>
      <c r="FD68" s="35"/>
      <c r="FE68" s="35"/>
      <c r="FF68" s="35"/>
      <c r="FG68" s="35"/>
      <c r="FH68" s="35"/>
      <c r="FI68" s="35"/>
      <c r="FJ68" s="35"/>
      <c r="FK68" s="35"/>
      <c r="FL68" s="35"/>
      <c r="FM68" s="35"/>
      <c r="FN68" s="35"/>
      <c r="FO68" s="35"/>
      <c r="FP68" s="35"/>
      <c r="FQ68" s="35"/>
      <c r="FR68" s="35"/>
      <c r="FS68" s="35"/>
      <c r="FT68" s="35"/>
      <c r="FU68" s="35"/>
      <c r="FV68" s="35"/>
      <c r="FW68" s="35"/>
      <c r="FX68" s="35"/>
      <c r="FY68" s="35"/>
      <c r="FZ68" s="35"/>
      <c r="GA68" s="35"/>
      <c r="GB68" s="35"/>
      <c r="GC68" s="35"/>
      <c r="GD68" s="35"/>
      <c r="GE68" s="35"/>
      <c r="GF68" s="35"/>
      <c r="GG68" s="35"/>
      <c r="GH68" s="35"/>
      <c r="GI68" s="35"/>
      <c r="GJ68" s="35"/>
      <c r="GK68" s="35"/>
      <c r="GL68" s="35"/>
      <c r="GM68" s="35"/>
      <c r="GN68" s="35"/>
      <c r="GO68" s="35"/>
      <c r="GP68" s="35"/>
      <c r="GQ68" s="35"/>
      <c r="GR68" s="35"/>
      <c r="GS68" s="35"/>
      <c r="GT68" s="35"/>
      <c r="GU68" s="35"/>
      <c r="GV68" s="35"/>
      <c r="GW68" s="35"/>
      <c r="GX68" s="35"/>
      <c r="GY68" s="35"/>
      <c r="GZ68" s="35"/>
      <c r="HA68" s="35"/>
      <c r="HB68" s="35"/>
      <c r="HC68" s="35"/>
      <c r="HD68" s="35"/>
      <c r="HE68" s="35"/>
      <c r="HF68" s="35"/>
      <c r="HG68" s="35"/>
      <c r="HH68" s="35"/>
      <c r="HI68" s="35"/>
      <c r="HJ68" s="35"/>
      <c r="HK68" s="35"/>
      <c r="HL68" s="35"/>
      <c r="HM68" s="35"/>
      <c r="HN68" s="35"/>
      <c r="HO68" s="35"/>
      <c r="HP68" s="35"/>
      <c r="HQ68" s="35"/>
      <c r="HR68" s="35"/>
      <c r="HS68" s="35"/>
      <c r="HT68" s="35"/>
      <c r="HU68" s="35"/>
      <c r="HV68" s="35"/>
      <c r="HW68" s="35"/>
      <c r="HX68" s="35"/>
      <c r="HY68" s="35"/>
      <c r="HZ68" s="35"/>
      <c r="IA68" s="35"/>
      <c r="IB68" s="35"/>
      <c r="IC68" s="35"/>
      <c r="ID68" s="35"/>
      <c r="IE68" s="35"/>
      <c r="IF68" s="35"/>
      <c r="IG68" s="35"/>
      <c r="IH68" s="35"/>
      <c r="II68" s="35"/>
      <c r="IJ68" s="35"/>
      <c r="IK68" s="35"/>
      <c r="IL68" s="35"/>
      <c r="IM68" s="35"/>
      <c r="IN68" s="35"/>
      <c r="IO68" s="35"/>
      <c r="IP68" s="35"/>
      <c r="IQ68" s="35"/>
      <c r="IR68" s="35"/>
      <c r="IS68" s="35"/>
      <c r="IT68" s="35"/>
      <c r="IU68" s="35"/>
      <c r="IV68" s="35"/>
      <c r="IW68" s="35"/>
      <c r="IX68" s="35"/>
      <c r="IY68" s="35"/>
      <c r="IZ68" s="35"/>
      <c r="JA68" s="35"/>
      <c r="JB68" s="35"/>
      <c r="JC68" s="35"/>
      <c r="JD68" s="35"/>
      <c r="JE68" s="35"/>
      <c r="JF68" s="35"/>
      <c r="JG68" s="35"/>
      <c r="JH68" s="35"/>
      <c r="JI68" s="35"/>
      <c r="JJ68" s="35"/>
      <c r="JK68" s="35"/>
      <c r="JL68" s="35"/>
      <c r="JM68" s="35"/>
      <c r="JN68" s="35"/>
      <c r="JO68" s="35"/>
      <c r="JP68" s="35"/>
      <c r="JQ68" s="35"/>
      <c r="JR68" s="35"/>
      <c r="JS68" s="35"/>
      <c r="JT68" s="35"/>
      <c r="JU68" s="35"/>
      <c r="JV68" s="35"/>
      <c r="JW68" s="35"/>
      <c r="JX68" s="35"/>
      <c r="JY68" s="35"/>
      <c r="JZ68" s="35"/>
      <c r="KA68" s="35"/>
      <c r="KB68" s="35"/>
      <c r="KC68" s="35"/>
      <c r="KD68" s="35"/>
      <c r="KE68" s="35"/>
      <c r="KF68" s="35"/>
      <c r="KG68" s="35"/>
      <c r="KH68" s="35"/>
      <c r="KI68" s="35"/>
      <c r="KJ68" s="35"/>
      <c r="KK68" s="35"/>
      <c r="KL68" s="35"/>
      <c r="KM68" s="35"/>
      <c r="KN68" s="35"/>
      <c r="KO68" s="35"/>
      <c r="KP68" s="35"/>
      <c r="KQ68" s="35"/>
      <c r="KR68" s="35"/>
      <c r="KS68" s="35"/>
      <c r="KT68" s="35"/>
      <c r="KU68" s="35"/>
      <c r="KV68" s="35"/>
      <c r="KW68" s="35"/>
      <c r="KX68" s="35"/>
      <c r="KY68" s="35"/>
      <c r="KZ68" s="35"/>
      <c r="LA68" s="35"/>
      <c r="LB68" s="35"/>
      <c r="LC68" s="35"/>
      <c r="LD68" s="35"/>
      <c r="LE68" s="35"/>
      <c r="LF68" s="35"/>
      <c r="LG68" s="35"/>
      <c r="LH68" s="35"/>
      <c r="LI68" s="35"/>
      <c r="LJ68" s="35"/>
      <c r="LK68" s="35"/>
      <c r="LL68" s="35"/>
      <c r="LM68" s="35"/>
      <c r="LN68" s="35"/>
      <c r="LO68" s="35"/>
      <c r="LP68" s="35"/>
      <c r="LQ68" s="35"/>
      <c r="LR68" s="35"/>
      <c r="LS68" s="35"/>
      <c r="LT68" s="35"/>
      <c r="LU68" s="35"/>
      <c r="LV68" s="35"/>
      <c r="LW68" s="35"/>
      <c r="LX68" s="35"/>
      <c r="LY68" s="35"/>
      <c r="LZ68" s="35"/>
      <c r="MA68" s="35"/>
      <c r="MB68" s="35"/>
      <c r="MC68" s="35"/>
      <c r="MD68" s="35"/>
      <c r="ME68" s="35"/>
      <c r="MF68" s="35"/>
      <c r="MG68" s="35"/>
    </row>
    <row r="69" spans="2:345" s="67" customFormat="1" ht="36" hidden="1" customHeight="1" x14ac:dyDescent="0.25">
      <c r="B69" s="28" t="s">
        <v>4404</v>
      </c>
      <c r="C69" s="24" t="s">
        <v>40</v>
      </c>
      <c r="D69" s="19" t="s">
        <v>4408</v>
      </c>
      <c r="E69" s="18">
        <v>42479</v>
      </c>
      <c r="F69" s="27">
        <f t="shared" ca="1" si="1"/>
        <v>1994</v>
      </c>
      <c r="G69" s="69"/>
      <c r="H69" s="68"/>
      <c r="I69" s="25"/>
      <c r="J69" s="25"/>
      <c r="K69" s="68"/>
      <c r="L69" s="68">
        <v>42487</v>
      </c>
      <c r="M69" s="68"/>
      <c r="N69" s="22"/>
      <c r="O69" s="26"/>
      <c r="P69" s="35"/>
      <c r="Q69" s="35"/>
      <c r="R69" s="20"/>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35"/>
      <c r="AS69" s="35"/>
      <c r="AT69" s="35"/>
      <c r="AU69" s="35"/>
      <c r="AV69" s="35"/>
      <c r="AW69" s="35"/>
      <c r="AX69" s="35"/>
      <c r="AY69" s="35"/>
      <c r="AZ69" s="35"/>
      <c r="BA69" s="35"/>
      <c r="BB69" s="35"/>
      <c r="BC69" s="35"/>
      <c r="BD69" s="35"/>
      <c r="BE69" s="35"/>
      <c r="BF69" s="35"/>
      <c r="BG69" s="35"/>
      <c r="BH69" s="35"/>
      <c r="BI69" s="35"/>
      <c r="BJ69" s="35"/>
      <c r="BK69" s="35"/>
      <c r="BL69" s="35"/>
      <c r="BM69" s="35"/>
      <c r="BN69" s="35"/>
      <c r="BO69" s="35"/>
      <c r="BP69" s="35"/>
      <c r="BQ69" s="35"/>
      <c r="BR69" s="35"/>
      <c r="BS69" s="35"/>
      <c r="BT69" s="35"/>
      <c r="BU69" s="35"/>
      <c r="BV69" s="35"/>
      <c r="BW69" s="35"/>
      <c r="BX69" s="35"/>
      <c r="BY69" s="35"/>
      <c r="BZ69" s="35"/>
      <c r="CA69" s="35"/>
      <c r="CB69" s="35"/>
      <c r="CC69" s="35"/>
      <c r="CD69" s="35"/>
      <c r="CE69" s="35"/>
      <c r="CF69" s="35"/>
      <c r="CG69" s="35"/>
      <c r="CH69" s="35"/>
      <c r="CI69" s="35"/>
      <c r="CJ69" s="35"/>
      <c r="CK69" s="35"/>
      <c r="CL69" s="35"/>
      <c r="CM69" s="35"/>
      <c r="CN69" s="35"/>
      <c r="CO69" s="35"/>
      <c r="CP69" s="35"/>
      <c r="CQ69" s="35"/>
      <c r="CR69" s="35"/>
      <c r="CS69" s="35"/>
      <c r="CT69" s="35"/>
      <c r="CU69" s="35"/>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c r="DV69" s="35"/>
      <c r="DW69" s="35"/>
      <c r="DX69" s="35"/>
      <c r="DY69" s="35"/>
      <c r="DZ69" s="35"/>
      <c r="EA69" s="35"/>
      <c r="EB69" s="35"/>
      <c r="EC69" s="35"/>
      <c r="ED69" s="35"/>
      <c r="EE69" s="35"/>
      <c r="EF69" s="35"/>
      <c r="EG69" s="35"/>
      <c r="EH69" s="35"/>
      <c r="EI69" s="35"/>
      <c r="EJ69" s="35"/>
      <c r="EK69" s="35"/>
      <c r="EL69" s="35"/>
      <c r="EM69" s="35"/>
      <c r="EN69" s="35"/>
      <c r="EO69" s="35"/>
      <c r="EP69" s="35"/>
      <c r="EQ69" s="35"/>
      <c r="ER69" s="35"/>
      <c r="ES69" s="35"/>
      <c r="ET69" s="35"/>
      <c r="EU69" s="35"/>
      <c r="EV69" s="35"/>
      <c r="EW69" s="35"/>
      <c r="EX69" s="35"/>
      <c r="EY69" s="35"/>
      <c r="EZ69" s="35"/>
      <c r="FA69" s="35"/>
      <c r="FB69" s="35"/>
      <c r="FC69" s="35"/>
      <c r="FD69" s="35"/>
      <c r="FE69" s="35"/>
      <c r="FF69" s="35"/>
      <c r="FG69" s="35"/>
      <c r="FH69" s="35"/>
      <c r="FI69" s="35"/>
      <c r="FJ69" s="35"/>
      <c r="FK69" s="35"/>
      <c r="FL69" s="35"/>
      <c r="FM69" s="35"/>
      <c r="FN69" s="35"/>
      <c r="FO69" s="35"/>
      <c r="FP69" s="35"/>
      <c r="FQ69" s="35"/>
      <c r="FR69" s="35"/>
      <c r="FS69" s="35"/>
      <c r="FT69" s="35"/>
      <c r="FU69" s="35"/>
      <c r="FV69" s="35"/>
      <c r="FW69" s="35"/>
      <c r="FX69" s="35"/>
      <c r="FY69" s="35"/>
      <c r="FZ69" s="35"/>
      <c r="GA69" s="35"/>
      <c r="GB69" s="35"/>
      <c r="GC69" s="35"/>
      <c r="GD69" s="35"/>
      <c r="GE69" s="35"/>
      <c r="GF69" s="35"/>
      <c r="GG69" s="35"/>
      <c r="GH69" s="35"/>
      <c r="GI69" s="35"/>
      <c r="GJ69" s="35"/>
      <c r="GK69" s="35"/>
      <c r="GL69" s="35"/>
      <c r="GM69" s="35"/>
      <c r="GN69" s="35"/>
      <c r="GO69" s="35"/>
      <c r="GP69" s="35"/>
      <c r="GQ69" s="35"/>
      <c r="GR69" s="35"/>
      <c r="GS69" s="35"/>
      <c r="GT69" s="35"/>
      <c r="GU69" s="35"/>
      <c r="GV69" s="35"/>
      <c r="GW69" s="35"/>
      <c r="GX69" s="35"/>
      <c r="GY69" s="35"/>
      <c r="GZ69" s="35"/>
      <c r="HA69" s="35"/>
      <c r="HB69" s="35"/>
      <c r="HC69" s="35"/>
      <c r="HD69" s="35"/>
      <c r="HE69" s="35"/>
      <c r="HF69" s="35"/>
      <c r="HG69" s="35"/>
      <c r="HH69" s="35"/>
      <c r="HI69" s="35"/>
      <c r="HJ69" s="35"/>
      <c r="HK69" s="35"/>
      <c r="HL69" s="35"/>
      <c r="HM69" s="35"/>
      <c r="HN69" s="35"/>
      <c r="HO69" s="35"/>
      <c r="HP69" s="35"/>
      <c r="HQ69" s="35"/>
      <c r="HR69" s="35"/>
      <c r="HS69" s="35"/>
      <c r="HT69" s="35"/>
      <c r="HU69" s="35"/>
      <c r="HV69" s="35"/>
      <c r="HW69" s="35"/>
      <c r="HX69" s="35"/>
      <c r="HY69" s="35"/>
      <c r="HZ69" s="35"/>
      <c r="IA69" s="35"/>
      <c r="IB69" s="35"/>
      <c r="IC69" s="35"/>
      <c r="ID69" s="35"/>
      <c r="IE69" s="35"/>
      <c r="IF69" s="35"/>
      <c r="IG69" s="35"/>
      <c r="IH69" s="35"/>
      <c r="II69" s="35"/>
      <c r="IJ69" s="35"/>
      <c r="IK69" s="35"/>
      <c r="IL69" s="35"/>
      <c r="IM69" s="35"/>
      <c r="IN69" s="35"/>
      <c r="IO69" s="35"/>
      <c r="IP69" s="35"/>
      <c r="IQ69" s="35"/>
      <c r="IR69" s="35"/>
      <c r="IS69" s="35"/>
      <c r="IT69" s="35"/>
      <c r="IU69" s="35"/>
      <c r="IV69" s="35"/>
      <c r="IW69" s="35"/>
      <c r="IX69" s="35"/>
      <c r="IY69" s="35"/>
      <c r="IZ69" s="35"/>
      <c r="JA69" s="35"/>
      <c r="JB69" s="35"/>
      <c r="JC69" s="35"/>
      <c r="JD69" s="35"/>
      <c r="JE69" s="35"/>
      <c r="JF69" s="35"/>
      <c r="JG69" s="35"/>
      <c r="JH69" s="35"/>
      <c r="JI69" s="35"/>
      <c r="JJ69" s="35"/>
      <c r="JK69" s="35"/>
      <c r="JL69" s="35"/>
      <c r="JM69" s="35"/>
      <c r="JN69" s="35"/>
      <c r="JO69" s="35"/>
      <c r="JP69" s="35"/>
      <c r="JQ69" s="35"/>
      <c r="JR69" s="35"/>
      <c r="JS69" s="35"/>
      <c r="JT69" s="35"/>
      <c r="JU69" s="35"/>
      <c r="JV69" s="35"/>
      <c r="JW69" s="35"/>
      <c r="JX69" s="35"/>
      <c r="JY69" s="35"/>
      <c r="JZ69" s="35"/>
      <c r="KA69" s="35"/>
      <c r="KB69" s="35"/>
      <c r="KC69" s="35"/>
      <c r="KD69" s="35"/>
      <c r="KE69" s="35"/>
      <c r="KF69" s="35"/>
      <c r="KG69" s="35"/>
      <c r="KH69" s="35"/>
      <c r="KI69" s="35"/>
      <c r="KJ69" s="35"/>
      <c r="KK69" s="35"/>
      <c r="KL69" s="35"/>
      <c r="KM69" s="35"/>
      <c r="KN69" s="35"/>
      <c r="KO69" s="35"/>
      <c r="KP69" s="35"/>
      <c r="KQ69" s="35"/>
      <c r="KR69" s="35"/>
      <c r="KS69" s="35"/>
      <c r="KT69" s="35"/>
      <c r="KU69" s="35"/>
      <c r="KV69" s="35"/>
      <c r="KW69" s="35"/>
      <c r="KX69" s="35"/>
      <c r="KY69" s="35"/>
      <c r="KZ69" s="35"/>
      <c r="LA69" s="35"/>
      <c r="LB69" s="35"/>
      <c r="LC69" s="35"/>
      <c r="LD69" s="35"/>
      <c r="LE69" s="35"/>
      <c r="LF69" s="35"/>
      <c r="LG69" s="35"/>
      <c r="LH69" s="35"/>
      <c r="LI69" s="35"/>
      <c r="LJ69" s="35"/>
      <c r="LK69" s="35"/>
      <c r="LL69" s="35"/>
      <c r="LM69" s="35"/>
      <c r="LN69" s="35"/>
      <c r="LO69" s="35"/>
      <c r="LP69" s="35"/>
      <c r="LQ69" s="35"/>
      <c r="LR69" s="35"/>
      <c r="LS69" s="35"/>
      <c r="LT69" s="35"/>
      <c r="LU69" s="35"/>
      <c r="LV69" s="35"/>
      <c r="LW69" s="35"/>
      <c r="LX69" s="35"/>
      <c r="LY69" s="35"/>
      <c r="LZ69" s="35"/>
      <c r="MA69" s="35"/>
      <c r="MB69" s="35"/>
      <c r="MC69" s="35"/>
      <c r="MD69" s="35"/>
      <c r="ME69" s="35"/>
      <c r="MF69" s="35"/>
      <c r="MG69" s="35"/>
    </row>
    <row r="70" spans="2:345" s="67" customFormat="1" ht="36" hidden="1" customHeight="1" x14ac:dyDescent="0.25">
      <c r="B70" s="28">
        <v>4143</v>
      </c>
      <c r="C70" s="24" t="s">
        <v>16</v>
      </c>
      <c r="D70" s="19" t="s">
        <v>4344</v>
      </c>
      <c r="E70" s="18">
        <v>42480</v>
      </c>
      <c r="F70" s="27">
        <f t="shared" ca="1" si="1"/>
        <v>1993</v>
      </c>
      <c r="G70" s="69"/>
      <c r="H70" s="68"/>
      <c r="I70" s="25"/>
      <c r="J70" s="25"/>
      <c r="K70" s="68"/>
      <c r="L70" s="68">
        <v>42482</v>
      </c>
      <c r="M70" s="68"/>
      <c r="N70" s="22"/>
      <c r="O70" s="26" t="s">
        <v>4345</v>
      </c>
      <c r="P70" s="35"/>
      <c r="Q70" s="35"/>
      <c r="R70" s="20"/>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35"/>
      <c r="AS70" s="35"/>
      <c r="AT70" s="35"/>
      <c r="AU70" s="35"/>
      <c r="AV70" s="35"/>
      <c r="AW70" s="35"/>
      <c r="AX70" s="35"/>
      <c r="AY70" s="35"/>
      <c r="AZ70" s="35"/>
      <c r="BA70" s="35"/>
      <c r="BB70" s="35"/>
      <c r="BC70" s="35"/>
      <c r="BD70" s="35"/>
      <c r="BE70" s="35"/>
      <c r="BF70" s="35"/>
      <c r="BG70" s="35"/>
      <c r="BH70" s="35"/>
      <c r="BI70" s="35"/>
      <c r="BJ70" s="35"/>
      <c r="BK70" s="35"/>
      <c r="BL70" s="35"/>
      <c r="BM70" s="35"/>
      <c r="BN70" s="35"/>
      <c r="BO70" s="35"/>
      <c r="BP70" s="35"/>
      <c r="BQ70" s="35"/>
      <c r="BR70" s="35"/>
      <c r="BS70" s="35"/>
      <c r="BT70" s="35"/>
      <c r="BU70" s="35"/>
      <c r="BV70" s="35"/>
      <c r="BW70" s="35"/>
      <c r="BX70" s="35"/>
      <c r="BY70" s="35"/>
      <c r="BZ70" s="35"/>
      <c r="CA70" s="35"/>
      <c r="CB70" s="35"/>
      <c r="CC70" s="35"/>
      <c r="CD70" s="35"/>
      <c r="CE70" s="35"/>
      <c r="CF70" s="35"/>
      <c r="CG70" s="35"/>
      <c r="CH70" s="35"/>
      <c r="CI70" s="35"/>
      <c r="CJ70" s="35"/>
      <c r="CK70" s="35"/>
      <c r="CL70" s="35"/>
      <c r="CM70" s="35"/>
      <c r="CN70" s="35"/>
      <c r="CO70" s="35"/>
      <c r="CP70" s="35"/>
      <c r="CQ70" s="35"/>
      <c r="CR70" s="35"/>
      <c r="CS70" s="35"/>
      <c r="CT70" s="35"/>
      <c r="CU70" s="35"/>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c r="DV70" s="35"/>
      <c r="DW70" s="35"/>
      <c r="DX70" s="35"/>
      <c r="DY70" s="35"/>
      <c r="DZ70" s="35"/>
      <c r="EA70" s="35"/>
      <c r="EB70" s="35"/>
      <c r="EC70" s="35"/>
      <c r="ED70" s="35"/>
      <c r="EE70" s="35"/>
      <c r="EF70" s="35"/>
      <c r="EG70" s="35"/>
      <c r="EH70" s="35"/>
      <c r="EI70" s="35"/>
      <c r="EJ70" s="35"/>
      <c r="EK70" s="35"/>
      <c r="EL70" s="35"/>
      <c r="EM70" s="35"/>
      <c r="EN70" s="35"/>
      <c r="EO70" s="35"/>
      <c r="EP70" s="35"/>
      <c r="EQ70" s="35"/>
      <c r="ER70" s="35"/>
      <c r="ES70" s="35"/>
      <c r="ET70" s="35"/>
      <c r="EU70" s="35"/>
      <c r="EV70" s="35"/>
      <c r="EW70" s="35"/>
      <c r="EX70" s="35"/>
      <c r="EY70" s="35"/>
      <c r="EZ70" s="35"/>
      <c r="FA70" s="35"/>
      <c r="FB70" s="35"/>
      <c r="FC70" s="35"/>
      <c r="FD70" s="35"/>
      <c r="FE70" s="35"/>
      <c r="FF70" s="35"/>
      <c r="FG70" s="35"/>
      <c r="FH70" s="35"/>
      <c r="FI70" s="35"/>
      <c r="FJ70" s="35"/>
      <c r="FK70" s="35"/>
      <c r="FL70" s="35"/>
      <c r="FM70" s="35"/>
      <c r="FN70" s="35"/>
      <c r="FO70" s="35"/>
      <c r="FP70" s="35"/>
      <c r="FQ70" s="35"/>
      <c r="FR70" s="35"/>
      <c r="FS70" s="35"/>
      <c r="FT70" s="35"/>
      <c r="FU70" s="35"/>
      <c r="FV70" s="35"/>
      <c r="FW70" s="35"/>
      <c r="FX70" s="35"/>
      <c r="FY70" s="35"/>
      <c r="FZ70" s="35"/>
      <c r="GA70" s="35"/>
      <c r="GB70" s="35"/>
      <c r="GC70" s="35"/>
      <c r="GD70" s="35"/>
      <c r="GE70" s="35"/>
      <c r="GF70" s="35"/>
      <c r="GG70" s="35"/>
      <c r="GH70" s="35"/>
      <c r="GI70" s="35"/>
      <c r="GJ70" s="35"/>
      <c r="GK70" s="35"/>
      <c r="GL70" s="35"/>
      <c r="GM70" s="35"/>
      <c r="GN70" s="35"/>
      <c r="GO70" s="35"/>
      <c r="GP70" s="35"/>
      <c r="GQ70" s="35"/>
      <c r="GR70" s="35"/>
      <c r="GS70" s="35"/>
      <c r="GT70" s="35"/>
      <c r="GU70" s="35"/>
      <c r="GV70" s="35"/>
      <c r="GW70" s="35"/>
      <c r="GX70" s="35"/>
      <c r="GY70" s="35"/>
      <c r="GZ70" s="35"/>
      <c r="HA70" s="35"/>
      <c r="HB70" s="35"/>
      <c r="HC70" s="35"/>
      <c r="HD70" s="35"/>
      <c r="HE70" s="35"/>
      <c r="HF70" s="35"/>
      <c r="HG70" s="35"/>
      <c r="HH70" s="35"/>
      <c r="HI70" s="35"/>
      <c r="HJ70" s="35"/>
      <c r="HK70" s="35"/>
      <c r="HL70" s="35"/>
      <c r="HM70" s="35"/>
      <c r="HN70" s="35"/>
      <c r="HO70" s="35"/>
      <c r="HP70" s="35"/>
      <c r="HQ70" s="35"/>
      <c r="HR70" s="35"/>
      <c r="HS70" s="35"/>
      <c r="HT70" s="35"/>
      <c r="HU70" s="35"/>
      <c r="HV70" s="35"/>
      <c r="HW70" s="35"/>
      <c r="HX70" s="35"/>
      <c r="HY70" s="35"/>
      <c r="HZ70" s="35"/>
      <c r="IA70" s="35"/>
      <c r="IB70" s="35"/>
      <c r="IC70" s="35"/>
      <c r="ID70" s="35"/>
      <c r="IE70" s="35"/>
      <c r="IF70" s="35"/>
      <c r="IG70" s="35"/>
      <c r="IH70" s="35"/>
      <c r="II70" s="35"/>
      <c r="IJ70" s="35"/>
      <c r="IK70" s="35"/>
      <c r="IL70" s="35"/>
      <c r="IM70" s="35"/>
      <c r="IN70" s="35"/>
      <c r="IO70" s="35"/>
      <c r="IP70" s="35"/>
      <c r="IQ70" s="35"/>
      <c r="IR70" s="35"/>
      <c r="IS70" s="35"/>
      <c r="IT70" s="35"/>
      <c r="IU70" s="35"/>
      <c r="IV70" s="35"/>
      <c r="IW70" s="35"/>
      <c r="IX70" s="35"/>
      <c r="IY70" s="35"/>
      <c r="IZ70" s="35"/>
      <c r="JA70" s="35"/>
      <c r="JB70" s="35"/>
      <c r="JC70" s="35"/>
      <c r="JD70" s="35"/>
      <c r="JE70" s="35"/>
      <c r="JF70" s="35"/>
      <c r="JG70" s="35"/>
      <c r="JH70" s="35"/>
      <c r="JI70" s="35"/>
      <c r="JJ70" s="35"/>
      <c r="JK70" s="35"/>
      <c r="JL70" s="35"/>
      <c r="JM70" s="35"/>
      <c r="JN70" s="35"/>
      <c r="JO70" s="35"/>
      <c r="JP70" s="35"/>
      <c r="JQ70" s="35"/>
      <c r="JR70" s="35"/>
      <c r="JS70" s="35"/>
      <c r="JT70" s="35"/>
      <c r="JU70" s="35"/>
      <c r="JV70" s="35"/>
      <c r="JW70" s="35"/>
      <c r="JX70" s="35"/>
      <c r="JY70" s="35"/>
      <c r="JZ70" s="35"/>
      <c r="KA70" s="35"/>
      <c r="KB70" s="35"/>
      <c r="KC70" s="35"/>
      <c r="KD70" s="35"/>
      <c r="KE70" s="35"/>
      <c r="KF70" s="35"/>
      <c r="KG70" s="35"/>
      <c r="KH70" s="35"/>
      <c r="KI70" s="35"/>
      <c r="KJ70" s="35"/>
      <c r="KK70" s="35"/>
      <c r="KL70" s="35"/>
      <c r="KM70" s="35"/>
      <c r="KN70" s="35"/>
      <c r="KO70" s="35"/>
      <c r="KP70" s="35"/>
      <c r="KQ70" s="35"/>
      <c r="KR70" s="35"/>
      <c r="KS70" s="35"/>
      <c r="KT70" s="35"/>
      <c r="KU70" s="35"/>
      <c r="KV70" s="35"/>
      <c r="KW70" s="35"/>
      <c r="KX70" s="35"/>
      <c r="KY70" s="35"/>
      <c r="KZ70" s="35"/>
      <c r="LA70" s="35"/>
      <c r="LB70" s="35"/>
      <c r="LC70" s="35"/>
      <c r="LD70" s="35"/>
      <c r="LE70" s="35"/>
      <c r="LF70" s="35"/>
      <c r="LG70" s="35"/>
      <c r="LH70" s="35"/>
      <c r="LI70" s="35"/>
      <c r="LJ70" s="35"/>
      <c r="LK70" s="35"/>
      <c r="LL70" s="35"/>
      <c r="LM70" s="35"/>
      <c r="LN70" s="35"/>
      <c r="LO70" s="35"/>
      <c r="LP70" s="35"/>
      <c r="LQ70" s="35"/>
      <c r="LR70" s="35"/>
      <c r="LS70" s="35"/>
      <c r="LT70" s="35"/>
      <c r="LU70" s="35"/>
      <c r="LV70" s="35"/>
      <c r="LW70" s="35"/>
      <c r="LX70" s="35"/>
      <c r="LY70" s="35"/>
      <c r="LZ70" s="35"/>
      <c r="MA70" s="35"/>
      <c r="MB70" s="35"/>
      <c r="MC70" s="35"/>
      <c r="MD70" s="35"/>
      <c r="ME70" s="35"/>
      <c r="MF70" s="35"/>
      <c r="MG70" s="35"/>
    </row>
    <row r="71" spans="2:345" s="67" customFormat="1" ht="36" hidden="1" customHeight="1" x14ac:dyDescent="0.25">
      <c r="B71" s="28">
        <v>4184</v>
      </c>
      <c r="C71" s="24" t="s">
        <v>23</v>
      </c>
      <c r="D71" s="19" t="s">
        <v>4386</v>
      </c>
      <c r="E71" s="18">
        <v>42480</v>
      </c>
      <c r="F71" s="27">
        <f t="shared" ca="1" si="1"/>
        <v>1993</v>
      </c>
      <c r="G71" s="69"/>
      <c r="H71" s="68"/>
      <c r="I71" s="25"/>
      <c r="J71" s="25"/>
      <c r="K71" s="68"/>
      <c r="L71" s="68">
        <v>42482</v>
      </c>
      <c r="M71" s="68"/>
      <c r="N71" s="22"/>
      <c r="O71" s="26"/>
      <c r="P71" s="35"/>
      <c r="Q71" s="35"/>
      <c r="R71" s="20"/>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35"/>
      <c r="AS71" s="35"/>
      <c r="AT71" s="35"/>
      <c r="AU71" s="35"/>
      <c r="AV71" s="35"/>
      <c r="AW71" s="35"/>
      <c r="AX71" s="35"/>
      <c r="AY71" s="35"/>
      <c r="AZ71" s="35"/>
      <c r="BA71" s="35"/>
      <c r="BB71" s="35"/>
      <c r="BC71" s="35"/>
      <c r="BD71" s="35"/>
      <c r="BE71" s="35"/>
      <c r="BF71" s="35"/>
      <c r="BG71" s="35"/>
      <c r="BH71" s="35"/>
      <c r="BI71" s="35"/>
      <c r="BJ71" s="35"/>
      <c r="BK71" s="35"/>
      <c r="BL71" s="35"/>
      <c r="BM71" s="35"/>
      <c r="BN71" s="35"/>
      <c r="BO71" s="35"/>
      <c r="BP71" s="35"/>
      <c r="BQ71" s="35"/>
      <c r="BR71" s="35"/>
      <c r="BS71" s="35"/>
      <c r="BT71" s="35"/>
      <c r="BU71" s="35"/>
      <c r="BV71" s="35"/>
      <c r="BW71" s="35"/>
      <c r="BX71" s="35"/>
      <c r="BY71" s="35"/>
      <c r="BZ71" s="35"/>
      <c r="CA71" s="35"/>
      <c r="CB71" s="35"/>
      <c r="CC71" s="35"/>
      <c r="CD71" s="35"/>
      <c r="CE71" s="35"/>
      <c r="CF71" s="35"/>
      <c r="CG71" s="35"/>
      <c r="CH71" s="35"/>
      <c r="CI71" s="35"/>
      <c r="CJ71" s="35"/>
      <c r="CK71" s="35"/>
      <c r="CL71" s="35"/>
      <c r="CM71" s="35"/>
      <c r="CN71" s="35"/>
      <c r="CO71" s="35"/>
      <c r="CP71" s="35"/>
      <c r="CQ71" s="35"/>
      <c r="CR71" s="35"/>
      <c r="CS71" s="35"/>
      <c r="CT71" s="35"/>
      <c r="CU71" s="35"/>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c r="DV71" s="35"/>
      <c r="DW71" s="35"/>
      <c r="DX71" s="35"/>
      <c r="DY71" s="35"/>
      <c r="DZ71" s="35"/>
      <c r="EA71" s="35"/>
      <c r="EB71" s="35"/>
      <c r="EC71" s="35"/>
      <c r="ED71" s="35"/>
      <c r="EE71" s="35"/>
      <c r="EF71" s="35"/>
      <c r="EG71" s="35"/>
      <c r="EH71" s="35"/>
      <c r="EI71" s="35"/>
      <c r="EJ71" s="35"/>
      <c r="EK71" s="35"/>
      <c r="EL71" s="35"/>
      <c r="EM71" s="35"/>
      <c r="EN71" s="35"/>
      <c r="EO71" s="35"/>
      <c r="EP71" s="35"/>
      <c r="EQ71" s="35"/>
      <c r="ER71" s="35"/>
      <c r="ES71" s="35"/>
      <c r="ET71" s="35"/>
      <c r="EU71" s="35"/>
      <c r="EV71" s="35"/>
      <c r="EW71" s="35"/>
      <c r="EX71" s="35"/>
      <c r="EY71" s="35"/>
      <c r="EZ71" s="35"/>
      <c r="FA71" s="35"/>
      <c r="FB71" s="35"/>
      <c r="FC71" s="35"/>
      <c r="FD71" s="35"/>
      <c r="FE71" s="35"/>
      <c r="FF71" s="35"/>
      <c r="FG71" s="35"/>
      <c r="FH71" s="35"/>
      <c r="FI71" s="35"/>
      <c r="FJ71" s="35"/>
      <c r="FK71" s="35"/>
      <c r="FL71" s="35"/>
      <c r="FM71" s="35"/>
      <c r="FN71" s="35"/>
      <c r="FO71" s="35"/>
      <c r="FP71" s="35"/>
      <c r="FQ71" s="35"/>
      <c r="FR71" s="35"/>
      <c r="FS71" s="35"/>
      <c r="FT71" s="35"/>
      <c r="FU71" s="35"/>
      <c r="FV71" s="35"/>
      <c r="FW71" s="35"/>
      <c r="FX71" s="35"/>
      <c r="FY71" s="35"/>
      <c r="FZ71" s="35"/>
      <c r="GA71" s="35"/>
      <c r="GB71" s="35"/>
      <c r="GC71" s="35"/>
      <c r="GD71" s="35"/>
      <c r="GE71" s="35"/>
      <c r="GF71" s="35"/>
      <c r="GG71" s="35"/>
      <c r="GH71" s="35"/>
      <c r="GI71" s="35"/>
      <c r="GJ71" s="35"/>
      <c r="GK71" s="35"/>
      <c r="GL71" s="35"/>
      <c r="GM71" s="35"/>
      <c r="GN71" s="35"/>
      <c r="GO71" s="35"/>
      <c r="GP71" s="35"/>
      <c r="GQ71" s="35"/>
      <c r="GR71" s="35"/>
      <c r="GS71" s="35"/>
      <c r="GT71" s="35"/>
      <c r="GU71" s="35"/>
      <c r="GV71" s="35"/>
      <c r="GW71" s="35"/>
      <c r="GX71" s="35"/>
      <c r="GY71" s="35"/>
      <c r="GZ71" s="35"/>
      <c r="HA71" s="35"/>
      <c r="HB71" s="35"/>
      <c r="HC71" s="35"/>
      <c r="HD71" s="35"/>
      <c r="HE71" s="35"/>
      <c r="HF71" s="35"/>
      <c r="HG71" s="35"/>
      <c r="HH71" s="35"/>
      <c r="HI71" s="35"/>
      <c r="HJ71" s="35"/>
      <c r="HK71" s="35"/>
      <c r="HL71" s="35"/>
      <c r="HM71" s="35"/>
      <c r="HN71" s="35"/>
      <c r="HO71" s="35"/>
      <c r="HP71" s="35"/>
      <c r="HQ71" s="35"/>
      <c r="HR71" s="35"/>
      <c r="HS71" s="35"/>
      <c r="HT71" s="35"/>
      <c r="HU71" s="35"/>
      <c r="HV71" s="35"/>
      <c r="HW71" s="35"/>
      <c r="HX71" s="35"/>
      <c r="HY71" s="35"/>
      <c r="HZ71" s="35"/>
      <c r="IA71" s="35"/>
      <c r="IB71" s="35"/>
      <c r="IC71" s="35"/>
      <c r="ID71" s="35"/>
      <c r="IE71" s="35"/>
      <c r="IF71" s="35"/>
      <c r="IG71" s="35"/>
      <c r="IH71" s="35"/>
      <c r="II71" s="35"/>
      <c r="IJ71" s="35"/>
      <c r="IK71" s="35"/>
      <c r="IL71" s="35"/>
      <c r="IM71" s="35"/>
      <c r="IN71" s="35"/>
      <c r="IO71" s="35"/>
      <c r="IP71" s="35"/>
      <c r="IQ71" s="35"/>
      <c r="IR71" s="35"/>
      <c r="IS71" s="35"/>
      <c r="IT71" s="35"/>
      <c r="IU71" s="35"/>
      <c r="IV71" s="35"/>
      <c r="IW71" s="35"/>
      <c r="IX71" s="35"/>
      <c r="IY71" s="35"/>
      <c r="IZ71" s="35"/>
      <c r="JA71" s="35"/>
      <c r="JB71" s="35"/>
      <c r="JC71" s="35"/>
      <c r="JD71" s="35"/>
      <c r="JE71" s="35"/>
      <c r="JF71" s="35"/>
      <c r="JG71" s="35"/>
      <c r="JH71" s="35"/>
      <c r="JI71" s="35"/>
      <c r="JJ71" s="35"/>
      <c r="JK71" s="35"/>
      <c r="JL71" s="35"/>
      <c r="JM71" s="35"/>
      <c r="JN71" s="35"/>
      <c r="JO71" s="35"/>
      <c r="JP71" s="35"/>
      <c r="JQ71" s="35"/>
      <c r="JR71" s="35"/>
      <c r="JS71" s="35"/>
      <c r="JT71" s="35"/>
      <c r="JU71" s="35"/>
      <c r="JV71" s="35"/>
      <c r="JW71" s="35"/>
      <c r="JX71" s="35"/>
      <c r="JY71" s="35"/>
      <c r="JZ71" s="35"/>
      <c r="KA71" s="35"/>
      <c r="KB71" s="35"/>
      <c r="KC71" s="35"/>
      <c r="KD71" s="35"/>
      <c r="KE71" s="35"/>
      <c r="KF71" s="35"/>
      <c r="KG71" s="35"/>
      <c r="KH71" s="35"/>
      <c r="KI71" s="35"/>
      <c r="KJ71" s="35"/>
      <c r="KK71" s="35"/>
      <c r="KL71" s="35"/>
      <c r="KM71" s="35"/>
      <c r="KN71" s="35"/>
      <c r="KO71" s="35"/>
      <c r="KP71" s="35"/>
      <c r="KQ71" s="35"/>
      <c r="KR71" s="35"/>
      <c r="KS71" s="35"/>
      <c r="KT71" s="35"/>
      <c r="KU71" s="35"/>
      <c r="KV71" s="35"/>
      <c r="KW71" s="35"/>
      <c r="KX71" s="35"/>
      <c r="KY71" s="35"/>
      <c r="KZ71" s="35"/>
      <c r="LA71" s="35"/>
      <c r="LB71" s="35"/>
      <c r="LC71" s="35"/>
      <c r="LD71" s="35"/>
      <c r="LE71" s="35"/>
      <c r="LF71" s="35"/>
      <c r="LG71" s="35"/>
      <c r="LH71" s="35"/>
      <c r="LI71" s="35"/>
      <c r="LJ71" s="35"/>
      <c r="LK71" s="35"/>
      <c r="LL71" s="35"/>
      <c r="LM71" s="35"/>
      <c r="LN71" s="35"/>
      <c r="LO71" s="35"/>
      <c r="LP71" s="35"/>
      <c r="LQ71" s="35"/>
      <c r="LR71" s="35"/>
      <c r="LS71" s="35"/>
      <c r="LT71" s="35"/>
      <c r="LU71" s="35"/>
      <c r="LV71" s="35"/>
      <c r="LW71" s="35"/>
      <c r="LX71" s="35"/>
      <c r="LY71" s="35"/>
      <c r="LZ71" s="35"/>
      <c r="MA71" s="35"/>
      <c r="MB71" s="35"/>
      <c r="MC71" s="35"/>
      <c r="MD71" s="35"/>
      <c r="ME71" s="35"/>
      <c r="MF71" s="35"/>
      <c r="MG71" s="35"/>
    </row>
    <row r="72" spans="2:345" s="67" customFormat="1" ht="36" hidden="1" customHeight="1" x14ac:dyDescent="0.25">
      <c r="B72" s="28" t="s">
        <v>4404</v>
      </c>
      <c r="C72" s="24" t="s">
        <v>23</v>
      </c>
      <c r="D72" s="19" t="s">
        <v>4412</v>
      </c>
      <c r="E72" s="18">
        <v>42480</v>
      </c>
      <c r="F72" s="27">
        <f t="shared" ca="1" si="1"/>
        <v>1993</v>
      </c>
      <c r="G72" s="69"/>
      <c r="H72" s="68"/>
      <c r="I72" s="25"/>
      <c r="J72" s="25"/>
      <c r="K72" s="68"/>
      <c r="L72" s="68">
        <v>42487</v>
      </c>
      <c r="M72" s="68"/>
      <c r="N72" s="22"/>
      <c r="O72" s="26"/>
      <c r="P72" s="35"/>
      <c r="Q72" s="35"/>
      <c r="R72" s="20"/>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35"/>
      <c r="AS72" s="35"/>
      <c r="AT72" s="35"/>
      <c r="AU72" s="35"/>
      <c r="AV72" s="35"/>
      <c r="AW72" s="35"/>
      <c r="AX72" s="35"/>
      <c r="AY72" s="35"/>
      <c r="AZ72" s="35"/>
      <c r="BA72" s="35"/>
      <c r="BB72" s="35"/>
      <c r="BC72" s="35"/>
      <c r="BD72" s="35"/>
      <c r="BE72" s="35"/>
      <c r="BF72" s="35"/>
      <c r="BG72" s="35"/>
      <c r="BH72" s="35"/>
      <c r="BI72" s="35"/>
      <c r="BJ72" s="35"/>
      <c r="BK72" s="35"/>
      <c r="BL72" s="35"/>
      <c r="BM72" s="35"/>
      <c r="BN72" s="35"/>
      <c r="BO72" s="35"/>
      <c r="BP72" s="35"/>
      <c r="BQ72" s="35"/>
      <c r="BR72" s="35"/>
      <c r="BS72" s="35"/>
      <c r="BT72" s="35"/>
      <c r="BU72" s="35"/>
      <c r="BV72" s="35"/>
      <c r="BW72" s="35"/>
      <c r="BX72" s="35"/>
      <c r="BY72" s="35"/>
      <c r="BZ72" s="35"/>
      <c r="CA72" s="35"/>
      <c r="CB72" s="35"/>
      <c r="CC72" s="35"/>
      <c r="CD72" s="35"/>
      <c r="CE72" s="35"/>
      <c r="CF72" s="35"/>
      <c r="CG72" s="35"/>
      <c r="CH72" s="35"/>
      <c r="CI72" s="35"/>
      <c r="CJ72" s="35"/>
      <c r="CK72" s="35"/>
      <c r="CL72" s="35"/>
      <c r="CM72" s="35"/>
      <c r="CN72" s="35"/>
      <c r="CO72" s="35"/>
      <c r="CP72" s="35"/>
      <c r="CQ72" s="35"/>
      <c r="CR72" s="35"/>
      <c r="CS72" s="35"/>
      <c r="CT72" s="35"/>
      <c r="CU72" s="35"/>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c r="DV72" s="35"/>
      <c r="DW72" s="35"/>
      <c r="DX72" s="35"/>
      <c r="DY72" s="35"/>
      <c r="DZ72" s="35"/>
      <c r="EA72" s="35"/>
      <c r="EB72" s="35"/>
      <c r="EC72" s="35"/>
      <c r="ED72" s="35"/>
      <c r="EE72" s="35"/>
      <c r="EF72" s="35"/>
      <c r="EG72" s="35"/>
      <c r="EH72" s="35"/>
      <c r="EI72" s="35"/>
      <c r="EJ72" s="35"/>
      <c r="EK72" s="35"/>
      <c r="EL72" s="35"/>
      <c r="EM72" s="35"/>
      <c r="EN72" s="35"/>
      <c r="EO72" s="35"/>
      <c r="EP72" s="35"/>
      <c r="EQ72" s="35"/>
      <c r="ER72" s="35"/>
      <c r="ES72" s="35"/>
      <c r="ET72" s="35"/>
      <c r="EU72" s="35"/>
      <c r="EV72" s="35"/>
      <c r="EW72" s="35"/>
      <c r="EX72" s="35"/>
      <c r="EY72" s="35"/>
      <c r="EZ72" s="35"/>
      <c r="FA72" s="35"/>
      <c r="FB72" s="35"/>
      <c r="FC72" s="35"/>
      <c r="FD72" s="35"/>
      <c r="FE72" s="35"/>
      <c r="FF72" s="35"/>
      <c r="FG72" s="35"/>
      <c r="FH72" s="35"/>
      <c r="FI72" s="35"/>
      <c r="FJ72" s="35"/>
      <c r="FK72" s="35"/>
      <c r="FL72" s="35"/>
      <c r="FM72" s="35"/>
      <c r="FN72" s="35"/>
      <c r="FO72" s="35"/>
      <c r="FP72" s="35"/>
      <c r="FQ72" s="35"/>
      <c r="FR72" s="35"/>
      <c r="FS72" s="35"/>
      <c r="FT72" s="35"/>
      <c r="FU72" s="35"/>
      <c r="FV72" s="35"/>
      <c r="FW72" s="35"/>
      <c r="FX72" s="35"/>
      <c r="FY72" s="35"/>
      <c r="FZ72" s="35"/>
      <c r="GA72" s="35"/>
      <c r="GB72" s="35"/>
      <c r="GC72" s="35"/>
      <c r="GD72" s="35"/>
      <c r="GE72" s="35"/>
      <c r="GF72" s="35"/>
      <c r="GG72" s="35"/>
      <c r="GH72" s="35"/>
      <c r="GI72" s="35"/>
      <c r="GJ72" s="35"/>
      <c r="GK72" s="35"/>
      <c r="GL72" s="35"/>
      <c r="GM72" s="35"/>
      <c r="GN72" s="35"/>
      <c r="GO72" s="35"/>
      <c r="GP72" s="35"/>
      <c r="GQ72" s="35"/>
      <c r="GR72" s="35"/>
      <c r="GS72" s="35"/>
      <c r="GT72" s="35"/>
      <c r="GU72" s="35"/>
      <c r="GV72" s="35"/>
      <c r="GW72" s="35"/>
      <c r="GX72" s="35"/>
      <c r="GY72" s="35"/>
      <c r="GZ72" s="35"/>
      <c r="HA72" s="35"/>
      <c r="HB72" s="35"/>
      <c r="HC72" s="35"/>
      <c r="HD72" s="35"/>
      <c r="HE72" s="35"/>
      <c r="HF72" s="35"/>
      <c r="HG72" s="35"/>
      <c r="HH72" s="35"/>
      <c r="HI72" s="35"/>
      <c r="HJ72" s="35"/>
      <c r="HK72" s="35"/>
      <c r="HL72" s="35"/>
      <c r="HM72" s="35"/>
      <c r="HN72" s="35"/>
      <c r="HO72" s="35"/>
      <c r="HP72" s="35"/>
      <c r="HQ72" s="35"/>
      <c r="HR72" s="35"/>
      <c r="HS72" s="35"/>
      <c r="HT72" s="35"/>
      <c r="HU72" s="35"/>
      <c r="HV72" s="35"/>
      <c r="HW72" s="35"/>
      <c r="HX72" s="35"/>
      <c r="HY72" s="35"/>
      <c r="HZ72" s="35"/>
      <c r="IA72" s="35"/>
      <c r="IB72" s="35"/>
      <c r="IC72" s="35"/>
      <c r="ID72" s="35"/>
      <c r="IE72" s="35"/>
      <c r="IF72" s="35"/>
      <c r="IG72" s="35"/>
      <c r="IH72" s="35"/>
      <c r="II72" s="35"/>
      <c r="IJ72" s="35"/>
      <c r="IK72" s="35"/>
      <c r="IL72" s="35"/>
      <c r="IM72" s="35"/>
      <c r="IN72" s="35"/>
      <c r="IO72" s="35"/>
      <c r="IP72" s="35"/>
      <c r="IQ72" s="35"/>
      <c r="IR72" s="35"/>
      <c r="IS72" s="35"/>
      <c r="IT72" s="35"/>
      <c r="IU72" s="35"/>
      <c r="IV72" s="35"/>
      <c r="IW72" s="35"/>
      <c r="IX72" s="35"/>
      <c r="IY72" s="35"/>
      <c r="IZ72" s="35"/>
      <c r="JA72" s="35"/>
      <c r="JB72" s="35"/>
      <c r="JC72" s="35"/>
      <c r="JD72" s="35"/>
      <c r="JE72" s="35"/>
      <c r="JF72" s="35"/>
      <c r="JG72" s="35"/>
      <c r="JH72" s="35"/>
      <c r="JI72" s="35"/>
      <c r="JJ72" s="35"/>
      <c r="JK72" s="35"/>
      <c r="JL72" s="35"/>
      <c r="JM72" s="35"/>
      <c r="JN72" s="35"/>
      <c r="JO72" s="35"/>
      <c r="JP72" s="35"/>
      <c r="JQ72" s="35"/>
      <c r="JR72" s="35"/>
      <c r="JS72" s="35"/>
      <c r="JT72" s="35"/>
      <c r="JU72" s="35"/>
      <c r="JV72" s="35"/>
      <c r="JW72" s="35"/>
      <c r="JX72" s="35"/>
      <c r="JY72" s="35"/>
      <c r="JZ72" s="35"/>
      <c r="KA72" s="35"/>
      <c r="KB72" s="35"/>
      <c r="KC72" s="35"/>
      <c r="KD72" s="35"/>
      <c r="KE72" s="35"/>
      <c r="KF72" s="35"/>
      <c r="KG72" s="35"/>
      <c r="KH72" s="35"/>
      <c r="KI72" s="35"/>
      <c r="KJ72" s="35"/>
      <c r="KK72" s="35"/>
      <c r="KL72" s="35"/>
      <c r="KM72" s="35"/>
      <c r="KN72" s="35"/>
      <c r="KO72" s="35"/>
      <c r="KP72" s="35"/>
      <c r="KQ72" s="35"/>
      <c r="KR72" s="35"/>
      <c r="KS72" s="35"/>
      <c r="KT72" s="35"/>
      <c r="KU72" s="35"/>
      <c r="KV72" s="35"/>
      <c r="KW72" s="35"/>
      <c r="KX72" s="35"/>
      <c r="KY72" s="35"/>
      <c r="KZ72" s="35"/>
      <c r="LA72" s="35"/>
      <c r="LB72" s="35"/>
      <c r="LC72" s="35"/>
      <c r="LD72" s="35"/>
      <c r="LE72" s="35"/>
      <c r="LF72" s="35"/>
      <c r="LG72" s="35"/>
      <c r="LH72" s="35"/>
      <c r="LI72" s="35"/>
      <c r="LJ72" s="35"/>
      <c r="LK72" s="35"/>
      <c r="LL72" s="35"/>
      <c r="LM72" s="35"/>
      <c r="LN72" s="35"/>
      <c r="LO72" s="35"/>
      <c r="LP72" s="35"/>
      <c r="LQ72" s="35"/>
      <c r="LR72" s="35"/>
      <c r="LS72" s="35"/>
      <c r="LT72" s="35"/>
      <c r="LU72" s="35"/>
      <c r="LV72" s="35"/>
      <c r="LW72" s="35"/>
      <c r="LX72" s="35"/>
      <c r="LY72" s="35"/>
      <c r="LZ72" s="35"/>
      <c r="MA72" s="35"/>
      <c r="MB72" s="35"/>
      <c r="MC72" s="35"/>
      <c r="MD72" s="35"/>
      <c r="ME72" s="35"/>
      <c r="MF72" s="35"/>
      <c r="MG72" s="35"/>
    </row>
    <row r="73" spans="2:345" s="67" customFormat="1" ht="36" hidden="1" customHeight="1" x14ac:dyDescent="0.25">
      <c r="B73" s="28">
        <v>4143</v>
      </c>
      <c r="C73" s="24" t="s">
        <v>19</v>
      </c>
      <c r="D73" s="19" t="s">
        <v>3219</v>
      </c>
      <c r="E73" s="18">
        <v>42482</v>
      </c>
      <c r="F73" s="27">
        <f t="shared" ca="1" si="1"/>
        <v>1991</v>
      </c>
      <c r="G73" s="69"/>
      <c r="H73" s="68"/>
      <c r="I73" s="25"/>
      <c r="J73" s="25"/>
      <c r="K73" s="68"/>
      <c r="L73" s="68">
        <v>42482</v>
      </c>
      <c r="M73" s="68"/>
      <c r="N73" s="22"/>
      <c r="O73" s="26" t="s">
        <v>4346</v>
      </c>
      <c r="P73" s="35"/>
      <c r="Q73" s="35"/>
      <c r="R73" s="20"/>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35"/>
      <c r="AS73" s="35"/>
      <c r="AT73" s="35"/>
      <c r="AU73" s="35"/>
      <c r="AV73" s="35"/>
      <c r="AW73" s="35"/>
      <c r="AX73" s="35"/>
      <c r="AY73" s="35"/>
      <c r="AZ73" s="35"/>
      <c r="BA73" s="35"/>
      <c r="BB73" s="35"/>
      <c r="BC73" s="35"/>
      <c r="BD73" s="35"/>
      <c r="BE73" s="35"/>
      <c r="BF73" s="35"/>
      <c r="BG73" s="35"/>
      <c r="BH73" s="35"/>
      <c r="BI73" s="35"/>
      <c r="BJ73" s="35"/>
      <c r="BK73" s="35"/>
      <c r="BL73" s="35"/>
      <c r="BM73" s="35"/>
      <c r="BN73" s="35"/>
      <c r="BO73" s="35"/>
      <c r="BP73" s="35"/>
      <c r="BQ73" s="35"/>
      <c r="BR73" s="35"/>
      <c r="BS73" s="35"/>
      <c r="BT73" s="35"/>
      <c r="BU73" s="35"/>
      <c r="BV73" s="35"/>
      <c r="BW73" s="35"/>
      <c r="BX73" s="35"/>
      <c r="BY73" s="35"/>
      <c r="BZ73" s="35"/>
      <c r="CA73" s="35"/>
      <c r="CB73" s="35"/>
      <c r="CC73" s="35"/>
      <c r="CD73" s="35"/>
      <c r="CE73" s="35"/>
      <c r="CF73" s="35"/>
      <c r="CG73" s="35"/>
      <c r="CH73" s="35"/>
      <c r="CI73" s="35"/>
      <c r="CJ73" s="35"/>
      <c r="CK73" s="35"/>
      <c r="CL73" s="35"/>
      <c r="CM73" s="35"/>
      <c r="CN73" s="35"/>
      <c r="CO73" s="35"/>
      <c r="CP73" s="35"/>
      <c r="CQ73" s="35"/>
      <c r="CR73" s="35"/>
      <c r="CS73" s="35"/>
      <c r="CT73" s="35"/>
      <c r="CU73" s="35"/>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c r="DV73" s="35"/>
      <c r="DW73" s="35"/>
      <c r="DX73" s="35"/>
      <c r="DY73" s="35"/>
      <c r="DZ73" s="35"/>
      <c r="EA73" s="35"/>
      <c r="EB73" s="35"/>
      <c r="EC73" s="35"/>
      <c r="ED73" s="35"/>
      <c r="EE73" s="35"/>
      <c r="EF73" s="35"/>
      <c r="EG73" s="35"/>
      <c r="EH73" s="35"/>
      <c r="EI73" s="35"/>
      <c r="EJ73" s="35"/>
      <c r="EK73" s="35"/>
      <c r="EL73" s="35"/>
      <c r="EM73" s="35"/>
      <c r="EN73" s="35"/>
      <c r="EO73" s="35"/>
      <c r="EP73" s="35"/>
      <c r="EQ73" s="35"/>
      <c r="ER73" s="35"/>
      <c r="ES73" s="35"/>
      <c r="ET73" s="35"/>
      <c r="EU73" s="35"/>
      <c r="EV73" s="35"/>
      <c r="EW73" s="35"/>
      <c r="EX73" s="35"/>
      <c r="EY73" s="35"/>
      <c r="EZ73" s="35"/>
      <c r="FA73" s="35"/>
      <c r="FB73" s="35"/>
      <c r="FC73" s="35"/>
      <c r="FD73" s="35"/>
      <c r="FE73" s="35"/>
      <c r="FF73" s="35"/>
      <c r="FG73" s="35"/>
      <c r="FH73" s="35"/>
      <c r="FI73" s="35"/>
      <c r="FJ73" s="35"/>
      <c r="FK73" s="35"/>
      <c r="FL73" s="35"/>
      <c r="FM73" s="35"/>
      <c r="FN73" s="35"/>
      <c r="FO73" s="35"/>
      <c r="FP73" s="35"/>
      <c r="FQ73" s="35"/>
      <c r="FR73" s="35"/>
      <c r="FS73" s="35"/>
      <c r="FT73" s="35"/>
      <c r="FU73" s="35"/>
      <c r="FV73" s="35"/>
      <c r="FW73" s="35"/>
      <c r="FX73" s="35"/>
      <c r="FY73" s="35"/>
      <c r="FZ73" s="35"/>
      <c r="GA73" s="35"/>
      <c r="GB73" s="35"/>
      <c r="GC73" s="35"/>
      <c r="GD73" s="35"/>
      <c r="GE73" s="35"/>
      <c r="GF73" s="35"/>
      <c r="GG73" s="35"/>
      <c r="GH73" s="35"/>
      <c r="GI73" s="35"/>
      <c r="GJ73" s="35"/>
      <c r="GK73" s="35"/>
      <c r="GL73" s="35"/>
      <c r="GM73" s="35"/>
      <c r="GN73" s="35"/>
      <c r="GO73" s="35"/>
      <c r="GP73" s="35"/>
      <c r="GQ73" s="35"/>
      <c r="GR73" s="35"/>
      <c r="GS73" s="35"/>
      <c r="GT73" s="35"/>
      <c r="GU73" s="35"/>
      <c r="GV73" s="35"/>
      <c r="GW73" s="35"/>
      <c r="GX73" s="35"/>
      <c r="GY73" s="35"/>
      <c r="GZ73" s="35"/>
      <c r="HA73" s="35"/>
      <c r="HB73" s="35"/>
      <c r="HC73" s="35"/>
      <c r="HD73" s="35"/>
      <c r="HE73" s="35"/>
      <c r="HF73" s="35"/>
      <c r="HG73" s="35"/>
      <c r="HH73" s="35"/>
      <c r="HI73" s="35"/>
      <c r="HJ73" s="35"/>
      <c r="HK73" s="35"/>
      <c r="HL73" s="35"/>
      <c r="HM73" s="35"/>
      <c r="HN73" s="35"/>
      <c r="HO73" s="35"/>
      <c r="HP73" s="35"/>
      <c r="HQ73" s="35"/>
      <c r="HR73" s="35"/>
      <c r="HS73" s="35"/>
      <c r="HT73" s="35"/>
      <c r="HU73" s="35"/>
      <c r="HV73" s="35"/>
      <c r="HW73" s="35"/>
      <c r="HX73" s="35"/>
      <c r="HY73" s="35"/>
      <c r="HZ73" s="35"/>
      <c r="IA73" s="35"/>
      <c r="IB73" s="35"/>
      <c r="IC73" s="35"/>
      <c r="ID73" s="35"/>
      <c r="IE73" s="35"/>
      <c r="IF73" s="35"/>
      <c r="IG73" s="35"/>
      <c r="IH73" s="35"/>
      <c r="II73" s="35"/>
      <c r="IJ73" s="35"/>
      <c r="IK73" s="35"/>
      <c r="IL73" s="35"/>
      <c r="IM73" s="35"/>
      <c r="IN73" s="35"/>
      <c r="IO73" s="35"/>
      <c r="IP73" s="35"/>
      <c r="IQ73" s="35"/>
      <c r="IR73" s="35"/>
      <c r="IS73" s="35"/>
      <c r="IT73" s="35"/>
      <c r="IU73" s="35"/>
      <c r="IV73" s="35"/>
      <c r="IW73" s="35"/>
      <c r="IX73" s="35"/>
      <c r="IY73" s="35"/>
      <c r="IZ73" s="35"/>
      <c r="JA73" s="35"/>
      <c r="JB73" s="35"/>
      <c r="JC73" s="35"/>
      <c r="JD73" s="35"/>
      <c r="JE73" s="35"/>
      <c r="JF73" s="35"/>
      <c r="JG73" s="35"/>
      <c r="JH73" s="35"/>
      <c r="JI73" s="35"/>
      <c r="JJ73" s="35"/>
      <c r="JK73" s="35"/>
      <c r="JL73" s="35"/>
      <c r="JM73" s="35"/>
      <c r="JN73" s="35"/>
      <c r="JO73" s="35"/>
      <c r="JP73" s="35"/>
      <c r="JQ73" s="35"/>
      <c r="JR73" s="35"/>
      <c r="JS73" s="35"/>
      <c r="JT73" s="35"/>
      <c r="JU73" s="35"/>
      <c r="JV73" s="35"/>
      <c r="JW73" s="35"/>
      <c r="JX73" s="35"/>
      <c r="JY73" s="35"/>
      <c r="JZ73" s="35"/>
      <c r="KA73" s="35"/>
      <c r="KB73" s="35"/>
      <c r="KC73" s="35"/>
      <c r="KD73" s="35"/>
      <c r="KE73" s="35"/>
      <c r="KF73" s="35"/>
      <c r="KG73" s="35"/>
      <c r="KH73" s="35"/>
      <c r="KI73" s="35"/>
      <c r="KJ73" s="35"/>
      <c r="KK73" s="35"/>
      <c r="KL73" s="35"/>
      <c r="KM73" s="35"/>
      <c r="KN73" s="35"/>
      <c r="KO73" s="35"/>
      <c r="KP73" s="35"/>
      <c r="KQ73" s="35"/>
      <c r="KR73" s="35"/>
      <c r="KS73" s="35"/>
      <c r="KT73" s="35"/>
      <c r="KU73" s="35"/>
      <c r="KV73" s="35"/>
      <c r="KW73" s="35"/>
      <c r="KX73" s="35"/>
      <c r="KY73" s="35"/>
      <c r="KZ73" s="35"/>
      <c r="LA73" s="35"/>
      <c r="LB73" s="35"/>
      <c r="LC73" s="35"/>
      <c r="LD73" s="35"/>
      <c r="LE73" s="35"/>
      <c r="LF73" s="35"/>
      <c r="LG73" s="35"/>
      <c r="LH73" s="35"/>
      <c r="LI73" s="35"/>
      <c r="LJ73" s="35"/>
      <c r="LK73" s="35"/>
      <c r="LL73" s="35"/>
      <c r="LM73" s="35"/>
      <c r="LN73" s="35"/>
      <c r="LO73" s="35"/>
      <c r="LP73" s="35"/>
      <c r="LQ73" s="35"/>
      <c r="LR73" s="35"/>
      <c r="LS73" s="35"/>
      <c r="LT73" s="35"/>
      <c r="LU73" s="35"/>
      <c r="LV73" s="35"/>
      <c r="LW73" s="35"/>
      <c r="LX73" s="35"/>
      <c r="LY73" s="35"/>
      <c r="LZ73" s="35"/>
      <c r="MA73" s="35"/>
      <c r="MB73" s="35"/>
      <c r="MC73" s="35"/>
      <c r="MD73" s="35"/>
      <c r="ME73" s="35"/>
      <c r="MF73" s="35"/>
      <c r="MG73" s="35"/>
    </row>
    <row r="74" spans="2:345" s="67" customFormat="1" ht="36" hidden="1" customHeight="1" x14ac:dyDescent="0.25">
      <c r="B74" s="28">
        <v>4143</v>
      </c>
      <c r="C74" s="24" t="s">
        <v>14</v>
      </c>
      <c r="D74" s="19" t="s">
        <v>4347</v>
      </c>
      <c r="E74" s="18">
        <v>42487</v>
      </c>
      <c r="F74" s="27">
        <f t="shared" ca="1" si="1"/>
        <v>1986</v>
      </c>
      <c r="G74" s="69"/>
      <c r="H74" s="68"/>
      <c r="I74" s="25"/>
      <c r="J74" s="25"/>
      <c r="K74" s="68"/>
      <c r="L74" s="68">
        <v>42487</v>
      </c>
      <c r="M74" s="68"/>
      <c r="N74" s="22"/>
      <c r="O74" s="26"/>
      <c r="P74" s="35"/>
      <c r="Q74" s="35"/>
      <c r="R74" s="20"/>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35"/>
      <c r="AS74" s="35"/>
      <c r="AT74" s="35"/>
      <c r="AU74" s="35"/>
      <c r="AV74" s="35"/>
      <c r="AW74" s="35"/>
      <c r="AX74" s="35"/>
      <c r="AY74" s="35"/>
      <c r="AZ74" s="35"/>
      <c r="BA74" s="35"/>
      <c r="BB74" s="35"/>
      <c r="BC74" s="35"/>
      <c r="BD74" s="35"/>
      <c r="BE74" s="35"/>
      <c r="BF74" s="35"/>
      <c r="BG74" s="35"/>
      <c r="BH74" s="35"/>
      <c r="BI74" s="35"/>
      <c r="BJ74" s="35"/>
      <c r="BK74" s="35"/>
      <c r="BL74" s="35"/>
      <c r="BM74" s="35"/>
      <c r="BN74" s="35"/>
      <c r="BO74" s="35"/>
      <c r="BP74" s="35"/>
      <c r="BQ74" s="35"/>
      <c r="BR74" s="35"/>
      <c r="BS74" s="35"/>
      <c r="BT74" s="35"/>
      <c r="BU74" s="35"/>
      <c r="BV74" s="35"/>
      <c r="BW74" s="35"/>
      <c r="BX74" s="35"/>
      <c r="BY74" s="35"/>
      <c r="BZ74" s="35"/>
      <c r="CA74" s="35"/>
      <c r="CB74" s="35"/>
      <c r="CC74" s="35"/>
      <c r="CD74" s="35"/>
      <c r="CE74" s="35"/>
      <c r="CF74" s="35"/>
      <c r="CG74" s="35"/>
      <c r="CH74" s="35"/>
      <c r="CI74" s="35"/>
      <c r="CJ74" s="35"/>
      <c r="CK74" s="35"/>
      <c r="CL74" s="35"/>
      <c r="CM74" s="35"/>
      <c r="CN74" s="35"/>
      <c r="CO74" s="35"/>
      <c r="CP74" s="35"/>
      <c r="CQ74" s="35"/>
      <c r="CR74" s="35"/>
      <c r="CS74" s="35"/>
      <c r="CT74" s="35"/>
      <c r="CU74" s="35"/>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c r="DV74" s="35"/>
      <c r="DW74" s="35"/>
      <c r="DX74" s="35"/>
      <c r="DY74" s="35"/>
      <c r="DZ74" s="35"/>
      <c r="EA74" s="35"/>
      <c r="EB74" s="35"/>
      <c r="EC74" s="35"/>
      <c r="ED74" s="35"/>
      <c r="EE74" s="35"/>
      <c r="EF74" s="35"/>
      <c r="EG74" s="35"/>
      <c r="EH74" s="35"/>
      <c r="EI74" s="35"/>
      <c r="EJ74" s="35"/>
      <c r="EK74" s="35"/>
      <c r="EL74" s="35"/>
      <c r="EM74" s="35"/>
      <c r="EN74" s="35"/>
      <c r="EO74" s="35"/>
      <c r="EP74" s="35"/>
      <c r="EQ74" s="35"/>
      <c r="ER74" s="35"/>
      <c r="ES74" s="35"/>
      <c r="ET74" s="35"/>
      <c r="EU74" s="35"/>
      <c r="EV74" s="35"/>
      <c r="EW74" s="35"/>
      <c r="EX74" s="35"/>
      <c r="EY74" s="35"/>
      <c r="EZ74" s="35"/>
      <c r="FA74" s="35"/>
      <c r="FB74" s="35"/>
      <c r="FC74" s="35"/>
      <c r="FD74" s="35"/>
      <c r="FE74" s="35"/>
      <c r="FF74" s="35"/>
      <c r="FG74" s="35"/>
      <c r="FH74" s="35"/>
      <c r="FI74" s="35"/>
      <c r="FJ74" s="35"/>
      <c r="FK74" s="35"/>
      <c r="FL74" s="35"/>
      <c r="FM74" s="35"/>
      <c r="FN74" s="35"/>
      <c r="FO74" s="35"/>
      <c r="FP74" s="35"/>
      <c r="FQ74" s="35"/>
      <c r="FR74" s="35"/>
      <c r="FS74" s="35"/>
      <c r="FT74" s="35"/>
      <c r="FU74" s="35"/>
      <c r="FV74" s="35"/>
      <c r="FW74" s="35"/>
      <c r="FX74" s="35"/>
      <c r="FY74" s="35"/>
      <c r="FZ74" s="35"/>
      <c r="GA74" s="35"/>
      <c r="GB74" s="35"/>
      <c r="GC74" s="35"/>
      <c r="GD74" s="35"/>
      <c r="GE74" s="35"/>
      <c r="GF74" s="35"/>
      <c r="GG74" s="35"/>
      <c r="GH74" s="35"/>
      <c r="GI74" s="35"/>
      <c r="GJ74" s="35"/>
      <c r="GK74" s="35"/>
      <c r="GL74" s="35"/>
      <c r="GM74" s="35"/>
      <c r="GN74" s="35"/>
      <c r="GO74" s="35"/>
      <c r="GP74" s="35"/>
      <c r="GQ74" s="35"/>
      <c r="GR74" s="35"/>
      <c r="GS74" s="35"/>
      <c r="GT74" s="35"/>
      <c r="GU74" s="35"/>
      <c r="GV74" s="35"/>
      <c r="GW74" s="35"/>
      <c r="GX74" s="35"/>
      <c r="GY74" s="35"/>
      <c r="GZ74" s="35"/>
      <c r="HA74" s="35"/>
      <c r="HB74" s="35"/>
      <c r="HC74" s="35"/>
      <c r="HD74" s="35"/>
      <c r="HE74" s="35"/>
      <c r="HF74" s="35"/>
      <c r="HG74" s="35"/>
      <c r="HH74" s="35"/>
      <c r="HI74" s="35"/>
      <c r="HJ74" s="35"/>
      <c r="HK74" s="35"/>
      <c r="HL74" s="35"/>
      <c r="HM74" s="35"/>
      <c r="HN74" s="35"/>
      <c r="HO74" s="35"/>
      <c r="HP74" s="35"/>
      <c r="HQ74" s="35"/>
      <c r="HR74" s="35"/>
      <c r="HS74" s="35"/>
      <c r="HT74" s="35"/>
      <c r="HU74" s="35"/>
      <c r="HV74" s="35"/>
      <c r="HW74" s="35"/>
      <c r="HX74" s="35"/>
      <c r="HY74" s="35"/>
      <c r="HZ74" s="35"/>
      <c r="IA74" s="35"/>
      <c r="IB74" s="35"/>
      <c r="IC74" s="35"/>
      <c r="ID74" s="35"/>
      <c r="IE74" s="35"/>
      <c r="IF74" s="35"/>
      <c r="IG74" s="35"/>
      <c r="IH74" s="35"/>
      <c r="II74" s="35"/>
      <c r="IJ74" s="35"/>
      <c r="IK74" s="35"/>
      <c r="IL74" s="35"/>
      <c r="IM74" s="35"/>
      <c r="IN74" s="35"/>
      <c r="IO74" s="35"/>
      <c r="IP74" s="35"/>
      <c r="IQ74" s="35"/>
      <c r="IR74" s="35"/>
      <c r="IS74" s="35"/>
      <c r="IT74" s="35"/>
      <c r="IU74" s="35"/>
      <c r="IV74" s="35"/>
      <c r="IW74" s="35"/>
      <c r="IX74" s="35"/>
      <c r="IY74" s="35"/>
      <c r="IZ74" s="35"/>
      <c r="JA74" s="35"/>
      <c r="JB74" s="35"/>
      <c r="JC74" s="35"/>
      <c r="JD74" s="35"/>
      <c r="JE74" s="35"/>
      <c r="JF74" s="35"/>
      <c r="JG74" s="35"/>
      <c r="JH74" s="35"/>
      <c r="JI74" s="35"/>
      <c r="JJ74" s="35"/>
      <c r="JK74" s="35"/>
      <c r="JL74" s="35"/>
      <c r="JM74" s="35"/>
      <c r="JN74" s="35"/>
      <c r="JO74" s="35"/>
      <c r="JP74" s="35"/>
      <c r="JQ74" s="35"/>
      <c r="JR74" s="35"/>
      <c r="JS74" s="35"/>
      <c r="JT74" s="35"/>
      <c r="JU74" s="35"/>
      <c r="JV74" s="35"/>
      <c r="JW74" s="35"/>
      <c r="JX74" s="35"/>
      <c r="JY74" s="35"/>
      <c r="JZ74" s="35"/>
      <c r="KA74" s="35"/>
      <c r="KB74" s="35"/>
      <c r="KC74" s="35"/>
      <c r="KD74" s="35"/>
      <c r="KE74" s="35"/>
      <c r="KF74" s="35"/>
      <c r="KG74" s="35"/>
      <c r="KH74" s="35"/>
      <c r="KI74" s="35"/>
      <c r="KJ74" s="35"/>
      <c r="KK74" s="35"/>
      <c r="KL74" s="35"/>
      <c r="KM74" s="35"/>
      <c r="KN74" s="35"/>
      <c r="KO74" s="35"/>
      <c r="KP74" s="35"/>
      <c r="KQ74" s="35"/>
      <c r="KR74" s="35"/>
      <c r="KS74" s="35"/>
      <c r="KT74" s="35"/>
      <c r="KU74" s="35"/>
      <c r="KV74" s="35"/>
      <c r="KW74" s="35"/>
      <c r="KX74" s="35"/>
      <c r="KY74" s="35"/>
      <c r="KZ74" s="35"/>
      <c r="LA74" s="35"/>
      <c r="LB74" s="35"/>
      <c r="LC74" s="35"/>
      <c r="LD74" s="35"/>
      <c r="LE74" s="35"/>
      <c r="LF74" s="35"/>
      <c r="LG74" s="35"/>
      <c r="LH74" s="35"/>
      <c r="LI74" s="35"/>
      <c r="LJ74" s="35"/>
      <c r="LK74" s="35"/>
      <c r="LL74" s="35"/>
      <c r="LM74" s="35"/>
      <c r="LN74" s="35"/>
      <c r="LO74" s="35"/>
      <c r="LP74" s="35"/>
      <c r="LQ74" s="35"/>
      <c r="LR74" s="35"/>
      <c r="LS74" s="35"/>
      <c r="LT74" s="35"/>
      <c r="LU74" s="35"/>
      <c r="LV74" s="35"/>
      <c r="LW74" s="35"/>
      <c r="LX74" s="35"/>
      <c r="LY74" s="35"/>
      <c r="LZ74" s="35"/>
      <c r="MA74" s="35"/>
      <c r="MB74" s="35"/>
      <c r="MC74" s="35"/>
      <c r="MD74" s="35"/>
      <c r="ME74" s="35"/>
      <c r="MF74" s="35"/>
      <c r="MG74" s="35"/>
    </row>
    <row r="75" spans="2:345" s="67" customFormat="1" ht="36" hidden="1" customHeight="1" x14ac:dyDescent="0.25">
      <c r="B75" s="28" t="s">
        <v>4404</v>
      </c>
      <c r="C75" s="24" t="s">
        <v>37</v>
      </c>
      <c r="D75" s="19" t="s">
        <v>4417</v>
      </c>
      <c r="E75" s="18">
        <v>42487</v>
      </c>
      <c r="F75" s="27">
        <f t="shared" ca="1" si="1"/>
        <v>1986</v>
      </c>
      <c r="G75" s="69"/>
      <c r="H75" s="68"/>
      <c r="I75" s="25"/>
      <c r="J75" s="25"/>
      <c r="K75" s="68"/>
      <c r="L75" s="68">
        <v>42492</v>
      </c>
      <c r="M75" s="68"/>
      <c r="N75" s="22" t="s">
        <v>4418</v>
      </c>
      <c r="O75" s="26"/>
      <c r="P75" s="35"/>
      <c r="Q75" s="35"/>
      <c r="R75" s="20"/>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35"/>
      <c r="AS75" s="35"/>
      <c r="AT75" s="35"/>
      <c r="AU75" s="35"/>
      <c r="AV75" s="35"/>
      <c r="AW75" s="35"/>
      <c r="AX75" s="35"/>
      <c r="AY75" s="35"/>
      <c r="AZ75" s="35"/>
      <c r="BA75" s="35"/>
      <c r="BB75" s="35"/>
      <c r="BC75" s="35"/>
      <c r="BD75" s="35"/>
      <c r="BE75" s="35"/>
      <c r="BF75" s="35"/>
      <c r="BG75" s="35"/>
      <c r="BH75" s="35"/>
      <c r="BI75" s="35"/>
      <c r="BJ75" s="35"/>
      <c r="BK75" s="35"/>
      <c r="BL75" s="35"/>
      <c r="BM75" s="35"/>
      <c r="BN75" s="35"/>
      <c r="BO75" s="35"/>
      <c r="BP75" s="35"/>
      <c r="BQ75" s="35"/>
      <c r="BR75" s="35"/>
      <c r="BS75" s="35"/>
      <c r="BT75" s="35"/>
      <c r="BU75" s="35"/>
      <c r="BV75" s="35"/>
      <c r="BW75" s="35"/>
      <c r="BX75" s="35"/>
      <c r="BY75" s="35"/>
      <c r="BZ75" s="35"/>
      <c r="CA75" s="35"/>
      <c r="CB75" s="35"/>
      <c r="CC75" s="35"/>
      <c r="CD75" s="35"/>
      <c r="CE75" s="35"/>
      <c r="CF75" s="35"/>
      <c r="CG75" s="35"/>
      <c r="CH75" s="35"/>
      <c r="CI75" s="35"/>
      <c r="CJ75" s="35"/>
      <c r="CK75" s="35"/>
      <c r="CL75" s="35"/>
      <c r="CM75" s="35"/>
      <c r="CN75" s="35"/>
      <c r="CO75" s="35"/>
      <c r="CP75" s="35"/>
      <c r="CQ75" s="35"/>
      <c r="CR75" s="35"/>
      <c r="CS75" s="35"/>
      <c r="CT75" s="35"/>
      <c r="CU75" s="35"/>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c r="DV75" s="35"/>
      <c r="DW75" s="35"/>
      <c r="DX75" s="35"/>
      <c r="DY75" s="35"/>
      <c r="DZ75" s="35"/>
      <c r="EA75" s="35"/>
      <c r="EB75" s="35"/>
      <c r="EC75" s="35"/>
      <c r="ED75" s="35"/>
      <c r="EE75" s="35"/>
      <c r="EF75" s="35"/>
      <c r="EG75" s="35"/>
      <c r="EH75" s="35"/>
      <c r="EI75" s="35"/>
      <c r="EJ75" s="35"/>
      <c r="EK75" s="35"/>
      <c r="EL75" s="35"/>
      <c r="EM75" s="35"/>
      <c r="EN75" s="35"/>
      <c r="EO75" s="35"/>
      <c r="EP75" s="35"/>
      <c r="EQ75" s="35"/>
      <c r="ER75" s="35"/>
      <c r="ES75" s="35"/>
      <c r="ET75" s="35"/>
      <c r="EU75" s="35"/>
      <c r="EV75" s="35"/>
      <c r="EW75" s="35"/>
      <c r="EX75" s="35"/>
      <c r="EY75" s="35"/>
      <c r="EZ75" s="35"/>
      <c r="FA75" s="35"/>
      <c r="FB75" s="35"/>
      <c r="FC75" s="35"/>
      <c r="FD75" s="35"/>
      <c r="FE75" s="35"/>
      <c r="FF75" s="35"/>
      <c r="FG75" s="35"/>
      <c r="FH75" s="35"/>
      <c r="FI75" s="35"/>
      <c r="FJ75" s="35"/>
      <c r="FK75" s="35"/>
      <c r="FL75" s="35"/>
      <c r="FM75" s="35"/>
      <c r="FN75" s="35"/>
      <c r="FO75" s="35"/>
      <c r="FP75" s="35"/>
      <c r="FQ75" s="35"/>
      <c r="FR75" s="35"/>
      <c r="FS75" s="35"/>
      <c r="FT75" s="35"/>
      <c r="FU75" s="35"/>
      <c r="FV75" s="35"/>
      <c r="FW75" s="35"/>
      <c r="FX75" s="35"/>
      <c r="FY75" s="35"/>
      <c r="FZ75" s="35"/>
      <c r="GA75" s="35"/>
      <c r="GB75" s="35"/>
      <c r="GC75" s="35"/>
      <c r="GD75" s="35"/>
      <c r="GE75" s="35"/>
      <c r="GF75" s="35"/>
      <c r="GG75" s="35"/>
      <c r="GH75" s="35"/>
      <c r="GI75" s="35"/>
      <c r="GJ75" s="35"/>
      <c r="GK75" s="35"/>
      <c r="GL75" s="35"/>
      <c r="GM75" s="35"/>
      <c r="GN75" s="35"/>
      <c r="GO75" s="35"/>
      <c r="GP75" s="35"/>
      <c r="GQ75" s="35"/>
      <c r="GR75" s="35"/>
      <c r="GS75" s="35"/>
      <c r="GT75" s="35"/>
      <c r="GU75" s="35"/>
      <c r="GV75" s="35"/>
      <c r="GW75" s="35"/>
      <c r="GX75" s="35"/>
      <c r="GY75" s="35"/>
      <c r="GZ75" s="35"/>
      <c r="HA75" s="35"/>
      <c r="HB75" s="35"/>
      <c r="HC75" s="35"/>
      <c r="HD75" s="35"/>
      <c r="HE75" s="35"/>
      <c r="HF75" s="35"/>
      <c r="HG75" s="35"/>
      <c r="HH75" s="35"/>
      <c r="HI75" s="35"/>
      <c r="HJ75" s="35"/>
      <c r="HK75" s="35"/>
      <c r="HL75" s="35"/>
      <c r="HM75" s="35"/>
      <c r="HN75" s="35"/>
      <c r="HO75" s="35"/>
      <c r="HP75" s="35"/>
      <c r="HQ75" s="35"/>
      <c r="HR75" s="35"/>
      <c r="HS75" s="35"/>
      <c r="HT75" s="35"/>
      <c r="HU75" s="35"/>
      <c r="HV75" s="35"/>
      <c r="HW75" s="35"/>
      <c r="HX75" s="35"/>
      <c r="HY75" s="35"/>
      <c r="HZ75" s="35"/>
      <c r="IA75" s="35"/>
      <c r="IB75" s="35"/>
      <c r="IC75" s="35"/>
      <c r="ID75" s="35"/>
      <c r="IE75" s="35"/>
      <c r="IF75" s="35"/>
      <c r="IG75" s="35"/>
      <c r="IH75" s="35"/>
      <c r="II75" s="35"/>
      <c r="IJ75" s="35"/>
      <c r="IK75" s="35"/>
      <c r="IL75" s="35"/>
      <c r="IM75" s="35"/>
      <c r="IN75" s="35"/>
      <c r="IO75" s="35"/>
      <c r="IP75" s="35"/>
      <c r="IQ75" s="35"/>
      <c r="IR75" s="35"/>
      <c r="IS75" s="35"/>
      <c r="IT75" s="35"/>
      <c r="IU75" s="35"/>
      <c r="IV75" s="35"/>
      <c r="IW75" s="35"/>
      <c r="IX75" s="35"/>
      <c r="IY75" s="35"/>
      <c r="IZ75" s="35"/>
      <c r="JA75" s="35"/>
      <c r="JB75" s="35"/>
      <c r="JC75" s="35"/>
      <c r="JD75" s="35"/>
      <c r="JE75" s="35"/>
      <c r="JF75" s="35"/>
      <c r="JG75" s="35"/>
      <c r="JH75" s="35"/>
      <c r="JI75" s="35"/>
      <c r="JJ75" s="35"/>
      <c r="JK75" s="35"/>
      <c r="JL75" s="35"/>
      <c r="JM75" s="35"/>
      <c r="JN75" s="35"/>
      <c r="JO75" s="35"/>
      <c r="JP75" s="35"/>
      <c r="JQ75" s="35"/>
      <c r="JR75" s="35"/>
      <c r="JS75" s="35"/>
      <c r="JT75" s="35"/>
      <c r="JU75" s="35"/>
      <c r="JV75" s="35"/>
      <c r="JW75" s="35"/>
      <c r="JX75" s="35"/>
      <c r="JY75" s="35"/>
      <c r="JZ75" s="35"/>
      <c r="KA75" s="35"/>
      <c r="KB75" s="35"/>
      <c r="KC75" s="35"/>
      <c r="KD75" s="35"/>
      <c r="KE75" s="35"/>
      <c r="KF75" s="35"/>
      <c r="KG75" s="35"/>
      <c r="KH75" s="35"/>
      <c r="KI75" s="35"/>
      <c r="KJ75" s="35"/>
      <c r="KK75" s="35"/>
      <c r="KL75" s="35"/>
      <c r="KM75" s="35"/>
      <c r="KN75" s="35"/>
      <c r="KO75" s="35"/>
      <c r="KP75" s="35"/>
      <c r="KQ75" s="35"/>
      <c r="KR75" s="35"/>
      <c r="KS75" s="35"/>
      <c r="KT75" s="35"/>
      <c r="KU75" s="35"/>
      <c r="KV75" s="35"/>
      <c r="KW75" s="35"/>
      <c r="KX75" s="35"/>
      <c r="KY75" s="35"/>
      <c r="KZ75" s="35"/>
      <c r="LA75" s="35"/>
      <c r="LB75" s="35"/>
      <c r="LC75" s="35"/>
      <c r="LD75" s="35"/>
      <c r="LE75" s="35"/>
      <c r="LF75" s="35"/>
      <c r="LG75" s="35"/>
      <c r="LH75" s="35"/>
      <c r="LI75" s="35"/>
      <c r="LJ75" s="35"/>
      <c r="LK75" s="35"/>
      <c r="LL75" s="35"/>
      <c r="LM75" s="35"/>
      <c r="LN75" s="35"/>
      <c r="LO75" s="35"/>
      <c r="LP75" s="35"/>
      <c r="LQ75" s="35"/>
      <c r="LR75" s="35"/>
      <c r="LS75" s="35"/>
      <c r="LT75" s="35"/>
      <c r="LU75" s="35"/>
      <c r="LV75" s="35"/>
      <c r="LW75" s="35"/>
      <c r="LX75" s="35"/>
      <c r="LY75" s="35"/>
      <c r="LZ75" s="35"/>
      <c r="MA75" s="35"/>
      <c r="MB75" s="35"/>
      <c r="MC75" s="35"/>
      <c r="MD75" s="35"/>
      <c r="ME75" s="35"/>
      <c r="MF75" s="35"/>
      <c r="MG75" s="35"/>
    </row>
    <row r="76" spans="2:345" s="67" customFormat="1" ht="36" hidden="1" customHeight="1" x14ac:dyDescent="0.25">
      <c r="B76" s="28">
        <v>4142</v>
      </c>
      <c r="C76" s="24" t="s">
        <v>16</v>
      </c>
      <c r="D76" s="19" t="s">
        <v>4322</v>
      </c>
      <c r="E76" s="18">
        <v>42509</v>
      </c>
      <c r="F76" s="27">
        <f t="shared" ca="1" si="1"/>
        <v>1964</v>
      </c>
      <c r="G76" s="69"/>
      <c r="H76" s="68"/>
      <c r="I76" s="25"/>
      <c r="J76" s="25"/>
      <c r="K76" s="68"/>
      <c r="L76" s="68">
        <v>42509</v>
      </c>
      <c r="M76" s="68"/>
      <c r="N76" s="22"/>
      <c r="O76" s="26"/>
      <c r="P76" s="35"/>
      <c r="Q76" s="35"/>
      <c r="R76" s="20"/>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35"/>
      <c r="AS76" s="35"/>
      <c r="AT76" s="35"/>
      <c r="AU76" s="35"/>
      <c r="AV76" s="35"/>
      <c r="AW76" s="35"/>
      <c r="AX76" s="35"/>
      <c r="AY76" s="35"/>
      <c r="AZ76" s="35"/>
      <c r="BA76" s="35"/>
      <c r="BB76" s="35"/>
      <c r="BC76" s="35"/>
      <c r="BD76" s="35"/>
      <c r="BE76" s="35"/>
      <c r="BF76" s="35"/>
      <c r="BG76" s="35"/>
      <c r="BH76" s="35"/>
      <c r="BI76" s="35"/>
      <c r="BJ76" s="35"/>
      <c r="BK76" s="35"/>
      <c r="BL76" s="35"/>
      <c r="BM76" s="35"/>
      <c r="BN76" s="35"/>
      <c r="BO76" s="35"/>
      <c r="BP76" s="35"/>
      <c r="BQ76" s="35"/>
      <c r="BR76" s="35"/>
      <c r="BS76" s="35"/>
      <c r="BT76" s="35"/>
      <c r="BU76" s="35"/>
      <c r="BV76" s="35"/>
      <c r="BW76" s="35"/>
      <c r="BX76" s="35"/>
      <c r="BY76" s="35"/>
      <c r="BZ76" s="35"/>
      <c r="CA76" s="35"/>
      <c r="CB76" s="35"/>
      <c r="CC76" s="35"/>
      <c r="CD76" s="35"/>
      <c r="CE76" s="35"/>
      <c r="CF76" s="35"/>
      <c r="CG76" s="35"/>
      <c r="CH76" s="35"/>
      <c r="CI76" s="35"/>
      <c r="CJ76" s="35"/>
      <c r="CK76" s="35"/>
      <c r="CL76" s="35"/>
      <c r="CM76" s="35"/>
      <c r="CN76" s="35"/>
      <c r="CO76" s="35"/>
      <c r="CP76" s="35"/>
      <c r="CQ76" s="35"/>
      <c r="CR76" s="35"/>
      <c r="CS76" s="35"/>
      <c r="CT76" s="35"/>
      <c r="CU76" s="35"/>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c r="DV76" s="35"/>
      <c r="DW76" s="35"/>
      <c r="DX76" s="35"/>
      <c r="DY76" s="35"/>
      <c r="DZ76" s="35"/>
      <c r="EA76" s="35"/>
      <c r="EB76" s="35"/>
      <c r="EC76" s="35"/>
      <c r="ED76" s="35"/>
      <c r="EE76" s="35"/>
      <c r="EF76" s="35"/>
      <c r="EG76" s="35"/>
      <c r="EH76" s="35"/>
      <c r="EI76" s="35"/>
      <c r="EJ76" s="35"/>
      <c r="EK76" s="35"/>
      <c r="EL76" s="35"/>
      <c r="EM76" s="35"/>
      <c r="EN76" s="35"/>
      <c r="EO76" s="35"/>
      <c r="EP76" s="35"/>
      <c r="EQ76" s="35"/>
      <c r="ER76" s="35"/>
      <c r="ES76" s="35"/>
      <c r="ET76" s="35"/>
      <c r="EU76" s="35"/>
      <c r="EV76" s="35"/>
      <c r="EW76" s="35"/>
      <c r="EX76" s="35"/>
      <c r="EY76" s="35"/>
      <c r="EZ76" s="35"/>
      <c r="FA76" s="35"/>
      <c r="FB76" s="35"/>
      <c r="FC76" s="35"/>
      <c r="FD76" s="35"/>
      <c r="FE76" s="35"/>
      <c r="FF76" s="35"/>
      <c r="FG76" s="35"/>
      <c r="FH76" s="35"/>
      <c r="FI76" s="35"/>
      <c r="FJ76" s="35"/>
      <c r="FK76" s="35"/>
      <c r="FL76" s="35"/>
      <c r="FM76" s="35"/>
      <c r="FN76" s="35"/>
      <c r="FO76" s="35"/>
      <c r="FP76" s="35"/>
      <c r="FQ76" s="35"/>
      <c r="FR76" s="35"/>
      <c r="FS76" s="35"/>
      <c r="FT76" s="35"/>
      <c r="FU76" s="35"/>
      <c r="FV76" s="35"/>
      <c r="FW76" s="35"/>
      <c r="FX76" s="35"/>
      <c r="FY76" s="35"/>
      <c r="FZ76" s="35"/>
      <c r="GA76" s="35"/>
      <c r="GB76" s="35"/>
      <c r="GC76" s="35"/>
      <c r="GD76" s="35"/>
      <c r="GE76" s="35"/>
      <c r="GF76" s="35"/>
      <c r="GG76" s="35"/>
      <c r="GH76" s="35"/>
      <c r="GI76" s="35"/>
      <c r="GJ76" s="35"/>
      <c r="GK76" s="35"/>
      <c r="GL76" s="35"/>
      <c r="GM76" s="35"/>
      <c r="GN76" s="35"/>
      <c r="GO76" s="35"/>
      <c r="GP76" s="35"/>
      <c r="GQ76" s="35"/>
      <c r="GR76" s="35"/>
      <c r="GS76" s="35"/>
      <c r="GT76" s="35"/>
      <c r="GU76" s="35"/>
      <c r="GV76" s="35"/>
      <c r="GW76" s="35"/>
      <c r="GX76" s="35"/>
      <c r="GY76" s="35"/>
      <c r="GZ76" s="35"/>
      <c r="HA76" s="35"/>
      <c r="HB76" s="35"/>
      <c r="HC76" s="35"/>
      <c r="HD76" s="35"/>
      <c r="HE76" s="35"/>
      <c r="HF76" s="35"/>
      <c r="HG76" s="35"/>
      <c r="HH76" s="35"/>
      <c r="HI76" s="35"/>
      <c r="HJ76" s="35"/>
      <c r="HK76" s="35"/>
      <c r="HL76" s="35"/>
      <c r="HM76" s="35"/>
      <c r="HN76" s="35"/>
      <c r="HO76" s="35"/>
      <c r="HP76" s="35"/>
      <c r="HQ76" s="35"/>
      <c r="HR76" s="35"/>
      <c r="HS76" s="35"/>
      <c r="HT76" s="35"/>
      <c r="HU76" s="35"/>
      <c r="HV76" s="35"/>
      <c r="HW76" s="35"/>
      <c r="HX76" s="35"/>
      <c r="HY76" s="35"/>
      <c r="HZ76" s="35"/>
      <c r="IA76" s="35"/>
      <c r="IB76" s="35"/>
      <c r="IC76" s="35"/>
      <c r="ID76" s="35"/>
      <c r="IE76" s="35"/>
      <c r="IF76" s="35"/>
      <c r="IG76" s="35"/>
      <c r="IH76" s="35"/>
      <c r="II76" s="35"/>
      <c r="IJ76" s="35"/>
      <c r="IK76" s="35"/>
      <c r="IL76" s="35"/>
      <c r="IM76" s="35"/>
      <c r="IN76" s="35"/>
      <c r="IO76" s="35"/>
      <c r="IP76" s="35"/>
      <c r="IQ76" s="35"/>
      <c r="IR76" s="35"/>
      <c r="IS76" s="35"/>
      <c r="IT76" s="35"/>
      <c r="IU76" s="35"/>
      <c r="IV76" s="35"/>
      <c r="IW76" s="35"/>
      <c r="IX76" s="35"/>
      <c r="IY76" s="35"/>
      <c r="IZ76" s="35"/>
      <c r="JA76" s="35"/>
      <c r="JB76" s="35"/>
      <c r="JC76" s="35"/>
      <c r="JD76" s="35"/>
      <c r="JE76" s="35"/>
      <c r="JF76" s="35"/>
      <c r="JG76" s="35"/>
      <c r="JH76" s="35"/>
      <c r="JI76" s="35"/>
      <c r="JJ76" s="35"/>
      <c r="JK76" s="35"/>
      <c r="JL76" s="35"/>
      <c r="JM76" s="35"/>
      <c r="JN76" s="35"/>
      <c r="JO76" s="35"/>
      <c r="JP76" s="35"/>
      <c r="JQ76" s="35"/>
      <c r="JR76" s="35"/>
      <c r="JS76" s="35"/>
      <c r="JT76" s="35"/>
      <c r="JU76" s="35"/>
      <c r="JV76" s="35"/>
      <c r="JW76" s="35"/>
      <c r="JX76" s="35"/>
      <c r="JY76" s="35"/>
      <c r="JZ76" s="35"/>
      <c r="KA76" s="35"/>
      <c r="KB76" s="35"/>
      <c r="KC76" s="35"/>
      <c r="KD76" s="35"/>
      <c r="KE76" s="35"/>
      <c r="KF76" s="35"/>
      <c r="KG76" s="35"/>
      <c r="KH76" s="35"/>
      <c r="KI76" s="35"/>
      <c r="KJ76" s="35"/>
      <c r="KK76" s="35"/>
      <c r="KL76" s="35"/>
      <c r="KM76" s="35"/>
      <c r="KN76" s="35"/>
      <c r="KO76" s="35"/>
      <c r="KP76" s="35"/>
      <c r="KQ76" s="35"/>
      <c r="KR76" s="35"/>
      <c r="KS76" s="35"/>
      <c r="KT76" s="35"/>
      <c r="KU76" s="35"/>
      <c r="KV76" s="35"/>
      <c r="KW76" s="35"/>
      <c r="KX76" s="35"/>
      <c r="KY76" s="35"/>
      <c r="KZ76" s="35"/>
      <c r="LA76" s="35"/>
      <c r="LB76" s="35"/>
      <c r="LC76" s="35"/>
      <c r="LD76" s="35"/>
      <c r="LE76" s="35"/>
      <c r="LF76" s="35"/>
      <c r="LG76" s="35"/>
      <c r="LH76" s="35"/>
      <c r="LI76" s="35"/>
      <c r="LJ76" s="35"/>
      <c r="LK76" s="35"/>
      <c r="LL76" s="35"/>
      <c r="LM76" s="35"/>
      <c r="LN76" s="35"/>
      <c r="LO76" s="35"/>
      <c r="LP76" s="35"/>
      <c r="LQ76" s="35"/>
      <c r="LR76" s="35"/>
      <c r="LS76" s="35"/>
      <c r="LT76" s="35"/>
      <c r="LU76" s="35"/>
      <c r="LV76" s="35"/>
      <c r="LW76" s="35"/>
      <c r="LX76" s="35"/>
      <c r="LY76" s="35"/>
      <c r="LZ76" s="35"/>
      <c r="MA76" s="35"/>
      <c r="MB76" s="35"/>
      <c r="MC76" s="35"/>
      <c r="MD76" s="35"/>
      <c r="ME76" s="35"/>
      <c r="MF76" s="35"/>
      <c r="MG76" s="35"/>
    </row>
    <row r="77" spans="2:345" s="67" customFormat="1" ht="36" hidden="1" customHeight="1" x14ac:dyDescent="0.25">
      <c r="B77" s="28">
        <v>4153</v>
      </c>
      <c r="C77" s="24" t="s">
        <v>16</v>
      </c>
      <c r="D77" s="19" t="s">
        <v>4374</v>
      </c>
      <c r="E77" s="18">
        <v>42514</v>
      </c>
      <c r="F77" s="27">
        <f t="shared" ca="1" si="1"/>
        <v>1959</v>
      </c>
      <c r="G77" s="69"/>
      <c r="H77" s="68"/>
      <c r="I77" s="25"/>
      <c r="J77" s="25"/>
      <c r="K77" s="68"/>
      <c r="L77" s="68">
        <v>42514</v>
      </c>
      <c r="M77" s="68"/>
      <c r="N77" s="22"/>
      <c r="O77" s="26"/>
      <c r="P77" s="35"/>
      <c r="Q77" s="35"/>
      <c r="R77" s="20"/>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35"/>
      <c r="AS77" s="35"/>
      <c r="AT77" s="35"/>
      <c r="AU77" s="35"/>
      <c r="AV77" s="35"/>
      <c r="AW77" s="35"/>
      <c r="AX77" s="35"/>
      <c r="AY77" s="35"/>
      <c r="AZ77" s="35"/>
      <c r="BA77" s="35"/>
      <c r="BB77" s="35"/>
      <c r="BC77" s="35"/>
      <c r="BD77" s="35"/>
      <c r="BE77" s="35"/>
      <c r="BF77" s="35"/>
      <c r="BG77" s="35"/>
      <c r="BH77" s="35"/>
      <c r="BI77" s="35"/>
      <c r="BJ77" s="35"/>
      <c r="BK77" s="35"/>
      <c r="BL77" s="35"/>
      <c r="BM77" s="35"/>
      <c r="BN77" s="35"/>
      <c r="BO77" s="35"/>
      <c r="BP77" s="35"/>
      <c r="BQ77" s="35"/>
      <c r="BR77" s="35"/>
      <c r="BS77" s="35"/>
      <c r="BT77" s="35"/>
      <c r="BU77" s="35"/>
      <c r="BV77" s="35"/>
      <c r="BW77" s="35"/>
      <c r="BX77" s="35"/>
      <c r="BY77" s="35"/>
      <c r="BZ77" s="35"/>
      <c r="CA77" s="35"/>
      <c r="CB77" s="35"/>
      <c r="CC77" s="35"/>
      <c r="CD77" s="35"/>
      <c r="CE77" s="35"/>
      <c r="CF77" s="35"/>
      <c r="CG77" s="35"/>
      <c r="CH77" s="35"/>
      <c r="CI77" s="35"/>
      <c r="CJ77" s="35"/>
      <c r="CK77" s="35"/>
      <c r="CL77" s="35"/>
      <c r="CM77" s="35"/>
      <c r="CN77" s="35"/>
      <c r="CO77" s="35"/>
      <c r="CP77" s="35"/>
      <c r="CQ77" s="35"/>
      <c r="CR77" s="35"/>
      <c r="CS77" s="35"/>
      <c r="CT77" s="35"/>
      <c r="CU77" s="35"/>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c r="DV77" s="35"/>
      <c r="DW77" s="35"/>
      <c r="DX77" s="35"/>
      <c r="DY77" s="35"/>
      <c r="DZ77" s="35"/>
      <c r="EA77" s="35"/>
      <c r="EB77" s="35"/>
      <c r="EC77" s="35"/>
      <c r="ED77" s="35"/>
      <c r="EE77" s="35"/>
      <c r="EF77" s="35"/>
      <c r="EG77" s="35"/>
      <c r="EH77" s="35"/>
      <c r="EI77" s="35"/>
      <c r="EJ77" s="35"/>
      <c r="EK77" s="35"/>
      <c r="EL77" s="35"/>
      <c r="EM77" s="35"/>
      <c r="EN77" s="35"/>
      <c r="EO77" s="35"/>
      <c r="EP77" s="35"/>
      <c r="EQ77" s="35"/>
      <c r="ER77" s="35"/>
      <c r="ES77" s="35"/>
      <c r="ET77" s="35"/>
      <c r="EU77" s="35"/>
      <c r="EV77" s="35"/>
      <c r="EW77" s="35"/>
      <c r="EX77" s="35"/>
      <c r="EY77" s="35"/>
      <c r="EZ77" s="35"/>
      <c r="FA77" s="35"/>
      <c r="FB77" s="35"/>
      <c r="FC77" s="35"/>
      <c r="FD77" s="35"/>
      <c r="FE77" s="35"/>
      <c r="FF77" s="35"/>
      <c r="FG77" s="35"/>
      <c r="FH77" s="35"/>
      <c r="FI77" s="35"/>
      <c r="FJ77" s="35"/>
      <c r="FK77" s="35"/>
      <c r="FL77" s="35"/>
      <c r="FM77" s="35"/>
      <c r="FN77" s="35"/>
      <c r="FO77" s="35"/>
      <c r="FP77" s="35"/>
      <c r="FQ77" s="35"/>
      <c r="FR77" s="35"/>
      <c r="FS77" s="35"/>
      <c r="FT77" s="35"/>
      <c r="FU77" s="35"/>
      <c r="FV77" s="35"/>
      <c r="FW77" s="35"/>
      <c r="FX77" s="35"/>
      <c r="FY77" s="35"/>
      <c r="FZ77" s="35"/>
      <c r="GA77" s="35"/>
      <c r="GB77" s="35"/>
      <c r="GC77" s="35"/>
      <c r="GD77" s="35"/>
      <c r="GE77" s="35"/>
      <c r="GF77" s="35"/>
      <c r="GG77" s="35"/>
      <c r="GH77" s="35"/>
      <c r="GI77" s="35"/>
      <c r="GJ77" s="35"/>
      <c r="GK77" s="35"/>
      <c r="GL77" s="35"/>
      <c r="GM77" s="35"/>
      <c r="GN77" s="35"/>
      <c r="GO77" s="35"/>
      <c r="GP77" s="35"/>
      <c r="GQ77" s="35"/>
      <c r="GR77" s="35"/>
      <c r="GS77" s="35"/>
      <c r="GT77" s="35"/>
      <c r="GU77" s="35"/>
      <c r="GV77" s="35"/>
      <c r="GW77" s="35"/>
      <c r="GX77" s="35"/>
      <c r="GY77" s="35"/>
      <c r="GZ77" s="35"/>
      <c r="HA77" s="35"/>
      <c r="HB77" s="35"/>
      <c r="HC77" s="35"/>
      <c r="HD77" s="35"/>
      <c r="HE77" s="35"/>
      <c r="HF77" s="35"/>
      <c r="HG77" s="35"/>
      <c r="HH77" s="35"/>
      <c r="HI77" s="35"/>
      <c r="HJ77" s="35"/>
      <c r="HK77" s="35"/>
      <c r="HL77" s="35"/>
      <c r="HM77" s="35"/>
      <c r="HN77" s="35"/>
      <c r="HO77" s="35"/>
      <c r="HP77" s="35"/>
      <c r="HQ77" s="35"/>
      <c r="HR77" s="35"/>
      <c r="HS77" s="35"/>
      <c r="HT77" s="35"/>
      <c r="HU77" s="35"/>
      <c r="HV77" s="35"/>
      <c r="HW77" s="35"/>
      <c r="HX77" s="35"/>
      <c r="HY77" s="35"/>
      <c r="HZ77" s="35"/>
      <c r="IA77" s="35"/>
      <c r="IB77" s="35"/>
      <c r="IC77" s="35"/>
      <c r="ID77" s="35"/>
      <c r="IE77" s="35"/>
      <c r="IF77" s="35"/>
      <c r="IG77" s="35"/>
      <c r="IH77" s="35"/>
      <c r="II77" s="35"/>
      <c r="IJ77" s="35"/>
      <c r="IK77" s="35"/>
      <c r="IL77" s="35"/>
      <c r="IM77" s="35"/>
      <c r="IN77" s="35"/>
      <c r="IO77" s="35"/>
      <c r="IP77" s="35"/>
      <c r="IQ77" s="35"/>
      <c r="IR77" s="35"/>
      <c r="IS77" s="35"/>
      <c r="IT77" s="35"/>
      <c r="IU77" s="35"/>
      <c r="IV77" s="35"/>
      <c r="IW77" s="35"/>
      <c r="IX77" s="35"/>
      <c r="IY77" s="35"/>
      <c r="IZ77" s="35"/>
      <c r="JA77" s="35"/>
      <c r="JB77" s="35"/>
      <c r="JC77" s="35"/>
      <c r="JD77" s="35"/>
      <c r="JE77" s="35"/>
      <c r="JF77" s="35"/>
      <c r="JG77" s="35"/>
      <c r="JH77" s="35"/>
      <c r="JI77" s="35"/>
      <c r="JJ77" s="35"/>
      <c r="JK77" s="35"/>
      <c r="JL77" s="35"/>
      <c r="JM77" s="35"/>
      <c r="JN77" s="35"/>
      <c r="JO77" s="35"/>
      <c r="JP77" s="35"/>
      <c r="JQ77" s="35"/>
      <c r="JR77" s="35"/>
      <c r="JS77" s="35"/>
      <c r="JT77" s="35"/>
      <c r="JU77" s="35"/>
      <c r="JV77" s="35"/>
      <c r="JW77" s="35"/>
      <c r="JX77" s="35"/>
      <c r="JY77" s="35"/>
      <c r="JZ77" s="35"/>
      <c r="KA77" s="35"/>
      <c r="KB77" s="35"/>
      <c r="KC77" s="35"/>
      <c r="KD77" s="35"/>
      <c r="KE77" s="35"/>
      <c r="KF77" s="35"/>
      <c r="KG77" s="35"/>
      <c r="KH77" s="35"/>
      <c r="KI77" s="35"/>
      <c r="KJ77" s="35"/>
      <c r="KK77" s="35"/>
      <c r="KL77" s="35"/>
      <c r="KM77" s="35"/>
      <c r="KN77" s="35"/>
      <c r="KO77" s="35"/>
      <c r="KP77" s="35"/>
      <c r="KQ77" s="35"/>
      <c r="KR77" s="35"/>
      <c r="KS77" s="35"/>
      <c r="KT77" s="35"/>
      <c r="KU77" s="35"/>
      <c r="KV77" s="35"/>
      <c r="KW77" s="35"/>
      <c r="KX77" s="35"/>
      <c r="KY77" s="35"/>
      <c r="KZ77" s="35"/>
      <c r="LA77" s="35"/>
      <c r="LB77" s="35"/>
      <c r="LC77" s="35"/>
      <c r="LD77" s="35"/>
      <c r="LE77" s="35"/>
      <c r="LF77" s="35"/>
      <c r="LG77" s="35"/>
      <c r="LH77" s="35"/>
      <c r="LI77" s="35"/>
      <c r="LJ77" s="35"/>
      <c r="LK77" s="35"/>
      <c r="LL77" s="35"/>
      <c r="LM77" s="35"/>
      <c r="LN77" s="35"/>
      <c r="LO77" s="35"/>
      <c r="LP77" s="35"/>
      <c r="LQ77" s="35"/>
      <c r="LR77" s="35"/>
      <c r="LS77" s="35"/>
      <c r="LT77" s="35"/>
      <c r="LU77" s="35"/>
      <c r="LV77" s="35"/>
      <c r="LW77" s="35"/>
      <c r="LX77" s="35"/>
      <c r="LY77" s="35"/>
      <c r="LZ77" s="35"/>
      <c r="MA77" s="35"/>
      <c r="MB77" s="35"/>
      <c r="MC77" s="35"/>
      <c r="MD77" s="35"/>
      <c r="ME77" s="35"/>
      <c r="MF77" s="35"/>
      <c r="MG77" s="35"/>
    </row>
    <row r="78" spans="2:345" s="67" customFormat="1" ht="36" hidden="1" customHeight="1" x14ac:dyDescent="0.25">
      <c r="B78" s="28">
        <v>4153</v>
      </c>
      <c r="C78" s="24" t="s">
        <v>40</v>
      </c>
      <c r="D78" s="19" t="s">
        <v>4375</v>
      </c>
      <c r="E78" s="18">
        <v>42516</v>
      </c>
      <c r="F78" s="27">
        <f t="shared" ca="1" si="1"/>
        <v>1957</v>
      </c>
      <c r="G78" s="69"/>
      <c r="H78" s="68"/>
      <c r="I78" s="25"/>
      <c r="J78" s="25"/>
      <c r="K78" s="68"/>
      <c r="L78" s="68">
        <v>42516</v>
      </c>
      <c r="M78" s="68"/>
      <c r="N78" s="22" t="s">
        <v>4376</v>
      </c>
      <c r="O78" s="26"/>
      <c r="P78" s="35"/>
      <c r="Q78" s="35"/>
      <c r="R78" s="20"/>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35"/>
      <c r="AS78" s="35"/>
      <c r="AT78" s="35"/>
      <c r="AU78" s="35"/>
      <c r="AV78" s="35"/>
      <c r="AW78" s="35"/>
      <c r="AX78" s="35"/>
      <c r="AY78" s="35"/>
      <c r="AZ78" s="35"/>
      <c r="BA78" s="35"/>
      <c r="BB78" s="35"/>
      <c r="BC78" s="35"/>
      <c r="BD78" s="35"/>
      <c r="BE78" s="35"/>
      <c r="BF78" s="35"/>
      <c r="BG78" s="35"/>
      <c r="BH78" s="35"/>
      <c r="BI78" s="35"/>
      <c r="BJ78" s="35"/>
      <c r="BK78" s="35"/>
      <c r="BL78" s="35"/>
      <c r="BM78" s="35"/>
      <c r="BN78" s="35"/>
      <c r="BO78" s="35"/>
      <c r="BP78" s="35"/>
      <c r="BQ78" s="35"/>
      <c r="BR78" s="35"/>
      <c r="BS78" s="35"/>
      <c r="BT78" s="35"/>
      <c r="BU78" s="35"/>
      <c r="BV78" s="35"/>
      <c r="BW78" s="35"/>
      <c r="BX78" s="35"/>
      <c r="BY78" s="35"/>
      <c r="BZ78" s="35"/>
      <c r="CA78" s="35"/>
      <c r="CB78" s="35"/>
      <c r="CC78" s="35"/>
      <c r="CD78" s="35"/>
      <c r="CE78" s="35"/>
      <c r="CF78" s="35"/>
      <c r="CG78" s="35"/>
      <c r="CH78" s="35"/>
      <c r="CI78" s="35"/>
      <c r="CJ78" s="35"/>
      <c r="CK78" s="35"/>
      <c r="CL78" s="35"/>
      <c r="CM78" s="35"/>
      <c r="CN78" s="35"/>
      <c r="CO78" s="35"/>
      <c r="CP78" s="35"/>
      <c r="CQ78" s="35"/>
      <c r="CR78" s="35"/>
      <c r="CS78" s="35"/>
      <c r="CT78" s="35"/>
      <c r="CU78" s="35"/>
      <c r="CV78" s="35"/>
      <c r="CW78" s="35"/>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c r="DV78" s="35"/>
      <c r="DW78" s="35"/>
      <c r="DX78" s="35"/>
      <c r="DY78" s="35"/>
      <c r="DZ78" s="35"/>
      <c r="EA78" s="35"/>
      <c r="EB78" s="35"/>
      <c r="EC78" s="35"/>
      <c r="ED78" s="35"/>
      <c r="EE78" s="35"/>
      <c r="EF78" s="35"/>
      <c r="EG78" s="35"/>
      <c r="EH78" s="35"/>
      <c r="EI78" s="35"/>
      <c r="EJ78" s="35"/>
      <c r="EK78" s="35"/>
      <c r="EL78" s="35"/>
      <c r="EM78" s="35"/>
      <c r="EN78" s="35"/>
      <c r="EO78" s="35"/>
      <c r="EP78" s="35"/>
      <c r="EQ78" s="35"/>
      <c r="ER78" s="35"/>
      <c r="ES78" s="35"/>
      <c r="ET78" s="35"/>
      <c r="EU78" s="35"/>
      <c r="EV78" s="35"/>
      <c r="EW78" s="35"/>
      <c r="EX78" s="35"/>
      <c r="EY78" s="35"/>
      <c r="EZ78" s="35"/>
      <c r="FA78" s="35"/>
      <c r="FB78" s="35"/>
      <c r="FC78" s="35"/>
      <c r="FD78" s="35"/>
      <c r="FE78" s="35"/>
      <c r="FF78" s="35"/>
      <c r="FG78" s="35"/>
      <c r="FH78" s="35"/>
      <c r="FI78" s="35"/>
      <c r="FJ78" s="35"/>
      <c r="FK78" s="35"/>
      <c r="FL78" s="35"/>
      <c r="FM78" s="35"/>
      <c r="FN78" s="35"/>
      <c r="FO78" s="35"/>
      <c r="FP78" s="35"/>
      <c r="FQ78" s="35"/>
      <c r="FR78" s="35"/>
      <c r="FS78" s="35"/>
      <c r="FT78" s="35"/>
      <c r="FU78" s="35"/>
      <c r="FV78" s="35"/>
      <c r="FW78" s="35"/>
      <c r="FX78" s="35"/>
      <c r="FY78" s="35"/>
      <c r="FZ78" s="35"/>
      <c r="GA78" s="35"/>
      <c r="GB78" s="35"/>
      <c r="GC78" s="35"/>
      <c r="GD78" s="35"/>
      <c r="GE78" s="35"/>
      <c r="GF78" s="35"/>
      <c r="GG78" s="35"/>
      <c r="GH78" s="35"/>
      <c r="GI78" s="35"/>
      <c r="GJ78" s="35"/>
      <c r="GK78" s="35"/>
      <c r="GL78" s="35"/>
      <c r="GM78" s="35"/>
      <c r="GN78" s="35"/>
      <c r="GO78" s="35"/>
      <c r="GP78" s="35"/>
      <c r="GQ78" s="35"/>
      <c r="GR78" s="35"/>
      <c r="GS78" s="35"/>
      <c r="GT78" s="35"/>
      <c r="GU78" s="35"/>
      <c r="GV78" s="35"/>
      <c r="GW78" s="35"/>
      <c r="GX78" s="35"/>
      <c r="GY78" s="35"/>
      <c r="GZ78" s="35"/>
      <c r="HA78" s="35"/>
      <c r="HB78" s="35"/>
      <c r="HC78" s="35"/>
      <c r="HD78" s="35"/>
      <c r="HE78" s="35"/>
      <c r="HF78" s="35"/>
      <c r="HG78" s="35"/>
      <c r="HH78" s="35"/>
      <c r="HI78" s="35"/>
      <c r="HJ78" s="35"/>
      <c r="HK78" s="35"/>
      <c r="HL78" s="35"/>
      <c r="HM78" s="35"/>
      <c r="HN78" s="35"/>
      <c r="HO78" s="35"/>
      <c r="HP78" s="35"/>
      <c r="HQ78" s="35"/>
      <c r="HR78" s="35"/>
      <c r="HS78" s="35"/>
      <c r="HT78" s="35"/>
      <c r="HU78" s="35"/>
      <c r="HV78" s="35"/>
      <c r="HW78" s="35"/>
      <c r="HX78" s="35"/>
      <c r="HY78" s="35"/>
      <c r="HZ78" s="35"/>
      <c r="IA78" s="35"/>
      <c r="IB78" s="35"/>
      <c r="IC78" s="35"/>
      <c r="ID78" s="35"/>
      <c r="IE78" s="35"/>
      <c r="IF78" s="35"/>
      <c r="IG78" s="35"/>
      <c r="IH78" s="35"/>
      <c r="II78" s="35"/>
      <c r="IJ78" s="35"/>
      <c r="IK78" s="35"/>
      <c r="IL78" s="35"/>
      <c r="IM78" s="35"/>
      <c r="IN78" s="35"/>
      <c r="IO78" s="35"/>
      <c r="IP78" s="35"/>
      <c r="IQ78" s="35"/>
      <c r="IR78" s="35"/>
      <c r="IS78" s="35"/>
      <c r="IT78" s="35"/>
      <c r="IU78" s="35"/>
      <c r="IV78" s="35"/>
      <c r="IW78" s="35"/>
      <c r="IX78" s="35"/>
      <c r="IY78" s="35"/>
      <c r="IZ78" s="35"/>
      <c r="JA78" s="35"/>
      <c r="JB78" s="35"/>
      <c r="JC78" s="35"/>
      <c r="JD78" s="35"/>
      <c r="JE78" s="35"/>
      <c r="JF78" s="35"/>
      <c r="JG78" s="35"/>
      <c r="JH78" s="35"/>
      <c r="JI78" s="35"/>
      <c r="JJ78" s="35"/>
      <c r="JK78" s="35"/>
      <c r="JL78" s="35"/>
      <c r="JM78" s="35"/>
      <c r="JN78" s="35"/>
      <c r="JO78" s="35"/>
      <c r="JP78" s="35"/>
      <c r="JQ78" s="35"/>
      <c r="JR78" s="35"/>
      <c r="JS78" s="35"/>
      <c r="JT78" s="35"/>
      <c r="JU78" s="35"/>
      <c r="JV78" s="35"/>
      <c r="JW78" s="35"/>
      <c r="JX78" s="35"/>
      <c r="JY78" s="35"/>
      <c r="JZ78" s="35"/>
      <c r="KA78" s="35"/>
      <c r="KB78" s="35"/>
      <c r="KC78" s="35"/>
      <c r="KD78" s="35"/>
      <c r="KE78" s="35"/>
      <c r="KF78" s="35"/>
      <c r="KG78" s="35"/>
      <c r="KH78" s="35"/>
      <c r="KI78" s="35"/>
      <c r="KJ78" s="35"/>
      <c r="KK78" s="35"/>
      <c r="KL78" s="35"/>
      <c r="KM78" s="35"/>
      <c r="KN78" s="35"/>
      <c r="KO78" s="35"/>
      <c r="KP78" s="35"/>
      <c r="KQ78" s="35"/>
      <c r="KR78" s="35"/>
      <c r="KS78" s="35"/>
      <c r="KT78" s="35"/>
      <c r="KU78" s="35"/>
      <c r="KV78" s="35"/>
      <c r="KW78" s="35"/>
      <c r="KX78" s="35"/>
      <c r="KY78" s="35"/>
      <c r="KZ78" s="35"/>
      <c r="LA78" s="35"/>
      <c r="LB78" s="35"/>
      <c r="LC78" s="35"/>
      <c r="LD78" s="35"/>
      <c r="LE78" s="35"/>
      <c r="LF78" s="35"/>
      <c r="LG78" s="35"/>
      <c r="LH78" s="35"/>
      <c r="LI78" s="35"/>
      <c r="LJ78" s="35"/>
      <c r="LK78" s="35"/>
      <c r="LL78" s="35"/>
      <c r="LM78" s="35"/>
      <c r="LN78" s="35"/>
      <c r="LO78" s="35"/>
      <c r="LP78" s="35"/>
      <c r="LQ78" s="35"/>
      <c r="LR78" s="35"/>
      <c r="LS78" s="35"/>
      <c r="LT78" s="35"/>
      <c r="LU78" s="35"/>
      <c r="LV78" s="35"/>
      <c r="LW78" s="35"/>
      <c r="LX78" s="35"/>
      <c r="LY78" s="35"/>
      <c r="LZ78" s="35"/>
      <c r="MA78" s="35"/>
      <c r="MB78" s="35"/>
      <c r="MC78" s="35"/>
      <c r="MD78" s="35"/>
      <c r="ME78" s="35"/>
      <c r="MF78" s="35"/>
      <c r="MG78" s="35"/>
    </row>
    <row r="79" spans="2:345" s="67" customFormat="1" ht="36" hidden="1" customHeight="1" x14ac:dyDescent="0.25">
      <c r="B79" s="28">
        <v>4153</v>
      </c>
      <c r="C79" s="24" t="s">
        <v>23</v>
      </c>
      <c r="D79" s="19" t="s">
        <v>4378</v>
      </c>
      <c r="E79" s="18">
        <v>42516</v>
      </c>
      <c r="F79" s="27">
        <f t="shared" ca="1" si="1"/>
        <v>1957</v>
      </c>
      <c r="G79" s="69"/>
      <c r="H79" s="68"/>
      <c r="I79" s="25"/>
      <c r="J79" s="25"/>
      <c r="K79" s="68"/>
      <c r="L79" s="68">
        <v>42517</v>
      </c>
      <c r="M79" s="68"/>
      <c r="N79" s="22"/>
      <c r="O79" s="26"/>
      <c r="P79" s="35"/>
      <c r="Q79" s="35"/>
      <c r="R79" s="20"/>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35"/>
      <c r="AS79" s="35"/>
      <c r="AT79" s="35"/>
      <c r="AU79" s="35"/>
      <c r="AV79" s="35"/>
      <c r="AW79" s="35"/>
      <c r="AX79" s="35"/>
      <c r="AY79" s="35"/>
      <c r="AZ79" s="35"/>
      <c r="BA79" s="35"/>
      <c r="BB79" s="35"/>
      <c r="BC79" s="35"/>
      <c r="BD79" s="35"/>
      <c r="BE79" s="35"/>
      <c r="BF79" s="35"/>
      <c r="BG79" s="35"/>
      <c r="BH79" s="35"/>
      <c r="BI79" s="35"/>
      <c r="BJ79" s="35"/>
      <c r="BK79" s="35"/>
      <c r="BL79" s="35"/>
      <c r="BM79" s="35"/>
      <c r="BN79" s="35"/>
      <c r="BO79" s="35"/>
      <c r="BP79" s="35"/>
      <c r="BQ79" s="35"/>
      <c r="BR79" s="35"/>
      <c r="BS79" s="35"/>
      <c r="BT79" s="35"/>
      <c r="BU79" s="35"/>
      <c r="BV79" s="35"/>
      <c r="BW79" s="35"/>
      <c r="BX79" s="35"/>
      <c r="BY79" s="35"/>
      <c r="BZ79" s="35"/>
      <c r="CA79" s="35"/>
      <c r="CB79" s="35"/>
      <c r="CC79" s="35"/>
      <c r="CD79" s="35"/>
      <c r="CE79" s="35"/>
      <c r="CF79" s="35"/>
      <c r="CG79" s="35"/>
      <c r="CH79" s="35"/>
      <c r="CI79" s="35"/>
      <c r="CJ79" s="35"/>
      <c r="CK79" s="35"/>
      <c r="CL79" s="35"/>
      <c r="CM79" s="35"/>
      <c r="CN79" s="35"/>
      <c r="CO79" s="35"/>
      <c r="CP79" s="35"/>
      <c r="CQ79" s="35"/>
      <c r="CR79" s="35"/>
      <c r="CS79" s="35"/>
      <c r="CT79" s="35"/>
      <c r="CU79" s="35"/>
      <c r="CV79" s="35"/>
      <c r="CW79" s="35"/>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c r="DV79" s="35"/>
      <c r="DW79" s="35"/>
      <c r="DX79" s="35"/>
      <c r="DY79" s="35"/>
      <c r="DZ79" s="35"/>
      <c r="EA79" s="35"/>
      <c r="EB79" s="35"/>
      <c r="EC79" s="35"/>
      <c r="ED79" s="35"/>
      <c r="EE79" s="35"/>
      <c r="EF79" s="35"/>
      <c r="EG79" s="35"/>
      <c r="EH79" s="35"/>
      <c r="EI79" s="35"/>
      <c r="EJ79" s="35"/>
      <c r="EK79" s="35"/>
      <c r="EL79" s="35"/>
      <c r="EM79" s="35"/>
      <c r="EN79" s="35"/>
      <c r="EO79" s="35"/>
      <c r="EP79" s="35"/>
      <c r="EQ79" s="35"/>
      <c r="ER79" s="35"/>
      <c r="ES79" s="35"/>
      <c r="ET79" s="35"/>
      <c r="EU79" s="35"/>
      <c r="EV79" s="35"/>
      <c r="EW79" s="35"/>
      <c r="EX79" s="35"/>
      <c r="EY79" s="35"/>
      <c r="EZ79" s="35"/>
      <c r="FA79" s="35"/>
      <c r="FB79" s="35"/>
      <c r="FC79" s="35"/>
      <c r="FD79" s="35"/>
      <c r="FE79" s="35"/>
      <c r="FF79" s="35"/>
      <c r="FG79" s="35"/>
      <c r="FH79" s="35"/>
      <c r="FI79" s="35"/>
      <c r="FJ79" s="35"/>
      <c r="FK79" s="35"/>
      <c r="FL79" s="35"/>
      <c r="FM79" s="35"/>
      <c r="FN79" s="35"/>
      <c r="FO79" s="35"/>
      <c r="FP79" s="35"/>
      <c r="FQ79" s="35"/>
      <c r="FR79" s="35"/>
      <c r="FS79" s="35"/>
      <c r="FT79" s="35"/>
      <c r="FU79" s="35"/>
      <c r="FV79" s="35"/>
      <c r="FW79" s="35"/>
      <c r="FX79" s="35"/>
      <c r="FY79" s="35"/>
      <c r="FZ79" s="35"/>
      <c r="GA79" s="35"/>
      <c r="GB79" s="35"/>
      <c r="GC79" s="35"/>
      <c r="GD79" s="35"/>
      <c r="GE79" s="35"/>
      <c r="GF79" s="35"/>
      <c r="GG79" s="35"/>
      <c r="GH79" s="35"/>
      <c r="GI79" s="35"/>
      <c r="GJ79" s="35"/>
      <c r="GK79" s="35"/>
      <c r="GL79" s="35"/>
      <c r="GM79" s="35"/>
      <c r="GN79" s="35"/>
      <c r="GO79" s="35"/>
      <c r="GP79" s="35"/>
      <c r="GQ79" s="35"/>
      <c r="GR79" s="35"/>
      <c r="GS79" s="35"/>
      <c r="GT79" s="35"/>
      <c r="GU79" s="35"/>
      <c r="GV79" s="35"/>
      <c r="GW79" s="35"/>
      <c r="GX79" s="35"/>
      <c r="GY79" s="35"/>
      <c r="GZ79" s="35"/>
      <c r="HA79" s="35"/>
      <c r="HB79" s="35"/>
      <c r="HC79" s="35"/>
      <c r="HD79" s="35"/>
      <c r="HE79" s="35"/>
      <c r="HF79" s="35"/>
      <c r="HG79" s="35"/>
      <c r="HH79" s="35"/>
      <c r="HI79" s="35"/>
      <c r="HJ79" s="35"/>
      <c r="HK79" s="35"/>
      <c r="HL79" s="35"/>
      <c r="HM79" s="35"/>
      <c r="HN79" s="35"/>
      <c r="HO79" s="35"/>
      <c r="HP79" s="35"/>
      <c r="HQ79" s="35"/>
      <c r="HR79" s="35"/>
      <c r="HS79" s="35"/>
      <c r="HT79" s="35"/>
      <c r="HU79" s="35"/>
      <c r="HV79" s="35"/>
      <c r="HW79" s="35"/>
      <c r="HX79" s="35"/>
      <c r="HY79" s="35"/>
      <c r="HZ79" s="35"/>
      <c r="IA79" s="35"/>
      <c r="IB79" s="35"/>
      <c r="IC79" s="35"/>
      <c r="ID79" s="35"/>
      <c r="IE79" s="35"/>
      <c r="IF79" s="35"/>
      <c r="IG79" s="35"/>
      <c r="IH79" s="35"/>
      <c r="II79" s="35"/>
      <c r="IJ79" s="35"/>
      <c r="IK79" s="35"/>
      <c r="IL79" s="35"/>
      <c r="IM79" s="35"/>
      <c r="IN79" s="35"/>
      <c r="IO79" s="35"/>
      <c r="IP79" s="35"/>
      <c r="IQ79" s="35"/>
      <c r="IR79" s="35"/>
      <c r="IS79" s="35"/>
      <c r="IT79" s="35"/>
      <c r="IU79" s="35"/>
      <c r="IV79" s="35"/>
      <c r="IW79" s="35"/>
      <c r="IX79" s="35"/>
      <c r="IY79" s="35"/>
      <c r="IZ79" s="35"/>
      <c r="JA79" s="35"/>
      <c r="JB79" s="35"/>
      <c r="JC79" s="35"/>
      <c r="JD79" s="35"/>
      <c r="JE79" s="35"/>
      <c r="JF79" s="35"/>
      <c r="JG79" s="35"/>
      <c r="JH79" s="35"/>
      <c r="JI79" s="35"/>
      <c r="JJ79" s="35"/>
      <c r="JK79" s="35"/>
      <c r="JL79" s="35"/>
      <c r="JM79" s="35"/>
      <c r="JN79" s="35"/>
      <c r="JO79" s="35"/>
      <c r="JP79" s="35"/>
      <c r="JQ79" s="35"/>
      <c r="JR79" s="35"/>
      <c r="JS79" s="35"/>
      <c r="JT79" s="35"/>
      <c r="JU79" s="35"/>
      <c r="JV79" s="35"/>
      <c r="JW79" s="35"/>
      <c r="JX79" s="35"/>
      <c r="JY79" s="35"/>
      <c r="JZ79" s="35"/>
      <c r="KA79" s="35"/>
      <c r="KB79" s="35"/>
      <c r="KC79" s="35"/>
      <c r="KD79" s="35"/>
      <c r="KE79" s="35"/>
      <c r="KF79" s="35"/>
      <c r="KG79" s="35"/>
      <c r="KH79" s="35"/>
      <c r="KI79" s="35"/>
      <c r="KJ79" s="35"/>
      <c r="KK79" s="35"/>
      <c r="KL79" s="35"/>
      <c r="KM79" s="35"/>
      <c r="KN79" s="35"/>
      <c r="KO79" s="35"/>
      <c r="KP79" s="35"/>
      <c r="KQ79" s="35"/>
      <c r="KR79" s="35"/>
      <c r="KS79" s="35"/>
      <c r="KT79" s="35"/>
      <c r="KU79" s="35"/>
      <c r="KV79" s="35"/>
      <c r="KW79" s="35"/>
      <c r="KX79" s="35"/>
      <c r="KY79" s="35"/>
      <c r="KZ79" s="35"/>
      <c r="LA79" s="35"/>
      <c r="LB79" s="35"/>
      <c r="LC79" s="35"/>
      <c r="LD79" s="35"/>
      <c r="LE79" s="35"/>
      <c r="LF79" s="35"/>
      <c r="LG79" s="35"/>
      <c r="LH79" s="35"/>
      <c r="LI79" s="35"/>
      <c r="LJ79" s="35"/>
      <c r="LK79" s="35"/>
      <c r="LL79" s="35"/>
      <c r="LM79" s="35"/>
      <c r="LN79" s="35"/>
      <c r="LO79" s="35"/>
      <c r="LP79" s="35"/>
      <c r="LQ79" s="35"/>
      <c r="LR79" s="35"/>
      <c r="LS79" s="35"/>
      <c r="LT79" s="35"/>
      <c r="LU79" s="35"/>
      <c r="LV79" s="35"/>
      <c r="LW79" s="35"/>
      <c r="LX79" s="35"/>
      <c r="LY79" s="35"/>
      <c r="LZ79" s="35"/>
      <c r="MA79" s="35"/>
      <c r="MB79" s="35"/>
      <c r="MC79" s="35"/>
      <c r="MD79" s="35"/>
      <c r="ME79" s="35"/>
      <c r="MF79" s="35"/>
      <c r="MG79" s="35"/>
    </row>
    <row r="80" spans="2:345" s="67" customFormat="1" ht="36" hidden="1" customHeight="1" x14ac:dyDescent="0.25">
      <c r="B80" s="28">
        <v>4153</v>
      </c>
      <c r="C80" s="24" t="s">
        <v>23</v>
      </c>
      <c r="D80" s="19" t="s">
        <v>4377</v>
      </c>
      <c r="E80" s="18">
        <v>42517</v>
      </c>
      <c r="F80" s="27">
        <f t="shared" ref="F80:F111" ca="1" si="2">IF(E80&lt;&gt;"",TODAY()-E80,"")</f>
        <v>1956</v>
      </c>
      <c r="G80" s="69"/>
      <c r="H80" s="68"/>
      <c r="I80" s="25"/>
      <c r="J80" s="25"/>
      <c r="K80" s="68"/>
      <c r="L80" s="68">
        <v>42520</v>
      </c>
      <c r="M80" s="68"/>
      <c r="N80" s="22"/>
      <c r="O80" s="26"/>
      <c r="P80" s="35"/>
      <c r="Q80" s="35"/>
      <c r="R80" s="20"/>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35"/>
      <c r="BL80" s="35"/>
      <c r="BM80" s="35"/>
      <c r="BN80" s="35"/>
      <c r="BO80" s="35"/>
      <c r="BP80" s="35"/>
      <c r="BQ80" s="35"/>
      <c r="BR80" s="35"/>
      <c r="BS80" s="35"/>
      <c r="BT80" s="35"/>
      <c r="BU80" s="35"/>
      <c r="BV80" s="35"/>
      <c r="BW80" s="35"/>
      <c r="BX80" s="35"/>
      <c r="BY80" s="35"/>
      <c r="BZ80" s="35"/>
      <c r="CA80" s="35"/>
      <c r="CB80" s="35"/>
      <c r="CC80" s="35"/>
      <c r="CD80" s="35"/>
      <c r="CE80" s="35"/>
      <c r="CF80" s="35"/>
      <c r="CG80" s="35"/>
      <c r="CH80" s="35"/>
      <c r="CI80" s="35"/>
      <c r="CJ80" s="35"/>
      <c r="CK80" s="35"/>
      <c r="CL80" s="35"/>
      <c r="CM80" s="35"/>
      <c r="CN80" s="35"/>
      <c r="CO80" s="35"/>
      <c r="CP80" s="35"/>
      <c r="CQ80" s="35"/>
      <c r="CR80" s="35"/>
      <c r="CS80" s="35"/>
      <c r="CT80" s="35"/>
      <c r="CU80" s="35"/>
      <c r="CV80" s="35"/>
      <c r="CW80" s="35"/>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c r="DV80" s="35"/>
      <c r="DW80" s="35"/>
      <c r="DX80" s="35"/>
      <c r="DY80" s="35"/>
      <c r="DZ80" s="35"/>
      <c r="EA80" s="35"/>
      <c r="EB80" s="35"/>
      <c r="EC80" s="35"/>
      <c r="ED80" s="35"/>
      <c r="EE80" s="35"/>
      <c r="EF80" s="35"/>
      <c r="EG80" s="35"/>
      <c r="EH80" s="35"/>
      <c r="EI80" s="35"/>
      <c r="EJ80" s="35"/>
      <c r="EK80" s="35"/>
      <c r="EL80" s="35"/>
      <c r="EM80" s="35"/>
      <c r="EN80" s="35"/>
      <c r="EO80" s="35"/>
      <c r="EP80" s="35"/>
      <c r="EQ80" s="35"/>
      <c r="ER80" s="35"/>
      <c r="ES80" s="35"/>
      <c r="ET80" s="35"/>
      <c r="EU80" s="35"/>
      <c r="EV80" s="35"/>
      <c r="EW80" s="35"/>
      <c r="EX80" s="35"/>
      <c r="EY80" s="35"/>
      <c r="EZ80" s="35"/>
      <c r="FA80" s="35"/>
      <c r="FB80" s="35"/>
      <c r="FC80" s="35"/>
      <c r="FD80" s="35"/>
      <c r="FE80" s="35"/>
      <c r="FF80" s="35"/>
      <c r="FG80" s="35"/>
      <c r="FH80" s="35"/>
      <c r="FI80" s="35"/>
      <c r="FJ80" s="35"/>
      <c r="FK80" s="35"/>
      <c r="FL80" s="35"/>
      <c r="FM80" s="35"/>
      <c r="FN80" s="35"/>
      <c r="FO80" s="35"/>
      <c r="FP80" s="35"/>
      <c r="FQ80" s="35"/>
      <c r="FR80" s="35"/>
      <c r="FS80" s="35"/>
      <c r="FT80" s="35"/>
      <c r="FU80" s="35"/>
      <c r="FV80" s="35"/>
      <c r="FW80" s="35"/>
      <c r="FX80" s="35"/>
      <c r="FY80" s="35"/>
      <c r="FZ80" s="35"/>
      <c r="GA80" s="35"/>
      <c r="GB80" s="35"/>
      <c r="GC80" s="35"/>
      <c r="GD80" s="35"/>
      <c r="GE80" s="35"/>
      <c r="GF80" s="35"/>
      <c r="GG80" s="35"/>
      <c r="GH80" s="35"/>
      <c r="GI80" s="35"/>
      <c r="GJ80" s="35"/>
      <c r="GK80" s="35"/>
      <c r="GL80" s="35"/>
      <c r="GM80" s="35"/>
      <c r="GN80" s="35"/>
      <c r="GO80" s="35"/>
      <c r="GP80" s="35"/>
      <c r="GQ80" s="35"/>
      <c r="GR80" s="35"/>
      <c r="GS80" s="35"/>
      <c r="GT80" s="35"/>
      <c r="GU80" s="35"/>
      <c r="GV80" s="35"/>
      <c r="GW80" s="35"/>
      <c r="GX80" s="35"/>
      <c r="GY80" s="35"/>
      <c r="GZ80" s="35"/>
      <c r="HA80" s="35"/>
      <c r="HB80" s="35"/>
      <c r="HC80" s="35"/>
      <c r="HD80" s="35"/>
      <c r="HE80" s="35"/>
      <c r="HF80" s="35"/>
      <c r="HG80" s="35"/>
      <c r="HH80" s="35"/>
      <c r="HI80" s="35"/>
      <c r="HJ80" s="35"/>
      <c r="HK80" s="35"/>
      <c r="HL80" s="35"/>
      <c r="HM80" s="35"/>
      <c r="HN80" s="35"/>
      <c r="HO80" s="35"/>
      <c r="HP80" s="35"/>
      <c r="HQ80" s="35"/>
      <c r="HR80" s="35"/>
      <c r="HS80" s="35"/>
      <c r="HT80" s="35"/>
      <c r="HU80" s="35"/>
      <c r="HV80" s="35"/>
      <c r="HW80" s="35"/>
      <c r="HX80" s="35"/>
      <c r="HY80" s="35"/>
      <c r="HZ80" s="35"/>
      <c r="IA80" s="35"/>
      <c r="IB80" s="35"/>
      <c r="IC80" s="35"/>
      <c r="ID80" s="35"/>
      <c r="IE80" s="35"/>
      <c r="IF80" s="35"/>
      <c r="IG80" s="35"/>
      <c r="IH80" s="35"/>
      <c r="II80" s="35"/>
      <c r="IJ80" s="35"/>
      <c r="IK80" s="35"/>
      <c r="IL80" s="35"/>
      <c r="IM80" s="35"/>
      <c r="IN80" s="35"/>
      <c r="IO80" s="35"/>
      <c r="IP80" s="35"/>
      <c r="IQ80" s="35"/>
      <c r="IR80" s="35"/>
      <c r="IS80" s="35"/>
      <c r="IT80" s="35"/>
      <c r="IU80" s="35"/>
      <c r="IV80" s="35"/>
      <c r="IW80" s="35"/>
      <c r="IX80" s="35"/>
      <c r="IY80" s="35"/>
      <c r="IZ80" s="35"/>
      <c r="JA80" s="35"/>
      <c r="JB80" s="35"/>
      <c r="JC80" s="35"/>
      <c r="JD80" s="35"/>
      <c r="JE80" s="35"/>
      <c r="JF80" s="35"/>
      <c r="JG80" s="35"/>
      <c r="JH80" s="35"/>
      <c r="JI80" s="35"/>
      <c r="JJ80" s="35"/>
      <c r="JK80" s="35"/>
      <c r="JL80" s="35"/>
      <c r="JM80" s="35"/>
      <c r="JN80" s="35"/>
      <c r="JO80" s="35"/>
      <c r="JP80" s="35"/>
      <c r="JQ80" s="35"/>
      <c r="JR80" s="35"/>
      <c r="JS80" s="35"/>
      <c r="JT80" s="35"/>
      <c r="JU80" s="35"/>
      <c r="JV80" s="35"/>
      <c r="JW80" s="35"/>
      <c r="JX80" s="35"/>
      <c r="JY80" s="35"/>
      <c r="JZ80" s="35"/>
      <c r="KA80" s="35"/>
      <c r="KB80" s="35"/>
      <c r="KC80" s="35"/>
      <c r="KD80" s="35"/>
      <c r="KE80" s="35"/>
      <c r="KF80" s="35"/>
      <c r="KG80" s="35"/>
      <c r="KH80" s="35"/>
      <c r="KI80" s="35"/>
      <c r="KJ80" s="35"/>
      <c r="KK80" s="35"/>
      <c r="KL80" s="35"/>
      <c r="KM80" s="35"/>
      <c r="KN80" s="35"/>
      <c r="KO80" s="35"/>
      <c r="KP80" s="35"/>
      <c r="KQ80" s="35"/>
      <c r="KR80" s="35"/>
      <c r="KS80" s="35"/>
      <c r="KT80" s="35"/>
      <c r="KU80" s="35"/>
      <c r="KV80" s="35"/>
      <c r="KW80" s="35"/>
      <c r="KX80" s="35"/>
      <c r="KY80" s="35"/>
      <c r="KZ80" s="35"/>
      <c r="LA80" s="35"/>
      <c r="LB80" s="35"/>
      <c r="LC80" s="35"/>
      <c r="LD80" s="35"/>
      <c r="LE80" s="35"/>
      <c r="LF80" s="35"/>
      <c r="LG80" s="35"/>
      <c r="LH80" s="35"/>
      <c r="LI80" s="35"/>
      <c r="LJ80" s="35"/>
      <c r="LK80" s="35"/>
      <c r="LL80" s="35"/>
      <c r="LM80" s="35"/>
      <c r="LN80" s="35"/>
      <c r="LO80" s="35"/>
      <c r="LP80" s="35"/>
      <c r="LQ80" s="35"/>
      <c r="LR80" s="35"/>
      <c r="LS80" s="35"/>
      <c r="LT80" s="35"/>
      <c r="LU80" s="35"/>
      <c r="LV80" s="35"/>
      <c r="LW80" s="35"/>
      <c r="LX80" s="35"/>
      <c r="LY80" s="35"/>
      <c r="LZ80" s="35"/>
      <c r="MA80" s="35"/>
      <c r="MB80" s="35"/>
      <c r="MC80" s="35"/>
      <c r="MD80" s="35"/>
      <c r="ME80" s="35"/>
      <c r="MF80" s="35"/>
      <c r="MG80" s="35"/>
    </row>
    <row r="81" spans="2:345" s="67" customFormat="1" ht="36" hidden="1" customHeight="1" x14ac:dyDescent="0.25">
      <c r="B81" s="28">
        <v>4142</v>
      </c>
      <c r="C81" s="24" t="s">
        <v>32</v>
      </c>
      <c r="D81" s="19" t="s">
        <v>4323</v>
      </c>
      <c r="E81" s="18">
        <v>42520</v>
      </c>
      <c r="F81" s="27">
        <f t="shared" ca="1" si="2"/>
        <v>1953</v>
      </c>
      <c r="G81" s="69"/>
      <c r="H81" s="68"/>
      <c r="I81" s="25"/>
      <c r="J81" s="25"/>
      <c r="K81" s="68"/>
      <c r="L81" s="68">
        <v>42520</v>
      </c>
      <c r="M81" s="68"/>
      <c r="N81" s="22"/>
      <c r="O81" s="26"/>
      <c r="P81" s="35"/>
      <c r="Q81" s="35"/>
      <c r="R81" s="20"/>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c r="BJ81" s="35"/>
      <c r="BK81" s="35"/>
      <c r="BL81" s="35"/>
      <c r="BM81" s="35"/>
      <c r="BN81" s="35"/>
      <c r="BO81" s="35"/>
      <c r="BP81" s="35"/>
      <c r="BQ81" s="35"/>
      <c r="BR81" s="35"/>
      <c r="BS81" s="35"/>
      <c r="BT81" s="35"/>
      <c r="BU81" s="35"/>
      <c r="BV81" s="35"/>
      <c r="BW81" s="35"/>
      <c r="BX81" s="35"/>
      <c r="BY81" s="35"/>
      <c r="BZ81" s="35"/>
      <c r="CA81" s="35"/>
      <c r="CB81" s="35"/>
      <c r="CC81" s="35"/>
      <c r="CD81" s="35"/>
      <c r="CE81" s="35"/>
      <c r="CF81" s="35"/>
      <c r="CG81" s="35"/>
      <c r="CH81" s="35"/>
      <c r="CI81" s="35"/>
      <c r="CJ81" s="35"/>
      <c r="CK81" s="35"/>
      <c r="CL81" s="35"/>
      <c r="CM81" s="35"/>
      <c r="CN81" s="35"/>
      <c r="CO81" s="35"/>
      <c r="CP81" s="35"/>
      <c r="CQ81" s="35"/>
      <c r="CR81" s="35"/>
      <c r="CS81" s="35"/>
      <c r="CT81" s="35"/>
      <c r="CU81" s="35"/>
      <c r="CV81" s="35"/>
      <c r="CW81" s="35"/>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c r="DV81" s="35"/>
      <c r="DW81" s="35"/>
      <c r="DX81" s="35"/>
      <c r="DY81" s="35"/>
      <c r="DZ81" s="35"/>
      <c r="EA81" s="35"/>
      <c r="EB81" s="35"/>
      <c r="EC81" s="35"/>
      <c r="ED81" s="35"/>
      <c r="EE81" s="35"/>
      <c r="EF81" s="35"/>
      <c r="EG81" s="35"/>
      <c r="EH81" s="35"/>
      <c r="EI81" s="35"/>
      <c r="EJ81" s="35"/>
      <c r="EK81" s="35"/>
      <c r="EL81" s="35"/>
      <c r="EM81" s="35"/>
      <c r="EN81" s="35"/>
      <c r="EO81" s="35"/>
      <c r="EP81" s="35"/>
      <c r="EQ81" s="35"/>
      <c r="ER81" s="35"/>
      <c r="ES81" s="35"/>
      <c r="ET81" s="35"/>
      <c r="EU81" s="35"/>
      <c r="EV81" s="35"/>
      <c r="EW81" s="35"/>
      <c r="EX81" s="35"/>
      <c r="EY81" s="35"/>
      <c r="EZ81" s="35"/>
      <c r="FA81" s="35"/>
      <c r="FB81" s="35"/>
      <c r="FC81" s="35"/>
      <c r="FD81" s="35"/>
      <c r="FE81" s="35"/>
      <c r="FF81" s="35"/>
      <c r="FG81" s="35"/>
      <c r="FH81" s="35"/>
      <c r="FI81" s="35"/>
      <c r="FJ81" s="35"/>
      <c r="FK81" s="35"/>
      <c r="FL81" s="35"/>
      <c r="FM81" s="35"/>
      <c r="FN81" s="35"/>
      <c r="FO81" s="35"/>
      <c r="FP81" s="35"/>
      <c r="FQ81" s="35"/>
      <c r="FR81" s="35"/>
      <c r="FS81" s="35"/>
      <c r="FT81" s="35"/>
      <c r="FU81" s="35"/>
      <c r="FV81" s="35"/>
      <c r="FW81" s="35"/>
      <c r="FX81" s="35"/>
      <c r="FY81" s="35"/>
      <c r="FZ81" s="35"/>
      <c r="GA81" s="35"/>
      <c r="GB81" s="35"/>
      <c r="GC81" s="35"/>
      <c r="GD81" s="35"/>
      <c r="GE81" s="35"/>
      <c r="GF81" s="35"/>
      <c r="GG81" s="35"/>
      <c r="GH81" s="35"/>
      <c r="GI81" s="35"/>
      <c r="GJ81" s="35"/>
      <c r="GK81" s="35"/>
      <c r="GL81" s="35"/>
      <c r="GM81" s="35"/>
      <c r="GN81" s="35"/>
      <c r="GO81" s="35"/>
      <c r="GP81" s="35"/>
      <c r="GQ81" s="35"/>
      <c r="GR81" s="35"/>
      <c r="GS81" s="35"/>
      <c r="GT81" s="35"/>
      <c r="GU81" s="35"/>
      <c r="GV81" s="35"/>
      <c r="GW81" s="35"/>
      <c r="GX81" s="35"/>
      <c r="GY81" s="35"/>
      <c r="GZ81" s="35"/>
      <c r="HA81" s="35"/>
      <c r="HB81" s="35"/>
      <c r="HC81" s="35"/>
      <c r="HD81" s="35"/>
      <c r="HE81" s="35"/>
      <c r="HF81" s="35"/>
      <c r="HG81" s="35"/>
      <c r="HH81" s="35"/>
      <c r="HI81" s="35"/>
      <c r="HJ81" s="35"/>
      <c r="HK81" s="35"/>
      <c r="HL81" s="35"/>
      <c r="HM81" s="35"/>
      <c r="HN81" s="35"/>
      <c r="HO81" s="35"/>
      <c r="HP81" s="35"/>
      <c r="HQ81" s="35"/>
      <c r="HR81" s="35"/>
      <c r="HS81" s="35"/>
      <c r="HT81" s="35"/>
      <c r="HU81" s="35"/>
      <c r="HV81" s="35"/>
      <c r="HW81" s="35"/>
      <c r="HX81" s="35"/>
      <c r="HY81" s="35"/>
      <c r="HZ81" s="35"/>
      <c r="IA81" s="35"/>
      <c r="IB81" s="35"/>
      <c r="IC81" s="35"/>
      <c r="ID81" s="35"/>
      <c r="IE81" s="35"/>
      <c r="IF81" s="35"/>
      <c r="IG81" s="35"/>
      <c r="IH81" s="35"/>
      <c r="II81" s="35"/>
      <c r="IJ81" s="35"/>
      <c r="IK81" s="35"/>
      <c r="IL81" s="35"/>
      <c r="IM81" s="35"/>
      <c r="IN81" s="35"/>
      <c r="IO81" s="35"/>
      <c r="IP81" s="35"/>
      <c r="IQ81" s="35"/>
      <c r="IR81" s="35"/>
      <c r="IS81" s="35"/>
      <c r="IT81" s="35"/>
      <c r="IU81" s="35"/>
      <c r="IV81" s="35"/>
      <c r="IW81" s="35"/>
      <c r="IX81" s="35"/>
      <c r="IY81" s="35"/>
      <c r="IZ81" s="35"/>
      <c r="JA81" s="35"/>
      <c r="JB81" s="35"/>
      <c r="JC81" s="35"/>
      <c r="JD81" s="35"/>
      <c r="JE81" s="35"/>
      <c r="JF81" s="35"/>
      <c r="JG81" s="35"/>
      <c r="JH81" s="35"/>
      <c r="JI81" s="35"/>
      <c r="JJ81" s="35"/>
      <c r="JK81" s="35"/>
      <c r="JL81" s="35"/>
      <c r="JM81" s="35"/>
      <c r="JN81" s="35"/>
      <c r="JO81" s="35"/>
      <c r="JP81" s="35"/>
      <c r="JQ81" s="35"/>
      <c r="JR81" s="35"/>
      <c r="JS81" s="35"/>
      <c r="JT81" s="35"/>
      <c r="JU81" s="35"/>
      <c r="JV81" s="35"/>
      <c r="JW81" s="35"/>
      <c r="JX81" s="35"/>
      <c r="JY81" s="35"/>
      <c r="JZ81" s="35"/>
      <c r="KA81" s="35"/>
      <c r="KB81" s="35"/>
      <c r="KC81" s="35"/>
      <c r="KD81" s="35"/>
      <c r="KE81" s="35"/>
      <c r="KF81" s="35"/>
      <c r="KG81" s="35"/>
      <c r="KH81" s="35"/>
      <c r="KI81" s="35"/>
      <c r="KJ81" s="35"/>
      <c r="KK81" s="35"/>
      <c r="KL81" s="35"/>
      <c r="KM81" s="35"/>
      <c r="KN81" s="35"/>
      <c r="KO81" s="35"/>
      <c r="KP81" s="35"/>
      <c r="KQ81" s="35"/>
      <c r="KR81" s="35"/>
      <c r="KS81" s="35"/>
      <c r="KT81" s="35"/>
      <c r="KU81" s="35"/>
      <c r="KV81" s="35"/>
      <c r="KW81" s="35"/>
      <c r="KX81" s="35"/>
      <c r="KY81" s="35"/>
      <c r="KZ81" s="35"/>
      <c r="LA81" s="35"/>
      <c r="LB81" s="35"/>
      <c r="LC81" s="35"/>
      <c r="LD81" s="35"/>
      <c r="LE81" s="35"/>
      <c r="LF81" s="35"/>
      <c r="LG81" s="35"/>
      <c r="LH81" s="35"/>
      <c r="LI81" s="35"/>
      <c r="LJ81" s="35"/>
      <c r="LK81" s="35"/>
      <c r="LL81" s="35"/>
      <c r="LM81" s="35"/>
      <c r="LN81" s="35"/>
      <c r="LO81" s="35"/>
      <c r="LP81" s="35"/>
      <c r="LQ81" s="35"/>
      <c r="LR81" s="35"/>
      <c r="LS81" s="35"/>
      <c r="LT81" s="35"/>
      <c r="LU81" s="35"/>
      <c r="LV81" s="35"/>
      <c r="LW81" s="35"/>
      <c r="LX81" s="35"/>
      <c r="LY81" s="35"/>
      <c r="LZ81" s="35"/>
      <c r="MA81" s="35"/>
      <c r="MB81" s="35"/>
      <c r="MC81" s="35"/>
      <c r="MD81" s="35"/>
      <c r="ME81" s="35"/>
      <c r="MF81" s="35"/>
      <c r="MG81" s="35"/>
    </row>
    <row r="82" spans="2:345" s="67" customFormat="1" ht="36" hidden="1" customHeight="1" x14ac:dyDescent="0.25">
      <c r="B82" s="28">
        <v>4142</v>
      </c>
      <c r="C82" s="24" t="s">
        <v>40</v>
      </c>
      <c r="D82" s="19" t="s">
        <v>4324</v>
      </c>
      <c r="E82" s="18">
        <v>42530</v>
      </c>
      <c r="F82" s="27">
        <f t="shared" ca="1" si="2"/>
        <v>1943</v>
      </c>
      <c r="G82" s="69"/>
      <c r="H82" s="68"/>
      <c r="I82" s="25"/>
      <c r="J82" s="25"/>
      <c r="K82" s="68"/>
      <c r="L82" s="68">
        <v>42530</v>
      </c>
      <c r="M82" s="68"/>
      <c r="N82" s="22"/>
      <c r="O82" s="26" t="s">
        <v>4325</v>
      </c>
      <c r="P82" s="35"/>
      <c r="Q82" s="35"/>
      <c r="R82" s="20"/>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35"/>
      <c r="AS82" s="35"/>
      <c r="AT82" s="35"/>
      <c r="AU82" s="35"/>
      <c r="AV82" s="35"/>
      <c r="AW82" s="35"/>
      <c r="AX82" s="35"/>
      <c r="AY82" s="35"/>
      <c r="AZ82" s="35"/>
      <c r="BA82" s="35"/>
      <c r="BB82" s="35"/>
      <c r="BC82" s="35"/>
      <c r="BD82" s="35"/>
      <c r="BE82" s="35"/>
      <c r="BF82" s="35"/>
      <c r="BG82" s="35"/>
      <c r="BH82" s="35"/>
      <c r="BI82" s="35"/>
      <c r="BJ82" s="35"/>
      <c r="BK82" s="35"/>
      <c r="BL82" s="35"/>
      <c r="BM82" s="35"/>
      <c r="BN82" s="35"/>
      <c r="BO82" s="35"/>
      <c r="BP82" s="35"/>
      <c r="BQ82" s="35"/>
      <c r="BR82" s="35"/>
      <c r="BS82" s="35"/>
      <c r="BT82" s="35"/>
      <c r="BU82" s="35"/>
      <c r="BV82" s="35"/>
      <c r="BW82" s="35"/>
      <c r="BX82" s="35"/>
      <c r="BY82" s="35"/>
      <c r="BZ82" s="35"/>
      <c r="CA82" s="35"/>
      <c r="CB82" s="35"/>
      <c r="CC82" s="35"/>
      <c r="CD82" s="35"/>
      <c r="CE82" s="35"/>
      <c r="CF82" s="35"/>
      <c r="CG82" s="35"/>
      <c r="CH82" s="35"/>
      <c r="CI82" s="35"/>
      <c r="CJ82" s="35"/>
      <c r="CK82" s="35"/>
      <c r="CL82" s="35"/>
      <c r="CM82" s="35"/>
      <c r="CN82" s="35"/>
      <c r="CO82" s="35"/>
      <c r="CP82" s="35"/>
      <c r="CQ82" s="35"/>
      <c r="CR82" s="35"/>
      <c r="CS82" s="35"/>
      <c r="CT82" s="35"/>
      <c r="CU82" s="35"/>
      <c r="CV82" s="35"/>
      <c r="CW82" s="35"/>
      <c r="CX82" s="35"/>
      <c r="CY82" s="35"/>
      <c r="CZ82" s="35"/>
      <c r="DA82" s="35"/>
      <c r="DB82" s="35"/>
      <c r="DC82" s="35"/>
      <c r="DD82" s="35"/>
      <c r="DE82" s="35"/>
      <c r="DF82" s="35"/>
      <c r="DG82" s="35"/>
      <c r="DH82" s="35"/>
      <c r="DI82" s="35"/>
      <c r="DJ82" s="35"/>
      <c r="DK82" s="35"/>
      <c r="DL82" s="35"/>
      <c r="DM82" s="35"/>
      <c r="DN82" s="35"/>
      <c r="DO82" s="35"/>
      <c r="DP82" s="35"/>
      <c r="DQ82" s="35"/>
      <c r="DR82" s="35"/>
      <c r="DS82" s="35"/>
      <c r="DT82" s="35"/>
      <c r="DU82" s="35"/>
      <c r="DV82" s="35"/>
      <c r="DW82" s="35"/>
      <c r="DX82" s="35"/>
      <c r="DY82" s="35"/>
      <c r="DZ82" s="35"/>
      <c r="EA82" s="35"/>
      <c r="EB82" s="35"/>
      <c r="EC82" s="35"/>
      <c r="ED82" s="35"/>
      <c r="EE82" s="35"/>
      <c r="EF82" s="35"/>
      <c r="EG82" s="35"/>
      <c r="EH82" s="35"/>
      <c r="EI82" s="35"/>
      <c r="EJ82" s="35"/>
      <c r="EK82" s="35"/>
      <c r="EL82" s="35"/>
      <c r="EM82" s="35"/>
      <c r="EN82" s="35"/>
      <c r="EO82" s="35"/>
      <c r="EP82" s="35"/>
      <c r="EQ82" s="35"/>
      <c r="ER82" s="35"/>
      <c r="ES82" s="35"/>
      <c r="ET82" s="35"/>
      <c r="EU82" s="35"/>
      <c r="EV82" s="35"/>
      <c r="EW82" s="35"/>
      <c r="EX82" s="35"/>
      <c r="EY82" s="35"/>
      <c r="EZ82" s="35"/>
      <c r="FA82" s="35"/>
      <c r="FB82" s="35"/>
      <c r="FC82" s="35"/>
      <c r="FD82" s="35"/>
      <c r="FE82" s="35"/>
      <c r="FF82" s="35"/>
      <c r="FG82" s="35"/>
      <c r="FH82" s="35"/>
      <c r="FI82" s="35"/>
      <c r="FJ82" s="35"/>
      <c r="FK82" s="35"/>
      <c r="FL82" s="35"/>
      <c r="FM82" s="35"/>
      <c r="FN82" s="35"/>
      <c r="FO82" s="35"/>
      <c r="FP82" s="35"/>
      <c r="FQ82" s="35"/>
      <c r="FR82" s="35"/>
      <c r="FS82" s="35"/>
      <c r="FT82" s="35"/>
      <c r="FU82" s="35"/>
      <c r="FV82" s="35"/>
      <c r="FW82" s="35"/>
      <c r="FX82" s="35"/>
      <c r="FY82" s="35"/>
      <c r="FZ82" s="35"/>
      <c r="GA82" s="35"/>
      <c r="GB82" s="35"/>
      <c r="GC82" s="35"/>
      <c r="GD82" s="35"/>
      <c r="GE82" s="35"/>
      <c r="GF82" s="35"/>
      <c r="GG82" s="35"/>
      <c r="GH82" s="35"/>
      <c r="GI82" s="35"/>
      <c r="GJ82" s="35"/>
      <c r="GK82" s="35"/>
      <c r="GL82" s="35"/>
      <c r="GM82" s="35"/>
      <c r="GN82" s="35"/>
      <c r="GO82" s="35"/>
      <c r="GP82" s="35"/>
      <c r="GQ82" s="35"/>
      <c r="GR82" s="35"/>
      <c r="GS82" s="35"/>
      <c r="GT82" s="35"/>
      <c r="GU82" s="35"/>
      <c r="GV82" s="35"/>
      <c r="GW82" s="35"/>
      <c r="GX82" s="35"/>
      <c r="GY82" s="35"/>
      <c r="GZ82" s="35"/>
      <c r="HA82" s="35"/>
      <c r="HB82" s="35"/>
      <c r="HC82" s="35"/>
      <c r="HD82" s="35"/>
      <c r="HE82" s="35"/>
      <c r="HF82" s="35"/>
      <c r="HG82" s="35"/>
      <c r="HH82" s="35"/>
      <c r="HI82" s="35"/>
      <c r="HJ82" s="35"/>
      <c r="HK82" s="35"/>
      <c r="HL82" s="35"/>
      <c r="HM82" s="35"/>
      <c r="HN82" s="35"/>
      <c r="HO82" s="35"/>
      <c r="HP82" s="35"/>
      <c r="HQ82" s="35"/>
      <c r="HR82" s="35"/>
      <c r="HS82" s="35"/>
      <c r="HT82" s="35"/>
      <c r="HU82" s="35"/>
      <c r="HV82" s="35"/>
      <c r="HW82" s="35"/>
      <c r="HX82" s="35"/>
      <c r="HY82" s="35"/>
      <c r="HZ82" s="35"/>
      <c r="IA82" s="35"/>
      <c r="IB82" s="35"/>
      <c r="IC82" s="35"/>
      <c r="ID82" s="35"/>
      <c r="IE82" s="35"/>
      <c r="IF82" s="35"/>
      <c r="IG82" s="35"/>
      <c r="IH82" s="35"/>
      <c r="II82" s="35"/>
      <c r="IJ82" s="35"/>
      <c r="IK82" s="35"/>
      <c r="IL82" s="35"/>
      <c r="IM82" s="35"/>
      <c r="IN82" s="35"/>
      <c r="IO82" s="35"/>
      <c r="IP82" s="35"/>
      <c r="IQ82" s="35"/>
      <c r="IR82" s="35"/>
      <c r="IS82" s="35"/>
      <c r="IT82" s="35"/>
      <c r="IU82" s="35"/>
      <c r="IV82" s="35"/>
      <c r="IW82" s="35"/>
      <c r="IX82" s="35"/>
      <c r="IY82" s="35"/>
      <c r="IZ82" s="35"/>
      <c r="JA82" s="35"/>
      <c r="JB82" s="35"/>
      <c r="JC82" s="35"/>
      <c r="JD82" s="35"/>
      <c r="JE82" s="35"/>
      <c r="JF82" s="35"/>
      <c r="JG82" s="35"/>
      <c r="JH82" s="35"/>
      <c r="JI82" s="35"/>
      <c r="JJ82" s="35"/>
      <c r="JK82" s="35"/>
      <c r="JL82" s="35"/>
      <c r="JM82" s="35"/>
      <c r="JN82" s="35"/>
      <c r="JO82" s="35"/>
      <c r="JP82" s="35"/>
      <c r="JQ82" s="35"/>
      <c r="JR82" s="35"/>
      <c r="JS82" s="35"/>
      <c r="JT82" s="35"/>
      <c r="JU82" s="35"/>
      <c r="JV82" s="35"/>
      <c r="JW82" s="35"/>
      <c r="JX82" s="35"/>
      <c r="JY82" s="35"/>
      <c r="JZ82" s="35"/>
      <c r="KA82" s="35"/>
      <c r="KB82" s="35"/>
      <c r="KC82" s="35"/>
      <c r="KD82" s="35"/>
      <c r="KE82" s="35"/>
      <c r="KF82" s="35"/>
      <c r="KG82" s="35"/>
      <c r="KH82" s="35"/>
      <c r="KI82" s="35"/>
      <c r="KJ82" s="35"/>
      <c r="KK82" s="35"/>
      <c r="KL82" s="35"/>
      <c r="KM82" s="35"/>
      <c r="KN82" s="35"/>
      <c r="KO82" s="35"/>
      <c r="KP82" s="35"/>
      <c r="KQ82" s="35"/>
      <c r="KR82" s="35"/>
      <c r="KS82" s="35"/>
      <c r="KT82" s="35"/>
      <c r="KU82" s="35"/>
      <c r="KV82" s="35"/>
      <c r="KW82" s="35"/>
      <c r="KX82" s="35"/>
      <c r="KY82" s="35"/>
      <c r="KZ82" s="35"/>
      <c r="LA82" s="35"/>
      <c r="LB82" s="35"/>
      <c r="LC82" s="35"/>
      <c r="LD82" s="35"/>
      <c r="LE82" s="35"/>
      <c r="LF82" s="35"/>
      <c r="LG82" s="35"/>
      <c r="LH82" s="35"/>
      <c r="LI82" s="35"/>
      <c r="LJ82" s="35"/>
      <c r="LK82" s="35"/>
      <c r="LL82" s="35"/>
      <c r="LM82" s="35"/>
      <c r="LN82" s="35"/>
      <c r="LO82" s="35"/>
      <c r="LP82" s="35"/>
      <c r="LQ82" s="35"/>
      <c r="LR82" s="35"/>
      <c r="LS82" s="35"/>
      <c r="LT82" s="35"/>
      <c r="LU82" s="35"/>
      <c r="LV82" s="35"/>
      <c r="LW82" s="35"/>
      <c r="LX82" s="35"/>
      <c r="LY82" s="35"/>
      <c r="LZ82" s="35"/>
      <c r="MA82" s="35"/>
      <c r="MB82" s="35"/>
      <c r="MC82" s="35"/>
      <c r="MD82" s="35"/>
      <c r="ME82" s="35"/>
      <c r="MF82" s="35"/>
      <c r="MG82" s="35"/>
    </row>
    <row r="83" spans="2:345" s="67" customFormat="1" ht="36" hidden="1" customHeight="1" x14ac:dyDescent="0.25">
      <c r="B83" s="28">
        <v>4143</v>
      </c>
      <c r="C83" s="24" t="s">
        <v>40</v>
      </c>
      <c r="D83" s="19" t="s">
        <v>4348</v>
      </c>
      <c r="E83" s="18">
        <v>42530</v>
      </c>
      <c r="F83" s="27">
        <f t="shared" ca="1" si="2"/>
        <v>1943</v>
      </c>
      <c r="G83" s="69"/>
      <c r="H83" s="68"/>
      <c r="I83" s="25"/>
      <c r="J83" s="25"/>
      <c r="K83" s="68"/>
      <c r="L83" s="68">
        <v>42590</v>
      </c>
      <c r="M83" s="68"/>
      <c r="N83" s="22" t="s">
        <v>4349</v>
      </c>
      <c r="O83" s="26"/>
      <c r="P83" s="35"/>
      <c r="Q83" s="35"/>
      <c r="R83" s="20"/>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35"/>
      <c r="AS83" s="35"/>
      <c r="AT83" s="35"/>
      <c r="AU83" s="35"/>
      <c r="AV83" s="35"/>
      <c r="AW83" s="35"/>
      <c r="AX83" s="35"/>
      <c r="AY83" s="35"/>
      <c r="AZ83" s="35"/>
      <c r="BA83" s="35"/>
      <c r="BB83" s="35"/>
      <c r="BC83" s="35"/>
      <c r="BD83" s="35"/>
      <c r="BE83" s="35"/>
      <c r="BF83" s="35"/>
      <c r="BG83" s="35"/>
      <c r="BH83" s="35"/>
      <c r="BI83" s="35"/>
      <c r="BJ83" s="35"/>
      <c r="BK83" s="35"/>
      <c r="BL83" s="35"/>
      <c r="BM83" s="35"/>
      <c r="BN83" s="35"/>
      <c r="BO83" s="35"/>
      <c r="BP83" s="35"/>
      <c r="BQ83" s="35"/>
      <c r="BR83" s="35"/>
      <c r="BS83" s="35"/>
      <c r="BT83" s="35"/>
      <c r="BU83" s="35"/>
      <c r="BV83" s="35"/>
      <c r="BW83" s="35"/>
      <c r="BX83" s="35"/>
      <c r="BY83" s="35"/>
      <c r="BZ83" s="35"/>
      <c r="CA83" s="35"/>
      <c r="CB83" s="35"/>
      <c r="CC83" s="35"/>
      <c r="CD83" s="35"/>
      <c r="CE83" s="35"/>
      <c r="CF83" s="35"/>
      <c r="CG83" s="35"/>
      <c r="CH83" s="35"/>
      <c r="CI83" s="35"/>
      <c r="CJ83" s="35"/>
      <c r="CK83" s="35"/>
      <c r="CL83" s="35"/>
      <c r="CM83" s="35"/>
      <c r="CN83" s="35"/>
      <c r="CO83" s="35"/>
      <c r="CP83" s="35"/>
      <c r="CQ83" s="35"/>
      <c r="CR83" s="35"/>
      <c r="CS83" s="35"/>
      <c r="CT83" s="35"/>
      <c r="CU83" s="35"/>
      <c r="CV83" s="35"/>
      <c r="CW83" s="35"/>
      <c r="CX83" s="35"/>
      <c r="CY83" s="35"/>
      <c r="CZ83" s="35"/>
      <c r="DA83" s="35"/>
      <c r="DB83" s="35"/>
      <c r="DC83" s="35"/>
      <c r="DD83" s="35"/>
      <c r="DE83" s="35"/>
      <c r="DF83" s="35"/>
      <c r="DG83" s="35"/>
      <c r="DH83" s="35"/>
      <c r="DI83" s="35"/>
      <c r="DJ83" s="35"/>
      <c r="DK83" s="35"/>
      <c r="DL83" s="35"/>
      <c r="DM83" s="35"/>
      <c r="DN83" s="35"/>
      <c r="DO83" s="35"/>
      <c r="DP83" s="35"/>
      <c r="DQ83" s="35"/>
      <c r="DR83" s="35"/>
      <c r="DS83" s="35"/>
      <c r="DT83" s="35"/>
      <c r="DU83" s="35"/>
      <c r="DV83" s="35"/>
      <c r="DW83" s="35"/>
      <c r="DX83" s="35"/>
      <c r="DY83" s="35"/>
      <c r="DZ83" s="35"/>
      <c r="EA83" s="35"/>
      <c r="EB83" s="35"/>
      <c r="EC83" s="35"/>
      <c r="ED83" s="35"/>
      <c r="EE83" s="35"/>
      <c r="EF83" s="35"/>
      <c r="EG83" s="35"/>
      <c r="EH83" s="35"/>
      <c r="EI83" s="35"/>
      <c r="EJ83" s="35"/>
      <c r="EK83" s="35"/>
      <c r="EL83" s="35"/>
      <c r="EM83" s="35"/>
      <c r="EN83" s="35"/>
      <c r="EO83" s="35"/>
      <c r="EP83" s="35"/>
      <c r="EQ83" s="35"/>
      <c r="ER83" s="35"/>
      <c r="ES83" s="35"/>
      <c r="ET83" s="35"/>
      <c r="EU83" s="35"/>
      <c r="EV83" s="35"/>
      <c r="EW83" s="35"/>
      <c r="EX83" s="35"/>
      <c r="EY83" s="35"/>
      <c r="EZ83" s="35"/>
      <c r="FA83" s="35"/>
      <c r="FB83" s="35"/>
      <c r="FC83" s="35"/>
      <c r="FD83" s="35"/>
      <c r="FE83" s="35"/>
      <c r="FF83" s="35"/>
      <c r="FG83" s="35"/>
      <c r="FH83" s="35"/>
      <c r="FI83" s="35"/>
      <c r="FJ83" s="35"/>
      <c r="FK83" s="35"/>
      <c r="FL83" s="35"/>
      <c r="FM83" s="35"/>
      <c r="FN83" s="35"/>
      <c r="FO83" s="35"/>
      <c r="FP83" s="35"/>
      <c r="FQ83" s="35"/>
      <c r="FR83" s="35"/>
      <c r="FS83" s="35"/>
      <c r="FT83" s="35"/>
      <c r="FU83" s="35"/>
      <c r="FV83" s="35"/>
      <c r="FW83" s="35"/>
      <c r="FX83" s="35"/>
      <c r="FY83" s="35"/>
      <c r="FZ83" s="35"/>
      <c r="GA83" s="35"/>
      <c r="GB83" s="35"/>
      <c r="GC83" s="35"/>
      <c r="GD83" s="35"/>
      <c r="GE83" s="35"/>
      <c r="GF83" s="35"/>
      <c r="GG83" s="35"/>
      <c r="GH83" s="35"/>
      <c r="GI83" s="35"/>
      <c r="GJ83" s="35"/>
      <c r="GK83" s="35"/>
      <c r="GL83" s="35"/>
      <c r="GM83" s="35"/>
      <c r="GN83" s="35"/>
      <c r="GO83" s="35"/>
      <c r="GP83" s="35"/>
      <c r="GQ83" s="35"/>
      <c r="GR83" s="35"/>
      <c r="GS83" s="35"/>
      <c r="GT83" s="35"/>
      <c r="GU83" s="35"/>
      <c r="GV83" s="35"/>
      <c r="GW83" s="35"/>
      <c r="GX83" s="35"/>
      <c r="GY83" s="35"/>
      <c r="GZ83" s="35"/>
      <c r="HA83" s="35"/>
      <c r="HB83" s="35"/>
      <c r="HC83" s="35"/>
      <c r="HD83" s="35"/>
      <c r="HE83" s="35"/>
      <c r="HF83" s="35"/>
      <c r="HG83" s="35"/>
      <c r="HH83" s="35"/>
      <c r="HI83" s="35"/>
      <c r="HJ83" s="35"/>
      <c r="HK83" s="35"/>
      <c r="HL83" s="35"/>
      <c r="HM83" s="35"/>
      <c r="HN83" s="35"/>
      <c r="HO83" s="35"/>
      <c r="HP83" s="35"/>
      <c r="HQ83" s="35"/>
      <c r="HR83" s="35"/>
      <c r="HS83" s="35"/>
      <c r="HT83" s="35"/>
      <c r="HU83" s="35"/>
      <c r="HV83" s="35"/>
      <c r="HW83" s="35"/>
      <c r="HX83" s="35"/>
      <c r="HY83" s="35"/>
      <c r="HZ83" s="35"/>
      <c r="IA83" s="35"/>
      <c r="IB83" s="35"/>
      <c r="IC83" s="35"/>
      <c r="ID83" s="35"/>
      <c r="IE83" s="35"/>
      <c r="IF83" s="35"/>
      <c r="IG83" s="35"/>
      <c r="IH83" s="35"/>
      <c r="II83" s="35"/>
      <c r="IJ83" s="35"/>
      <c r="IK83" s="35"/>
      <c r="IL83" s="35"/>
      <c r="IM83" s="35"/>
      <c r="IN83" s="35"/>
      <c r="IO83" s="35"/>
      <c r="IP83" s="35"/>
      <c r="IQ83" s="35"/>
      <c r="IR83" s="35"/>
      <c r="IS83" s="35"/>
      <c r="IT83" s="35"/>
      <c r="IU83" s="35"/>
      <c r="IV83" s="35"/>
      <c r="IW83" s="35"/>
      <c r="IX83" s="35"/>
      <c r="IY83" s="35"/>
      <c r="IZ83" s="35"/>
      <c r="JA83" s="35"/>
      <c r="JB83" s="35"/>
      <c r="JC83" s="35"/>
      <c r="JD83" s="35"/>
      <c r="JE83" s="35"/>
      <c r="JF83" s="35"/>
      <c r="JG83" s="35"/>
      <c r="JH83" s="35"/>
      <c r="JI83" s="35"/>
      <c r="JJ83" s="35"/>
      <c r="JK83" s="35"/>
      <c r="JL83" s="35"/>
      <c r="JM83" s="35"/>
      <c r="JN83" s="35"/>
      <c r="JO83" s="35"/>
      <c r="JP83" s="35"/>
      <c r="JQ83" s="35"/>
      <c r="JR83" s="35"/>
      <c r="JS83" s="35"/>
      <c r="JT83" s="35"/>
      <c r="JU83" s="35"/>
      <c r="JV83" s="35"/>
      <c r="JW83" s="35"/>
      <c r="JX83" s="35"/>
      <c r="JY83" s="35"/>
      <c r="JZ83" s="35"/>
      <c r="KA83" s="35"/>
      <c r="KB83" s="35"/>
      <c r="KC83" s="35"/>
      <c r="KD83" s="35"/>
      <c r="KE83" s="35"/>
      <c r="KF83" s="35"/>
      <c r="KG83" s="35"/>
      <c r="KH83" s="35"/>
      <c r="KI83" s="35"/>
      <c r="KJ83" s="35"/>
      <c r="KK83" s="35"/>
      <c r="KL83" s="35"/>
      <c r="KM83" s="35"/>
      <c r="KN83" s="35"/>
      <c r="KO83" s="35"/>
      <c r="KP83" s="35"/>
      <c r="KQ83" s="35"/>
      <c r="KR83" s="35"/>
      <c r="KS83" s="35"/>
      <c r="KT83" s="35"/>
      <c r="KU83" s="35"/>
      <c r="KV83" s="35"/>
      <c r="KW83" s="35"/>
      <c r="KX83" s="35"/>
      <c r="KY83" s="35"/>
      <c r="KZ83" s="35"/>
      <c r="LA83" s="35"/>
      <c r="LB83" s="35"/>
      <c r="LC83" s="35"/>
      <c r="LD83" s="35"/>
      <c r="LE83" s="35"/>
      <c r="LF83" s="35"/>
      <c r="LG83" s="35"/>
      <c r="LH83" s="35"/>
      <c r="LI83" s="35"/>
      <c r="LJ83" s="35"/>
      <c r="LK83" s="35"/>
      <c r="LL83" s="35"/>
      <c r="LM83" s="35"/>
      <c r="LN83" s="35"/>
      <c r="LO83" s="35"/>
      <c r="LP83" s="35"/>
      <c r="LQ83" s="35"/>
      <c r="LR83" s="35"/>
      <c r="LS83" s="35"/>
      <c r="LT83" s="35"/>
      <c r="LU83" s="35"/>
      <c r="LV83" s="35"/>
      <c r="LW83" s="35"/>
      <c r="LX83" s="35"/>
      <c r="LY83" s="35"/>
      <c r="LZ83" s="35"/>
      <c r="MA83" s="35"/>
      <c r="MB83" s="35"/>
      <c r="MC83" s="35"/>
      <c r="MD83" s="35"/>
      <c r="ME83" s="35"/>
      <c r="MF83" s="35"/>
      <c r="MG83" s="35"/>
    </row>
    <row r="84" spans="2:345" s="67" customFormat="1" ht="36" hidden="1" customHeight="1" x14ac:dyDescent="0.25">
      <c r="B84" s="28">
        <v>4143</v>
      </c>
      <c r="C84" s="24" t="s">
        <v>15</v>
      </c>
      <c r="D84" s="19" t="s">
        <v>4350</v>
      </c>
      <c r="E84" s="18">
        <v>42530</v>
      </c>
      <c r="F84" s="27">
        <f t="shared" ca="1" si="2"/>
        <v>1943</v>
      </c>
      <c r="G84" s="69"/>
      <c r="H84" s="68"/>
      <c r="I84" s="25"/>
      <c r="J84" s="25"/>
      <c r="K84" s="68"/>
      <c r="L84" s="68">
        <v>42590</v>
      </c>
      <c r="M84" s="68"/>
      <c r="N84" s="22"/>
      <c r="O84" s="26"/>
      <c r="P84" s="35"/>
      <c r="Q84" s="35"/>
      <c r="R84" s="20"/>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35"/>
      <c r="AS84" s="35"/>
      <c r="AT84" s="35"/>
      <c r="AU84" s="35"/>
      <c r="AV84" s="35"/>
      <c r="AW84" s="35"/>
      <c r="AX84" s="35"/>
      <c r="AY84" s="35"/>
      <c r="AZ84" s="35"/>
      <c r="BA84" s="35"/>
      <c r="BB84" s="35"/>
      <c r="BC84" s="35"/>
      <c r="BD84" s="35"/>
      <c r="BE84" s="35"/>
      <c r="BF84" s="35"/>
      <c r="BG84" s="35"/>
      <c r="BH84" s="35"/>
      <c r="BI84" s="35"/>
      <c r="BJ84" s="35"/>
      <c r="BK84" s="35"/>
      <c r="BL84" s="35"/>
      <c r="BM84" s="35"/>
      <c r="BN84" s="35"/>
      <c r="BO84" s="35"/>
      <c r="BP84" s="35"/>
      <c r="BQ84" s="35"/>
      <c r="BR84" s="35"/>
      <c r="BS84" s="35"/>
      <c r="BT84" s="35"/>
      <c r="BU84" s="35"/>
      <c r="BV84" s="35"/>
      <c r="BW84" s="35"/>
      <c r="BX84" s="35"/>
      <c r="BY84" s="35"/>
      <c r="BZ84" s="35"/>
      <c r="CA84" s="35"/>
      <c r="CB84" s="35"/>
      <c r="CC84" s="35"/>
      <c r="CD84" s="35"/>
      <c r="CE84" s="35"/>
      <c r="CF84" s="35"/>
      <c r="CG84" s="35"/>
      <c r="CH84" s="35"/>
      <c r="CI84" s="35"/>
      <c r="CJ84" s="35"/>
      <c r="CK84" s="35"/>
      <c r="CL84" s="35"/>
      <c r="CM84" s="35"/>
      <c r="CN84" s="35"/>
      <c r="CO84" s="35"/>
      <c r="CP84" s="35"/>
      <c r="CQ84" s="35"/>
      <c r="CR84" s="35"/>
      <c r="CS84" s="35"/>
      <c r="CT84" s="35"/>
      <c r="CU84" s="35"/>
      <c r="CV84" s="35"/>
      <c r="CW84" s="35"/>
      <c r="CX84" s="35"/>
      <c r="CY84" s="35"/>
      <c r="CZ84" s="35"/>
      <c r="DA84" s="35"/>
      <c r="DB84" s="35"/>
      <c r="DC84" s="35"/>
      <c r="DD84" s="35"/>
      <c r="DE84" s="35"/>
      <c r="DF84" s="35"/>
      <c r="DG84" s="35"/>
      <c r="DH84" s="35"/>
      <c r="DI84" s="35"/>
      <c r="DJ84" s="35"/>
      <c r="DK84" s="35"/>
      <c r="DL84" s="35"/>
      <c r="DM84" s="35"/>
      <c r="DN84" s="35"/>
      <c r="DO84" s="35"/>
      <c r="DP84" s="35"/>
      <c r="DQ84" s="35"/>
      <c r="DR84" s="35"/>
      <c r="DS84" s="35"/>
      <c r="DT84" s="35"/>
      <c r="DU84" s="35"/>
      <c r="DV84" s="35"/>
      <c r="DW84" s="35"/>
      <c r="DX84" s="35"/>
      <c r="DY84" s="35"/>
      <c r="DZ84" s="35"/>
      <c r="EA84" s="35"/>
      <c r="EB84" s="35"/>
      <c r="EC84" s="35"/>
      <c r="ED84" s="35"/>
      <c r="EE84" s="35"/>
      <c r="EF84" s="35"/>
      <c r="EG84" s="35"/>
      <c r="EH84" s="35"/>
      <c r="EI84" s="35"/>
      <c r="EJ84" s="35"/>
      <c r="EK84" s="35"/>
      <c r="EL84" s="35"/>
      <c r="EM84" s="35"/>
      <c r="EN84" s="35"/>
      <c r="EO84" s="35"/>
      <c r="EP84" s="35"/>
      <c r="EQ84" s="35"/>
      <c r="ER84" s="35"/>
      <c r="ES84" s="35"/>
      <c r="ET84" s="35"/>
      <c r="EU84" s="35"/>
      <c r="EV84" s="35"/>
      <c r="EW84" s="35"/>
      <c r="EX84" s="35"/>
      <c r="EY84" s="35"/>
      <c r="EZ84" s="35"/>
      <c r="FA84" s="35"/>
      <c r="FB84" s="35"/>
      <c r="FC84" s="35"/>
      <c r="FD84" s="35"/>
      <c r="FE84" s="35"/>
      <c r="FF84" s="35"/>
      <c r="FG84" s="35"/>
      <c r="FH84" s="35"/>
      <c r="FI84" s="35"/>
      <c r="FJ84" s="35"/>
      <c r="FK84" s="35"/>
      <c r="FL84" s="35"/>
      <c r="FM84" s="35"/>
      <c r="FN84" s="35"/>
      <c r="FO84" s="35"/>
      <c r="FP84" s="35"/>
      <c r="FQ84" s="35"/>
      <c r="FR84" s="35"/>
      <c r="FS84" s="35"/>
      <c r="FT84" s="35"/>
      <c r="FU84" s="35"/>
      <c r="FV84" s="35"/>
      <c r="FW84" s="35"/>
      <c r="FX84" s="35"/>
      <c r="FY84" s="35"/>
      <c r="FZ84" s="35"/>
      <c r="GA84" s="35"/>
      <c r="GB84" s="35"/>
      <c r="GC84" s="35"/>
      <c r="GD84" s="35"/>
      <c r="GE84" s="35"/>
      <c r="GF84" s="35"/>
      <c r="GG84" s="35"/>
      <c r="GH84" s="35"/>
      <c r="GI84" s="35"/>
      <c r="GJ84" s="35"/>
      <c r="GK84" s="35"/>
      <c r="GL84" s="35"/>
      <c r="GM84" s="35"/>
      <c r="GN84" s="35"/>
      <c r="GO84" s="35"/>
      <c r="GP84" s="35"/>
      <c r="GQ84" s="35"/>
      <c r="GR84" s="35"/>
      <c r="GS84" s="35"/>
      <c r="GT84" s="35"/>
      <c r="GU84" s="35"/>
      <c r="GV84" s="35"/>
      <c r="GW84" s="35"/>
      <c r="GX84" s="35"/>
      <c r="GY84" s="35"/>
      <c r="GZ84" s="35"/>
      <c r="HA84" s="35"/>
      <c r="HB84" s="35"/>
      <c r="HC84" s="35"/>
      <c r="HD84" s="35"/>
      <c r="HE84" s="35"/>
      <c r="HF84" s="35"/>
      <c r="HG84" s="35"/>
      <c r="HH84" s="35"/>
      <c r="HI84" s="35"/>
      <c r="HJ84" s="35"/>
      <c r="HK84" s="35"/>
      <c r="HL84" s="35"/>
      <c r="HM84" s="35"/>
      <c r="HN84" s="35"/>
      <c r="HO84" s="35"/>
      <c r="HP84" s="35"/>
      <c r="HQ84" s="35"/>
      <c r="HR84" s="35"/>
      <c r="HS84" s="35"/>
      <c r="HT84" s="35"/>
      <c r="HU84" s="35"/>
      <c r="HV84" s="35"/>
      <c r="HW84" s="35"/>
      <c r="HX84" s="35"/>
      <c r="HY84" s="35"/>
      <c r="HZ84" s="35"/>
      <c r="IA84" s="35"/>
      <c r="IB84" s="35"/>
      <c r="IC84" s="35"/>
      <c r="ID84" s="35"/>
      <c r="IE84" s="35"/>
      <c r="IF84" s="35"/>
      <c r="IG84" s="35"/>
      <c r="IH84" s="35"/>
      <c r="II84" s="35"/>
      <c r="IJ84" s="35"/>
      <c r="IK84" s="35"/>
      <c r="IL84" s="35"/>
      <c r="IM84" s="35"/>
      <c r="IN84" s="35"/>
      <c r="IO84" s="35"/>
      <c r="IP84" s="35"/>
      <c r="IQ84" s="35"/>
      <c r="IR84" s="35"/>
      <c r="IS84" s="35"/>
      <c r="IT84" s="35"/>
      <c r="IU84" s="35"/>
      <c r="IV84" s="35"/>
      <c r="IW84" s="35"/>
      <c r="IX84" s="35"/>
      <c r="IY84" s="35"/>
      <c r="IZ84" s="35"/>
      <c r="JA84" s="35"/>
      <c r="JB84" s="35"/>
      <c r="JC84" s="35"/>
      <c r="JD84" s="35"/>
      <c r="JE84" s="35"/>
      <c r="JF84" s="35"/>
      <c r="JG84" s="35"/>
      <c r="JH84" s="35"/>
      <c r="JI84" s="35"/>
      <c r="JJ84" s="35"/>
      <c r="JK84" s="35"/>
      <c r="JL84" s="35"/>
      <c r="JM84" s="35"/>
      <c r="JN84" s="35"/>
      <c r="JO84" s="35"/>
      <c r="JP84" s="35"/>
      <c r="JQ84" s="35"/>
      <c r="JR84" s="35"/>
      <c r="JS84" s="35"/>
      <c r="JT84" s="35"/>
      <c r="JU84" s="35"/>
      <c r="JV84" s="35"/>
      <c r="JW84" s="35"/>
      <c r="JX84" s="35"/>
      <c r="JY84" s="35"/>
      <c r="JZ84" s="35"/>
      <c r="KA84" s="35"/>
      <c r="KB84" s="35"/>
      <c r="KC84" s="35"/>
      <c r="KD84" s="35"/>
      <c r="KE84" s="35"/>
      <c r="KF84" s="35"/>
      <c r="KG84" s="35"/>
      <c r="KH84" s="35"/>
      <c r="KI84" s="35"/>
      <c r="KJ84" s="35"/>
      <c r="KK84" s="35"/>
      <c r="KL84" s="35"/>
      <c r="KM84" s="35"/>
      <c r="KN84" s="35"/>
      <c r="KO84" s="35"/>
      <c r="KP84" s="35"/>
      <c r="KQ84" s="35"/>
      <c r="KR84" s="35"/>
      <c r="KS84" s="35"/>
      <c r="KT84" s="35"/>
      <c r="KU84" s="35"/>
      <c r="KV84" s="35"/>
      <c r="KW84" s="35"/>
      <c r="KX84" s="35"/>
      <c r="KY84" s="35"/>
      <c r="KZ84" s="35"/>
      <c r="LA84" s="35"/>
      <c r="LB84" s="35"/>
      <c r="LC84" s="35"/>
      <c r="LD84" s="35"/>
      <c r="LE84" s="35"/>
      <c r="LF84" s="35"/>
      <c r="LG84" s="35"/>
      <c r="LH84" s="35"/>
      <c r="LI84" s="35"/>
      <c r="LJ84" s="35"/>
      <c r="LK84" s="35"/>
      <c r="LL84" s="35"/>
      <c r="LM84" s="35"/>
      <c r="LN84" s="35"/>
      <c r="LO84" s="35"/>
      <c r="LP84" s="35"/>
      <c r="LQ84" s="35"/>
      <c r="LR84" s="35"/>
      <c r="LS84" s="35"/>
      <c r="LT84" s="35"/>
      <c r="LU84" s="35"/>
      <c r="LV84" s="35"/>
      <c r="LW84" s="35"/>
      <c r="LX84" s="35"/>
      <c r="LY84" s="35"/>
      <c r="LZ84" s="35"/>
      <c r="MA84" s="35"/>
      <c r="MB84" s="35"/>
      <c r="MC84" s="35"/>
      <c r="MD84" s="35"/>
      <c r="ME84" s="35"/>
      <c r="MF84" s="35"/>
      <c r="MG84" s="35"/>
    </row>
    <row r="85" spans="2:345" s="67" customFormat="1" ht="36" hidden="1" customHeight="1" x14ac:dyDescent="0.25">
      <c r="B85" s="28">
        <v>4184</v>
      </c>
      <c r="C85" s="24" t="s">
        <v>40</v>
      </c>
      <c r="D85" s="19" t="s">
        <v>4348</v>
      </c>
      <c r="E85" s="18">
        <v>42530</v>
      </c>
      <c r="F85" s="27">
        <f t="shared" ca="1" si="2"/>
        <v>1943</v>
      </c>
      <c r="G85" s="69"/>
      <c r="H85" s="68"/>
      <c r="I85" s="25"/>
      <c r="J85" s="25"/>
      <c r="K85" s="68"/>
      <c r="L85" s="68">
        <v>42559</v>
      </c>
      <c r="M85" s="68"/>
      <c r="N85" s="22" t="s">
        <v>4387</v>
      </c>
      <c r="O85" s="26"/>
      <c r="P85" s="35"/>
      <c r="Q85" s="35"/>
      <c r="R85" s="20"/>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35"/>
      <c r="AS85" s="35"/>
      <c r="AT85" s="35"/>
      <c r="AU85" s="35"/>
      <c r="AV85" s="35"/>
      <c r="AW85" s="35"/>
      <c r="AX85" s="35"/>
      <c r="AY85" s="35"/>
      <c r="AZ85" s="35"/>
      <c r="BA85" s="35"/>
      <c r="BB85" s="35"/>
      <c r="BC85" s="35"/>
      <c r="BD85" s="35"/>
      <c r="BE85" s="35"/>
      <c r="BF85" s="35"/>
      <c r="BG85" s="35"/>
      <c r="BH85" s="35"/>
      <c r="BI85" s="35"/>
      <c r="BJ85" s="35"/>
      <c r="BK85" s="35"/>
      <c r="BL85" s="35"/>
      <c r="BM85" s="35"/>
      <c r="BN85" s="35"/>
      <c r="BO85" s="35"/>
      <c r="BP85" s="35"/>
      <c r="BQ85" s="35"/>
      <c r="BR85" s="35"/>
      <c r="BS85" s="35"/>
      <c r="BT85" s="35"/>
      <c r="BU85" s="35"/>
      <c r="BV85" s="35"/>
      <c r="BW85" s="35"/>
      <c r="BX85" s="35"/>
      <c r="BY85" s="35"/>
      <c r="BZ85" s="35"/>
      <c r="CA85" s="35"/>
      <c r="CB85" s="35"/>
      <c r="CC85" s="35"/>
      <c r="CD85" s="35"/>
      <c r="CE85" s="35"/>
      <c r="CF85" s="35"/>
      <c r="CG85" s="35"/>
      <c r="CH85" s="35"/>
      <c r="CI85" s="35"/>
      <c r="CJ85" s="35"/>
      <c r="CK85" s="35"/>
      <c r="CL85" s="35"/>
      <c r="CM85" s="35"/>
      <c r="CN85" s="35"/>
      <c r="CO85" s="35"/>
      <c r="CP85" s="35"/>
      <c r="CQ85" s="35"/>
      <c r="CR85" s="35"/>
      <c r="CS85" s="35"/>
      <c r="CT85" s="35"/>
      <c r="CU85" s="35"/>
      <c r="CV85" s="35"/>
      <c r="CW85" s="35"/>
      <c r="CX85" s="35"/>
      <c r="CY85" s="35"/>
      <c r="CZ85" s="35"/>
      <c r="DA85" s="35"/>
      <c r="DB85" s="35"/>
      <c r="DC85" s="35"/>
      <c r="DD85" s="35"/>
      <c r="DE85" s="35"/>
      <c r="DF85" s="35"/>
      <c r="DG85" s="35"/>
      <c r="DH85" s="35"/>
      <c r="DI85" s="35"/>
      <c r="DJ85" s="35"/>
      <c r="DK85" s="35"/>
      <c r="DL85" s="35"/>
      <c r="DM85" s="35"/>
      <c r="DN85" s="35"/>
      <c r="DO85" s="35"/>
      <c r="DP85" s="35"/>
      <c r="DQ85" s="35"/>
      <c r="DR85" s="35"/>
      <c r="DS85" s="35"/>
      <c r="DT85" s="35"/>
      <c r="DU85" s="35"/>
      <c r="DV85" s="35"/>
      <c r="DW85" s="35"/>
      <c r="DX85" s="35"/>
      <c r="DY85" s="35"/>
      <c r="DZ85" s="35"/>
      <c r="EA85" s="35"/>
      <c r="EB85" s="35"/>
      <c r="EC85" s="35"/>
      <c r="ED85" s="35"/>
      <c r="EE85" s="35"/>
      <c r="EF85" s="35"/>
      <c r="EG85" s="35"/>
      <c r="EH85" s="35"/>
      <c r="EI85" s="35"/>
      <c r="EJ85" s="35"/>
      <c r="EK85" s="35"/>
      <c r="EL85" s="35"/>
      <c r="EM85" s="35"/>
      <c r="EN85" s="35"/>
      <c r="EO85" s="35"/>
      <c r="EP85" s="35"/>
      <c r="EQ85" s="35"/>
      <c r="ER85" s="35"/>
      <c r="ES85" s="35"/>
      <c r="ET85" s="35"/>
      <c r="EU85" s="35"/>
      <c r="EV85" s="35"/>
      <c r="EW85" s="35"/>
      <c r="EX85" s="35"/>
      <c r="EY85" s="35"/>
      <c r="EZ85" s="35"/>
      <c r="FA85" s="35"/>
      <c r="FB85" s="35"/>
      <c r="FC85" s="35"/>
      <c r="FD85" s="35"/>
      <c r="FE85" s="35"/>
      <c r="FF85" s="35"/>
      <c r="FG85" s="35"/>
      <c r="FH85" s="35"/>
      <c r="FI85" s="35"/>
      <c r="FJ85" s="35"/>
      <c r="FK85" s="35"/>
      <c r="FL85" s="35"/>
      <c r="FM85" s="35"/>
      <c r="FN85" s="35"/>
      <c r="FO85" s="35"/>
      <c r="FP85" s="35"/>
      <c r="FQ85" s="35"/>
      <c r="FR85" s="35"/>
      <c r="FS85" s="35"/>
      <c r="FT85" s="35"/>
      <c r="FU85" s="35"/>
      <c r="FV85" s="35"/>
      <c r="FW85" s="35"/>
      <c r="FX85" s="35"/>
      <c r="FY85" s="35"/>
      <c r="FZ85" s="35"/>
      <c r="GA85" s="35"/>
      <c r="GB85" s="35"/>
      <c r="GC85" s="35"/>
      <c r="GD85" s="35"/>
      <c r="GE85" s="35"/>
      <c r="GF85" s="35"/>
      <c r="GG85" s="35"/>
      <c r="GH85" s="35"/>
      <c r="GI85" s="35"/>
      <c r="GJ85" s="35"/>
      <c r="GK85" s="35"/>
      <c r="GL85" s="35"/>
      <c r="GM85" s="35"/>
      <c r="GN85" s="35"/>
      <c r="GO85" s="35"/>
      <c r="GP85" s="35"/>
      <c r="GQ85" s="35"/>
      <c r="GR85" s="35"/>
      <c r="GS85" s="35"/>
      <c r="GT85" s="35"/>
      <c r="GU85" s="35"/>
      <c r="GV85" s="35"/>
      <c r="GW85" s="35"/>
      <c r="GX85" s="35"/>
      <c r="GY85" s="35"/>
      <c r="GZ85" s="35"/>
      <c r="HA85" s="35"/>
      <c r="HB85" s="35"/>
      <c r="HC85" s="35"/>
      <c r="HD85" s="35"/>
      <c r="HE85" s="35"/>
      <c r="HF85" s="35"/>
      <c r="HG85" s="35"/>
      <c r="HH85" s="35"/>
      <c r="HI85" s="35"/>
      <c r="HJ85" s="35"/>
      <c r="HK85" s="35"/>
      <c r="HL85" s="35"/>
      <c r="HM85" s="35"/>
      <c r="HN85" s="35"/>
      <c r="HO85" s="35"/>
      <c r="HP85" s="35"/>
      <c r="HQ85" s="35"/>
      <c r="HR85" s="35"/>
      <c r="HS85" s="35"/>
      <c r="HT85" s="35"/>
      <c r="HU85" s="35"/>
      <c r="HV85" s="35"/>
      <c r="HW85" s="35"/>
      <c r="HX85" s="35"/>
      <c r="HY85" s="35"/>
      <c r="HZ85" s="35"/>
      <c r="IA85" s="35"/>
      <c r="IB85" s="35"/>
      <c r="IC85" s="35"/>
      <c r="ID85" s="35"/>
      <c r="IE85" s="35"/>
      <c r="IF85" s="35"/>
      <c r="IG85" s="35"/>
      <c r="IH85" s="35"/>
      <c r="II85" s="35"/>
      <c r="IJ85" s="35"/>
      <c r="IK85" s="35"/>
      <c r="IL85" s="35"/>
      <c r="IM85" s="35"/>
      <c r="IN85" s="35"/>
      <c r="IO85" s="35"/>
      <c r="IP85" s="35"/>
      <c r="IQ85" s="35"/>
      <c r="IR85" s="35"/>
      <c r="IS85" s="35"/>
      <c r="IT85" s="35"/>
      <c r="IU85" s="35"/>
      <c r="IV85" s="35"/>
      <c r="IW85" s="35"/>
      <c r="IX85" s="35"/>
      <c r="IY85" s="35"/>
      <c r="IZ85" s="35"/>
      <c r="JA85" s="35"/>
      <c r="JB85" s="35"/>
      <c r="JC85" s="35"/>
      <c r="JD85" s="35"/>
      <c r="JE85" s="35"/>
      <c r="JF85" s="35"/>
      <c r="JG85" s="35"/>
      <c r="JH85" s="35"/>
      <c r="JI85" s="35"/>
      <c r="JJ85" s="35"/>
      <c r="JK85" s="35"/>
      <c r="JL85" s="35"/>
      <c r="JM85" s="35"/>
      <c r="JN85" s="35"/>
      <c r="JO85" s="35"/>
      <c r="JP85" s="35"/>
      <c r="JQ85" s="35"/>
      <c r="JR85" s="35"/>
      <c r="JS85" s="35"/>
      <c r="JT85" s="35"/>
      <c r="JU85" s="35"/>
      <c r="JV85" s="35"/>
      <c r="JW85" s="35"/>
      <c r="JX85" s="35"/>
      <c r="JY85" s="35"/>
      <c r="JZ85" s="35"/>
      <c r="KA85" s="35"/>
      <c r="KB85" s="35"/>
      <c r="KC85" s="35"/>
      <c r="KD85" s="35"/>
      <c r="KE85" s="35"/>
      <c r="KF85" s="35"/>
      <c r="KG85" s="35"/>
      <c r="KH85" s="35"/>
      <c r="KI85" s="35"/>
      <c r="KJ85" s="35"/>
      <c r="KK85" s="35"/>
      <c r="KL85" s="35"/>
      <c r="KM85" s="35"/>
      <c r="KN85" s="35"/>
      <c r="KO85" s="35"/>
      <c r="KP85" s="35"/>
      <c r="KQ85" s="35"/>
      <c r="KR85" s="35"/>
      <c r="KS85" s="35"/>
      <c r="KT85" s="35"/>
      <c r="KU85" s="35"/>
      <c r="KV85" s="35"/>
      <c r="KW85" s="35"/>
      <c r="KX85" s="35"/>
      <c r="KY85" s="35"/>
      <c r="KZ85" s="35"/>
      <c r="LA85" s="35"/>
      <c r="LB85" s="35"/>
      <c r="LC85" s="35"/>
      <c r="LD85" s="35"/>
      <c r="LE85" s="35"/>
      <c r="LF85" s="35"/>
      <c r="LG85" s="35"/>
      <c r="LH85" s="35"/>
      <c r="LI85" s="35"/>
      <c r="LJ85" s="35"/>
      <c r="LK85" s="35"/>
      <c r="LL85" s="35"/>
      <c r="LM85" s="35"/>
      <c r="LN85" s="35"/>
      <c r="LO85" s="35"/>
      <c r="LP85" s="35"/>
      <c r="LQ85" s="35"/>
      <c r="LR85" s="35"/>
      <c r="LS85" s="35"/>
      <c r="LT85" s="35"/>
      <c r="LU85" s="35"/>
      <c r="LV85" s="35"/>
      <c r="LW85" s="35"/>
      <c r="LX85" s="35"/>
      <c r="LY85" s="35"/>
      <c r="LZ85" s="35"/>
      <c r="MA85" s="35"/>
      <c r="MB85" s="35"/>
      <c r="MC85" s="35"/>
      <c r="MD85" s="35"/>
      <c r="ME85" s="35"/>
      <c r="MF85" s="35"/>
      <c r="MG85" s="35"/>
    </row>
    <row r="86" spans="2:345" s="67" customFormat="1" ht="36" hidden="1" customHeight="1" x14ac:dyDescent="0.25">
      <c r="B86" s="28">
        <v>4184</v>
      </c>
      <c r="C86" s="24" t="s">
        <v>37</v>
      </c>
      <c r="D86" s="19" t="s">
        <v>4388</v>
      </c>
      <c r="E86" s="18">
        <v>42530</v>
      </c>
      <c r="F86" s="27">
        <f t="shared" ca="1" si="2"/>
        <v>1943</v>
      </c>
      <c r="G86" s="69"/>
      <c r="H86" s="68"/>
      <c r="I86" s="25"/>
      <c r="J86" s="25"/>
      <c r="K86" s="68"/>
      <c r="L86" s="68">
        <v>42559</v>
      </c>
      <c r="M86" s="68"/>
      <c r="N86" s="22"/>
      <c r="O86" s="26"/>
      <c r="P86" s="35"/>
      <c r="Q86" s="35"/>
      <c r="R86" s="20"/>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35"/>
      <c r="BK86" s="35"/>
      <c r="BL86" s="35"/>
      <c r="BM86" s="35"/>
      <c r="BN86" s="35"/>
      <c r="BO86" s="35"/>
      <c r="BP86" s="35"/>
      <c r="BQ86" s="35"/>
      <c r="BR86" s="35"/>
      <c r="BS86" s="35"/>
      <c r="BT86" s="35"/>
      <c r="BU86" s="35"/>
      <c r="BV86" s="35"/>
      <c r="BW86" s="35"/>
      <c r="BX86" s="35"/>
      <c r="BY86" s="35"/>
      <c r="BZ86" s="35"/>
      <c r="CA86" s="35"/>
      <c r="CB86" s="35"/>
      <c r="CC86" s="35"/>
      <c r="CD86" s="35"/>
      <c r="CE86" s="35"/>
      <c r="CF86" s="35"/>
      <c r="CG86" s="35"/>
      <c r="CH86" s="35"/>
      <c r="CI86" s="35"/>
      <c r="CJ86" s="35"/>
      <c r="CK86" s="35"/>
      <c r="CL86" s="35"/>
      <c r="CM86" s="35"/>
      <c r="CN86" s="35"/>
      <c r="CO86" s="35"/>
      <c r="CP86" s="35"/>
      <c r="CQ86" s="35"/>
      <c r="CR86" s="35"/>
      <c r="CS86" s="35"/>
      <c r="CT86" s="35"/>
      <c r="CU86" s="35"/>
      <c r="CV86" s="35"/>
      <c r="CW86" s="35"/>
      <c r="CX86" s="35"/>
      <c r="CY86" s="35"/>
      <c r="CZ86" s="35"/>
      <c r="DA86" s="35"/>
      <c r="DB86" s="35"/>
      <c r="DC86" s="35"/>
      <c r="DD86" s="35"/>
      <c r="DE86" s="35"/>
      <c r="DF86" s="35"/>
      <c r="DG86" s="35"/>
      <c r="DH86" s="35"/>
      <c r="DI86" s="35"/>
      <c r="DJ86" s="35"/>
      <c r="DK86" s="35"/>
      <c r="DL86" s="35"/>
      <c r="DM86" s="35"/>
      <c r="DN86" s="35"/>
      <c r="DO86" s="35"/>
      <c r="DP86" s="35"/>
      <c r="DQ86" s="35"/>
      <c r="DR86" s="35"/>
      <c r="DS86" s="35"/>
      <c r="DT86" s="35"/>
      <c r="DU86" s="35"/>
      <c r="DV86" s="35"/>
      <c r="DW86" s="35"/>
      <c r="DX86" s="35"/>
      <c r="DY86" s="35"/>
      <c r="DZ86" s="35"/>
      <c r="EA86" s="35"/>
      <c r="EB86" s="35"/>
      <c r="EC86" s="35"/>
      <c r="ED86" s="35"/>
      <c r="EE86" s="35"/>
      <c r="EF86" s="35"/>
      <c r="EG86" s="35"/>
      <c r="EH86" s="35"/>
      <c r="EI86" s="35"/>
      <c r="EJ86" s="35"/>
      <c r="EK86" s="35"/>
      <c r="EL86" s="35"/>
      <c r="EM86" s="35"/>
      <c r="EN86" s="35"/>
      <c r="EO86" s="35"/>
      <c r="EP86" s="35"/>
      <c r="EQ86" s="35"/>
      <c r="ER86" s="35"/>
      <c r="ES86" s="35"/>
      <c r="ET86" s="35"/>
      <c r="EU86" s="35"/>
      <c r="EV86" s="35"/>
      <c r="EW86" s="35"/>
      <c r="EX86" s="35"/>
      <c r="EY86" s="35"/>
      <c r="EZ86" s="35"/>
      <c r="FA86" s="35"/>
      <c r="FB86" s="35"/>
      <c r="FC86" s="35"/>
      <c r="FD86" s="35"/>
      <c r="FE86" s="35"/>
      <c r="FF86" s="35"/>
      <c r="FG86" s="35"/>
      <c r="FH86" s="35"/>
      <c r="FI86" s="35"/>
      <c r="FJ86" s="35"/>
      <c r="FK86" s="35"/>
      <c r="FL86" s="35"/>
      <c r="FM86" s="35"/>
      <c r="FN86" s="35"/>
      <c r="FO86" s="35"/>
      <c r="FP86" s="35"/>
      <c r="FQ86" s="35"/>
      <c r="FR86" s="35"/>
      <c r="FS86" s="35"/>
      <c r="FT86" s="35"/>
      <c r="FU86" s="35"/>
      <c r="FV86" s="35"/>
      <c r="FW86" s="35"/>
      <c r="FX86" s="35"/>
      <c r="FY86" s="35"/>
      <c r="FZ86" s="35"/>
      <c r="GA86" s="35"/>
      <c r="GB86" s="35"/>
      <c r="GC86" s="35"/>
      <c r="GD86" s="35"/>
      <c r="GE86" s="35"/>
      <c r="GF86" s="35"/>
      <c r="GG86" s="35"/>
      <c r="GH86" s="35"/>
      <c r="GI86" s="35"/>
      <c r="GJ86" s="35"/>
      <c r="GK86" s="35"/>
      <c r="GL86" s="35"/>
      <c r="GM86" s="35"/>
      <c r="GN86" s="35"/>
      <c r="GO86" s="35"/>
      <c r="GP86" s="35"/>
      <c r="GQ86" s="35"/>
      <c r="GR86" s="35"/>
      <c r="GS86" s="35"/>
      <c r="GT86" s="35"/>
      <c r="GU86" s="35"/>
      <c r="GV86" s="35"/>
      <c r="GW86" s="35"/>
      <c r="GX86" s="35"/>
      <c r="GY86" s="35"/>
      <c r="GZ86" s="35"/>
      <c r="HA86" s="35"/>
      <c r="HB86" s="35"/>
      <c r="HC86" s="35"/>
      <c r="HD86" s="35"/>
      <c r="HE86" s="35"/>
      <c r="HF86" s="35"/>
      <c r="HG86" s="35"/>
      <c r="HH86" s="35"/>
      <c r="HI86" s="35"/>
      <c r="HJ86" s="35"/>
      <c r="HK86" s="35"/>
      <c r="HL86" s="35"/>
      <c r="HM86" s="35"/>
      <c r="HN86" s="35"/>
      <c r="HO86" s="35"/>
      <c r="HP86" s="35"/>
      <c r="HQ86" s="35"/>
      <c r="HR86" s="35"/>
      <c r="HS86" s="35"/>
      <c r="HT86" s="35"/>
      <c r="HU86" s="35"/>
      <c r="HV86" s="35"/>
      <c r="HW86" s="35"/>
      <c r="HX86" s="35"/>
      <c r="HY86" s="35"/>
      <c r="HZ86" s="35"/>
      <c r="IA86" s="35"/>
      <c r="IB86" s="35"/>
      <c r="IC86" s="35"/>
      <c r="ID86" s="35"/>
      <c r="IE86" s="35"/>
      <c r="IF86" s="35"/>
      <c r="IG86" s="35"/>
      <c r="IH86" s="35"/>
      <c r="II86" s="35"/>
      <c r="IJ86" s="35"/>
      <c r="IK86" s="35"/>
      <c r="IL86" s="35"/>
      <c r="IM86" s="35"/>
      <c r="IN86" s="35"/>
      <c r="IO86" s="35"/>
      <c r="IP86" s="35"/>
      <c r="IQ86" s="35"/>
      <c r="IR86" s="35"/>
      <c r="IS86" s="35"/>
      <c r="IT86" s="35"/>
      <c r="IU86" s="35"/>
      <c r="IV86" s="35"/>
      <c r="IW86" s="35"/>
      <c r="IX86" s="35"/>
      <c r="IY86" s="35"/>
      <c r="IZ86" s="35"/>
      <c r="JA86" s="35"/>
      <c r="JB86" s="35"/>
      <c r="JC86" s="35"/>
      <c r="JD86" s="35"/>
      <c r="JE86" s="35"/>
      <c r="JF86" s="35"/>
      <c r="JG86" s="35"/>
      <c r="JH86" s="35"/>
      <c r="JI86" s="35"/>
      <c r="JJ86" s="35"/>
      <c r="JK86" s="35"/>
      <c r="JL86" s="35"/>
      <c r="JM86" s="35"/>
      <c r="JN86" s="35"/>
      <c r="JO86" s="35"/>
      <c r="JP86" s="35"/>
      <c r="JQ86" s="35"/>
      <c r="JR86" s="35"/>
      <c r="JS86" s="35"/>
      <c r="JT86" s="35"/>
      <c r="JU86" s="35"/>
      <c r="JV86" s="35"/>
      <c r="JW86" s="35"/>
      <c r="JX86" s="35"/>
      <c r="JY86" s="35"/>
      <c r="JZ86" s="35"/>
      <c r="KA86" s="35"/>
      <c r="KB86" s="35"/>
      <c r="KC86" s="35"/>
      <c r="KD86" s="35"/>
      <c r="KE86" s="35"/>
      <c r="KF86" s="35"/>
      <c r="KG86" s="35"/>
      <c r="KH86" s="35"/>
      <c r="KI86" s="35"/>
      <c r="KJ86" s="35"/>
      <c r="KK86" s="35"/>
      <c r="KL86" s="35"/>
      <c r="KM86" s="35"/>
      <c r="KN86" s="35"/>
      <c r="KO86" s="35"/>
      <c r="KP86" s="35"/>
      <c r="KQ86" s="35"/>
      <c r="KR86" s="35"/>
      <c r="KS86" s="35"/>
      <c r="KT86" s="35"/>
      <c r="KU86" s="35"/>
      <c r="KV86" s="35"/>
      <c r="KW86" s="35"/>
      <c r="KX86" s="35"/>
      <c r="KY86" s="35"/>
      <c r="KZ86" s="35"/>
      <c r="LA86" s="35"/>
      <c r="LB86" s="35"/>
      <c r="LC86" s="35"/>
      <c r="LD86" s="35"/>
      <c r="LE86" s="35"/>
      <c r="LF86" s="35"/>
      <c r="LG86" s="35"/>
      <c r="LH86" s="35"/>
      <c r="LI86" s="35"/>
      <c r="LJ86" s="35"/>
      <c r="LK86" s="35"/>
      <c r="LL86" s="35"/>
      <c r="LM86" s="35"/>
      <c r="LN86" s="35"/>
      <c r="LO86" s="35"/>
      <c r="LP86" s="35"/>
      <c r="LQ86" s="35"/>
      <c r="LR86" s="35"/>
      <c r="LS86" s="35"/>
      <c r="LT86" s="35"/>
      <c r="LU86" s="35"/>
      <c r="LV86" s="35"/>
      <c r="LW86" s="35"/>
      <c r="LX86" s="35"/>
      <c r="LY86" s="35"/>
      <c r="LZ86" s="35"/>
      <c r="MA86" s="35"/>
      <c r="MB86" s="35"/>
      <c r="MC86" s="35"/>
      <c r="MD86" s="35"/>
      <c r="ME86" s="35"/>
      <c r="MF86" s="35"/>
      <c r="MG86" s="35"/>
    </row>
    <row r="87" spans="2:345" s="67" customFormat="1" ht="36" hidden="1" customHeight="1" x14ac:dyDescent="0.25">
      <c r="B87" s="28">
        <v>4153</v>
      </c>
      <c r="C87" s="24" t="s">
        <v>40</v>
      </c>
      <c r="D87" s="19" t="s">
        <v>4379</v>
      </c>
      <c r="E87" s="18">
        <v>42551</v>
      </c>
      <c r="F87" s="27">
        <f t="shared" ca="1" si="2"/>
        <v>1922</v>
      </c>
      <c r="G87" s="69"/>
      <c r="H87" s="68"/>
      <c r="I87" s="25"/>
      <c r="J87" s="25"/>
      <c r="K87" s="68"/>
      <c r="L87" s="68">
        <v>42559</v>
      </c>
      <c r="M87" s="68"/>
      <c r="N87" s="22"/>
      <c r="O87" s="26"/>
      <c r="P87" s="35"/>
      <c r="Q87" s="35"/>
      <c r="R87" s="20"/>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c r="BJ87" s="35"/>
      <c r="BK87" s="35"/>
      <c r="BL87" s="35"/>
      <c r="BM87" s="35"/>
      <c r="BN87" s="35"/>
      <c r="BO87" s="35"/>
      <c r="BP87" s="35"/>
      <c r="BQ87" s="35"/>
      <c r="BR87" s="35"/>
      <c r="BS87" s="35"/>
      <c r="BT87" s="35"/>
      <c r="BU87" s="35"/>
      <c r="BV87" s="35"/>
      <c r="BW87" s="35"/>
      <c r="BX87" s="35"/>
      <c r="BY87" s="35"/>
      <c r="BZ87" s="35"/>
      <c r="CA87" s="35"/>
      <c r="CB87" s="35"/>
      <c r="CC87" s="35"/>
      <c r="CD87" s="35"/>
      <c r="CE87" s="35"/>
      <c r="CF87" s="35"/>
      <c r="CG87" s="35"/>
      <c r="CH87" s="35"/>
      <c r="CI87" s="35"/>
      <c r="CJ87" s="35"/>
      <c r="CK87" s="35"/>
      <c r="CL87" s="35"/>
      <c r="CM87" s="35"/>
      <c r="CN87" s="35"/>
      <c r="CO87" s="35"/>
      <c r="CP87" s="35"/>
      <c r="CQ87" s="35"/>
      <c r="CR87" s="35"/>
      <c r="CS87" s="35"/>
      <c r="CT87" s="35"/>
      <c r="CU87" s="35"/>
      <c r="CV87" s="35"/>
      <c r="CW87" s="35"/>
      <c r="CX87" s="35"/>
      <c r="CY87" s="35"/>
      <c r="CZ87" s="35"/>
      <c r="DA87" s="35"/>
      <c r="DB87" s="35"/>
      <c r="DC87" s="35"/>
      <c r="DD87" s="35"/>
      <c r="DE87" s="35"/>
      <c r="DF87" s="35"/>
      <c r="DG87" s="35"/>
      <c r="DH87" s="35"/>
      <c r="DI87" s="35"/>
      <c r="DJ87" s="35"/>
      <c r="DK87" s="35"/>
      <c r="DL87" s="35"/>
      <c r="DM87" s="35"/>
      <c r="DN87" s="35"/>
      <c r="DO87" s="35"/>
      <c r="DP87" s="35"/>
      <c r="DQ87" s="35"/>
      <c r="DR87" s="35"/>
      <c r="DS87" s="35"/>
      <c r="DT87" s="35"/>
      <c r="DU87" s="35"/>
      <c r="DV87" s="35"/>
      <c r="DW87" s="35"/>
      <c r="DX87" s="35"/>
      <c r="DY87" s="35"/>
      <c r="DZ87" s="35"/>
      <c r="EA87" s="35"/>
      <c r="EB87" s="35"/>
      <c r="EC87" s="35"/>
      <c r="ED87" s="35"/>
      <c r="EE87" s="35"/>
      <c r="EF87" s="35"/>
      <c r="EG87" s="35"/>
      <c r="EH87" s="35"/>
      <c r="EI87" s="35"/>
      <c r="EJ87" s="35"/>
      <c r="EK87" s="35"/>
      <c r="EL87" s="35"/>
      <c r="EM87" s="35"/>
      <c r="EN87" s="35"/>
      <c r="EO87" s="35"/>
      <c r="EP87" s="35"/>
      <c r="EQ87" s="35"/>
      <c r="ER87" s="35"/>
      <c r="ES87" s="35"/>
      <c r="ET87" s="35"/>
      <c r="EU87" s="35"/>
      <c r="EV87" s="35"/>
      <c r="EW87" s="35"/>
      <c r="EX87" s="35"/>
      <c r="EY87" s="35"/>
      <c r="EZ87" s="35"/>
      <c r="FA87" s="35"/>
      <c r="FB87" s="35"/>
      <c r="FC87" s="35"/>
      <c r="FD87" s="35"/>
      <c r="FE87" s="35"/>
      <c r="FF87" s="35"/>
      <c r="FG87" s="35"/>
      <c r="FH87" s="35"/>
      <c r="FI87" s="35"/>
      <c r="FJ87" s="35"/>
      <c r="FK87" s="35"/>
      <c r="FL87" s="35"/>
      <c r="FM87" s="35"/>
      <c r="FN87" s="35"/>
      <c r="FO87" s="35"/>
      <c r="FP87" s="35"/>
      <c r="FQ87" s="35"/>
      <c r="FR87" s="35"/>
      <c r="FS87" s="35"/>
      <c r="FT87" s="35"/>
      <c r="FU87" s="35"/>
      <c r="FV87" s="35"/>
      <c r="FW87" s="35"/>
      <c r="FX87" s="35"/>
      <c r="FY87" s="35"/>
      <c r="FZ87" s="35"/>
      <c r="GA87" s="35"/>
      <c r="GB87" s="35"/>
      <c r="GC87" s="35"/>
      <c r="GD87" s="35"/>
      <c r="GE87" s="35"/>
      <c r="GF87" s="35"/>
      <c r="GG87" s="35"/>
      <c r="GH87" s="35"/>
      <c r="GI87" s="35"/>
      <c r="GJ87" s="35"/>
      <c r="GK87" s="35"/>
      <c r="GL87" s="35"/>
      <c r="GM87" s="35"/>
      <c r="GN87" s="35"/>
      <c r="GO87" s="35"/>
      <c r="GP87" s="35"/>
      <c r="GQ87" s="35"/>
      <c r="GR87" s="35"/>
      <c r="GS87" s="35"/>
      <c r="GT87" s="35"/>
      <c r="GU87" s="35"/>
      <c r="GV87" s="35"/>
      <c r="GW87" s="35"/>
      <c r="GX87" s="35"/>
      <c r="GY87" s="35"/>
      <c r="GZ87" s="35"/>
      <c r="HA87" s="35"/>
      <c r="HB87" s="35"/>
      <c r="HC87" s="35"/>
      <c r="HD87" s="35"/>
      <c r="HE87" s="35"/>
      <c r="HF87" s="35"/>
      <c r="HG87" s="35"/>
      <c r="HH87" s="35"/>
      <c r="HI87" s="35"/>
      <c r="HJ87" s="35"/>
      <c r="HK87" s="35"/>
      <c r="HL87" s="35"/>
      <c r="HM87" s="35"/>
      <c r="HN87" s="35"/>
      <c r="HO87" s="35"/>
      <c r="HP87" s="35"/>
      <c r="HQ87" s="35"/>
      <c r="HR87" s="35"/>
      <c r="HS87" s="35"/>
      <c r="HT87" s="35"/>
      <c r="HU87" s="35"/>
      <c r="HV87" s="35"/>
      <c r="HW87" s="35"/>
      <c r="HX87" s="35"/>
      <c r="HY87" s="35"/>
      <c r="HZ87" s="35"/>
      <c r="IA87" s="35"/>
      <c r="IB87" s="35"/>
      <c r="IC87" s="35"/>
      <c r="ID87" s="35"/>
      <c r="IE87" s="35"/>
      <c r="IF87" s="35"/>
      <c r="IG87" s="35"/>
      <c r="IH87" s="35"/>
      <c r="II87" s="35"/>
      <c r="IJ87" s="35"/>
      <c r="IK87" s="35"/>
      <c r="IL87" s="35"/>
      <c r="IM87" s="35"/>
      <c r="IN87" s="35"/>
      <c r="IO87" s="35"/>
      <c r="IP87" s="35"/>
      <c r="IQ87" s="35"/>
      <c r="IR87" s="35"/>
      <c r="IS87" s="35"/>
      <c r="IT87" s="35"/>
      <c r="IU87" s="35"/>
      <c r="IV87" s="35"/>
      <c r="IW87" s="35"/>
      <c r="IX87" s="35"/>
      <c r="IY87" s="35"/>
      <c r="IZ87" s="35"/>
      <c r="JA87" s="35"/>
      <c r="JB87" s="35"/>
      <c r="JC87" s="35"/>
      <c r="JD87" s="35"/>
      <c r="JE87" s="35"/>
      <c r="JF87" s="35"/>
      <c r="JG87" s="35"/>
      <c r="JH87" s="35"/>
      <c r="JI87" s="35"/>
      <c r="JJ87" s="35"/>
      <c r="JK87" s="35"/>
      <c r="JL87" s="35"/>
      <c r="JM87" s="35"/>
      <c r="JN87" s="35"/>
      <c r="JO87" s="35"/>
      <c r="JP87" s="35"/>
      <c r="JQ87" s="35"/>
      <c r="JR87" s="35"/>
      <c r="JS87" s="35"/>
      <c r="JT87" s="35"/>
      <c r="JU87" s="35"/>
      <c r="JV87" s="35"/>
      <c r="JW87" s="35"/>
      <c r="JX87" s="35"/>
      <c r="JY87" s="35"/>
      <c r="JZ87" s="35"/>
      <c r="KA87" s="35"/>
      <c r="KB87" s="35"/>
      <c r="KC87" s="35"/>
      <c r="KD87" s="35"/>
      <c r="KE87" s="35"/>
      <c r="KF87" s="35"/>
      <c r="KG87" s="35"/>
      <c r="KH87" s="35"/>
      <c r="KI87" s="35"/>
      <c r="KJ87" s="35"/>
      <c r="KK87" s="35"/>
      <c r="KL87" s="35"/>
      <c r="KM87" s="35"/>
      <c r="KN87" s="35"/>
      <c r="KO87" s="35"/>
      <c r="KP87" s="35"/>
      <c r="KQ87" s="35"/>
      <c r="KR87" s="35"/>
      <c r="KS87" s="35"/>
      <c r="KT87" s="35"/>
      <c r="KU87" s="35"/>
      <c r="KV87" s="35"/>
      <c r="KW87" s="35"/>
      <c r="KX87" s="35"/>
      <c r="KY87" s="35"/>
      <c r="KZ87" s="35"/>
      <c r="LA87" s="35"/>
      <c r="LB87" s="35"/>
      <c r="LC87" s="35"/>
      <c r="LD87" s="35"/>
      <c r="LE87" s="35"/>
      <c r="LF87" s="35"/>
      <c r="LG87" s="35"/>
      <c r="LH87" s="35"/>
      <c r="LI87" s="35"/>
      <c r="LJ87" s="35"/>
      <c r="LK87" s="35"/>
      <c r="LL87" s="35"/>
      <c r="LM87" s="35"/>
      <c r="LN87" s="35"/>
      <c r="LO87" s="35"/>
      <c r="LP87" s="35"/>
      <c r="LQ87" s="35"/>
      <c r="LR87" s="35"/>
      <c r="LS87" s="35"/>
      <c r="LT87" s="35"/>
      <c r="LU87" s="35"/>
      <c r="LV87" s="35"/>
      <c r="LW87" s="35"/>
      <c r="LX87" s="35"/>
      <c r="LY87" s="35"/>
      <c r="LZ87" s="35"/>
      <c r="MA87" s="35"/>
      <c r="MB87" s="35"/>
      <c r="MC87" s="35"/>
      <c r="MD87" s="35"/>
      <c r="ME87" s="35"/>
      <c r="MF87" s="35"/>
      <c r="MG87" s="35"/>
    </row>
    <row r="88" spans="2:345" s="67" customFormat="1" ht="36" hidden="1" customHeight="1" x14ac:dyDescent="0.25">
      <c r="B88" s="28" t="s">
        <v>4404</v>
      </c>
      <c r="C88" s="24" t="s">
        <v>40</v>
      </c>
      <c r="D88" s="19" t="s">
        <v>4413</v>
      </c>
      <c r="E88" s="18">
        <v>42556</v>
      </c>
      <c r="F88" s="27">
        <f t="shared" ca="1" si="2"/>
        <v>1917</v>
      </c>
      <c r="G88" s="69"/>
      <c r="H88" s="68"/>
      <c r="I88" s="25"/>
      <c r="J88" s="25"/>
      <c r="K88" s="68"/>
      <c r="L88" s="68">
        <v>42562</v>
      </c>
      <c r="M88" s="68"/>
      <c r="N88" s="22"/>
      <c r="O88" s="26"/>
      <c r="P88" s="35"/>
      <c r="Q88" s="35"/>
      <c r="R88" s="20"/>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35"/>
      <c r="AS88" s="35"/>
      <c r="AT88" s="35"/>
      <c r="AU88" s="35"/>
      <c r="AV88" s="35"/>
      <c r="AW88" s="35"/>
      <c r="AX88" s="35"/>
      <c r="AY88" s="35"/>
      <c r="AZ88" s="35"/>
      <c r="BA88" s="35"/>
      <c r="BB88" s="35"/>
      <c r="BC88" s="35"/>
      <c r="BD88" s="35"/>
      <c r="BE88" s="35"/>
      <c r="BF88" s="35"/>
      <c r="BG88" s="35"/>
      <c r="BH88" s="35"/>
      <c r="BI88" s="35"/>
      <c r="BJ88" s="35"/>
      <c r="BK88" s="35"/>
      <c r="BL88" s="35"/>
      <c r="BM88" s="35"/>
      <c r="BN88" s="35"/>
      <c r="BO88" s="35"/>
      <c r="BP88" s="35"/>
      <c r="BQ88" s="35"/>
      <c r="BR88" s="35"/>
      <c r="BS88" s="35"/>
      <c r="BT88" s="35"/>
      <c r="BU88" s="35"/>
      <c r="BV88" s="35"/>
      <c r="BW88" s="35"/>
      <c r="BX88" s="35"/>
      <c r="BY88" s="35"/>
      <c r="BZ88" s="35"/>
      <c r="CA88" s="35"/>
      <c r="CB88" s="35"/>
      <c r="CC88" s="35"/>
      <c r="CD88" s="35"/>
      <c r="CE88" s="35"/>
      <c r="CF88" s="35"/>
      <c r="CG88" s="35"/>
      <c r="CH88" s="35"/>
      <c r="CI88" s="35"/>
      <c r="CJ88" s="35"/>
      <c r="CK88" s="35"/>
      <c r="CL88" s="35"/>
      <c r="CM88" s="35"/>
      <c r="CN88" s="35"/>
      <c r="CO88" s="35"/>
      <c r="CP88" s="35"/>
      <c r="CQ88" s="35"/>
      <c r="CR88" s="35"/>
      <c r="CS88" s="35"/>
      <c r="CT88" s="35"/>
      <c r="CU88" s="35"/>
      <c r="CV88" s="35"/>
      <c r="CW88" s="35"/>
      <c r="CX88" s="35"/>
      <c r="CY88" s="35"/>
      <c r="CZ88" s="35"/>
      <c r="DA88" s="35"/>
      <c r="DB88" s="35"/>
      <c r="DC88" s="35"/>
      <c r="DD88" s="35"/>
      <c r="DE88" s="35"/>
      <c r="DF88" s="35"/>
      <c r="DG88" s="35"/>
      <c r="DH88" s="35"/>
      <c r="DI88" s="35"/>
      <c r="DJ88" s="35"/>
      <c r="DK88" s="35"/>
      <c r="DL88" s="35"/>
      <c r="DM88" s="35"/>
      <c r="DN88" s="35"/>
      <c r="DO88" s="35"/>
      <c r="DP88" s="35"/>
      <c r="DQ88" s="35"/>
      <c r="DR88" s="35"/>
      <c r="DS88" s="35"/>
      <c r="DT88" s="35"/>
      <c r="DU88" s="35"/>
      <c r="DV88" s="35"/>
      <c r="DW88" s="35"/>
      <c r="DX88" s="35"/>
      <c r="DY88" s="35"/>
      <c r="DZ88" s="35"/>
      <c r="EA88" s="35"/>
      <c r="EB88" s="35"/>
      <c r="EC88" s="35"/>
      <c r="ED88" s="35"/>
      <c r="EE88" s="35"/>
      <c r="EF88" s="35"/>
      <c r="EG88" s="35"/>
      <c r="EH88" s="35"/>
      <c r="EI88" s="35"/>
      <c r="EJ88" s="35"/>
      <c r="EK88" s="35"/>
      <c r="EL88" s="35"/>
      <c r="EM88" s="35"/>
      <c r="EN88" s="35"/>
      <c r="EO88" s="35"/>
      <c r="EP88" s="35"/>
      <c r="EQ88" s="35"/>
      <c r="ER88" s="35"/>
      <c r="ES88" s="35"/>
      <c r="ET88" s="35"/>
      <c r="EU88" s="35"/>
      <c r="EV88" s="35"/>
      <c r="EW88" s="35"/>
      <c r="EX88" s="35"/>
      <c r="EY88" s="35"/>
      <c r="EZ88" s="35"/>
      <c r="FA88" s="35"/>
      <c r="FB88" s="35"/>
      <c r="FC88" s="35"/>
      <c r="FD88" s="35"/>
      <c r="FE88" s="35"/>
      <c r="FF88" s="35"/>
      <c r="FG88" s="35"/>
      <c r="FH88" s="35"/>
      <c r="FI88" s="35"/>
      <c r="FJ88" s="35"/>
      <c r="FK88" s="35"/>
      <c r="FL88" s="35"/>
      <c r="FM88" s="35"/>
      <c r="FN88" s="35"/>
      <c r="FO88" s="35"/>
      <c r="FP88" s="35"/>
      <c r="FQ88" s="35"/>
      <c r="FR88" s="35"/>
      <c r="FS88" s="35"/>
      <c r="FT88" s="35"/>
      <c r="FU88" s="35"/>
      <c r="FV88" s="35"/>
      <c r="FW88" s="35"/>
      <c r="FX88" s="35"/>
      <c r="FY88" s="35"/>
      <c r="FZ88" s="35"/>
      <c r="GA88" s="35"/>
      <c r="GB88" s="35"/>
      <c r="GC88" s="35"/>
      <c r="GD88" s="35"/>
      <c r="GE88" s="35"/>
      <c r="GF88" s="35"/>
      <c r="GG88" s="35"/>
      <c r="GH88" s="35"/>
      <c r="GI88" s="35"/>
      <c r="GJ88" s="35"/>
      <c r="GK88" s="35"/>
      <c r="GL88" s="35"/>
      <c r="GM88" s="35"/>
      <c r="GN88" s="35"/>
      <c r="GO88" s="35"/>
      <c r="GP88" s="35"/>
      <c r="GQ88" s="35"/>
      <c r="GR88" s="35"/>
      <c r="GS88" s="35"/>
      <c r="GT88" s="35"/>
      <c r="GU88" s="35"/>
      <c r="GV88" s="35"/>
      <c r="GW88" s="35"/>
      <c r="GX88" s="35"/>
      <c r="GY88" s="35"/>
      <c r="GZ88" s="35"/>
      <c r="HA88" s="35"/>
      <c r="HB88" s="35"/>
      <c r="HC88" s="35"/>
      <c r="HD88" s="35"/>
      <c r="HE88" s="35"/>
      <c r="HF88" s="35"/>
      <c r="HG88" s="35"/>
      <c r="HH88" s="35"/>
      <c r="HI88" s="35"/>
      <c r="HJ88" s="35"/>
      <c r="HK88" s="35"/>
      <c r="HL88" s="35"/>
      <c r="HM88" s="35"/>
      <c r="HN88" s="35"/>
      <c r="HO88" s="35"/>
      <c r="HP88" s="35"/>
      <c r="HQ88" s="35"/>
      <c r="HR88" s="35"/>
      <c r="HS88" s="35"/>
      <c r="HT88" s="35"/>
      <c r="HU88" s="35"/>
      <c r="HV88" s="35"/>
      <c r="HW88" s="35"/>
      <c r="HX88" s="35"/>
      <c r="HY88" s="35"/>
      <c r="HZ88" s="35"/>
      <c r="IA88" s="35"/>
      <c r="IB88" s="35"/>
      <c r="IC88" s="35"/>
      <c r="ID88" s="35"/>
      <c r="IE88" s="35"/>
      <c r="IF88" s="35"/>
      <c r="IG88" s="35"/>
      <c r="IH88" s="35"/>
      <c r="II88" s="35"/>
      <c r="IJ88" s="35"/>
      <c r="IK88" s="35"/>
      <c r="IL88" s="35"/>
      <c r="IM88" s="35"/>
      <c r="IN88" s="35"/>
      <c r="IO88" s="35"/>
      <c r="IP88" s="35"/>
      <c r="IQ88" s="35"/>
      <c r="IR88" s="35"/>
      <c r="IS88" s="35"/>
      <c r="IT88" s="35"/>
      <c r="IU88" s="35"/>
      <c r="IV88" s="35"/>
      <c r="IW88" s="35"/>
      <c r="IX88" s="35"/>
      <c r="IY88" s="35"/>
      <c r="IZ88" s="35"/>
      <c r="JA88" s="35"/>
      <c r="JB88" s="35"/>
      <c r="JC88" s="35"/>
      <c r="JD88" s="35"/>
      <c r="JE88" s="35"/>
      <c r="JF88" s="35"/>
      <c r="JG88" s="35"/>
      <c r="JH88" s="35"/>
      <c r="JI88" s="35"/>
      <c r="JJ88" s="35"/>
      <c r="JK88" s="35"/>
      <c r="JL88" s="35"/>
      <c r="JM88" s="35"/>
      <c r="JN88" s="35"/>
      <c r="JO88" s="35"/>
      <c r="JP88" s="35"/>
      <c r="JQ88" s="35"/>
      <c r="JR88" s="35"/>
      <c r="JS88" s="35"/>
      <c r="JT88" s="35"/>
      <c r="JU88" s="35"/>
      <c r="JV88" s="35"/>
      <c r="JW88" s="35"/>
      <c r="JX88" s="35"/>
      <c r="JY88" s="35"/>
      <c r="JZ88" s="35"/>
      <c r="KA88" s="35"/>
      <c r="KB88" s="35"/>
      <c r="KC88" s="35"/>
      <c r="KD88" s="35"/>
      <c r="KE88" s="35"/>
      <c r="KF88" s="35"/>
      <c r="KG88" s="35"/>
      <c r="KH88" s="35"/>
      <c r="KI88" s="35"/>
      <c r="KJ88" s="35"/>
      <c r="KK88" s="35"/>
      <c r="KL88" s="35"/>
      <c r="KM88" s="35"/>
      <c r="KN88" s="35"/>
      <c r="KO88" s="35"/>
      <c r="KP88" s="35"/>
      <c r="KQ88" s="35"/>
      <c r="KR88" s="35"/>
      <c r="KS88" s="35"/>
      <c r="KT88" s="35"/>
      <c r="KU88" s="35"/>
      <c r="KV88" s="35"/>
      <c r="KW88" s="35"/>
      <c r="KX88" s="35"/>
      <c r="KY88" s="35"/>
      <c r="KZ88" s="35"/>
      <c r="LA88" s="35"/>
      <c r="LB88" s="35"/>
      <c r="LC88" s="35"/>
      <c r="LD88" s="35"/>
      <c r="LE88" s="35"/>
      <c r="LF88" s="35"/>
      <c r="LG88" s="35"/>
      <c r="LH88" s="35"/>
      <c r="LI88" s="35"/>
      <c r="LJ88" s="35"/>
      <c r="LK88" s="35"/>
      <c r="LL88" s="35"/>
      <c r="LM88" s="35"/>
      <c r="LN88" s="35"/>
      <c r="LO88" s="35"/>
      <c r="LP88" s="35"/>
      <c r="LQ88" s="35"/>
      <c r="LR88" s="35"/>
      <c r="LS88" s="35"/>
      <c r="LT88" s="35"/>
      <c r="LU88" s="35"/>
      <c r="LV88" s="35"/>
      <c r="LW88" s="35"/>
      <c r="LX88" s="35"/>
      <c r="LY88" s="35"/>
      <c r="LZ88" s="35"/>
      <c r="MA88" s="35"/>
      <c r="MB88" s="35"/>
      <c r="MC88" s="35"/>
      <c r="MD88" s="35"/>
      <c r="ME88" s="35"/>
      <c r="MF88" s="35"/>
      <c r="MG88" s="35"/>
    </row>
    <row r="89" spans="2:345" s="67" customFormat="1" ht="36" hidden="1" customHeight="1" x14ac:dyDescent="0.25">
      <c r="B89" s="28" t="s">
        <v>4404</v>
      </c>
      <c r="C89" s="24" t="s">
        <v>15</v>
      </c>
      <c r="D89" s="19" t="s">
        <v>4414</v>
      </c>
      <c r="E89" s="18">
        <v>42556</v>
      </c>
      <c r="F89" s="27">
        <f t="shared" ca="1" si="2"/>
        <v>1917</v>
      </c>
      <c r="G89" s="69"/>
      <c r="H89" s="68"/>
      <c r="I89" s="25"/>
      <c r="J89" s="25"/>
      <c r="K89" s="68"/>
      <c r="L89" s="68">
        <v>42562</v>
      </c>
      <c r="M89" s="68"/>
      <c r="N89" s="22"/>
      <c r="O89" s="26"/>
      <c r="P89" s="35"/>
      <c r="Q89" s="35"/>
      <c r="R89" s="20"/>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35"/>
      <c r="AS89" s="35"/>
      <c r="AT89" s="35"/>
      <c r="AU89" s="35"/>
      <c r="AV89" s="35"/>
      <c r="AW89" s="35"/>
      <c r="AX89" s="35"/>
      <c r="AY89" s="35"/>
      <c r="AZ89" s="35"/>
      <c r="BA89" s="35"/>
      <c r="BB89" s="35"/>
      <c r="BC89" s="35"/>
      <c r="BD89" s="35"/>
      <c r="BE89" s="35"/>
      <c r="BF89" s="35"/>
      <c r="BG89" s="35"/>
      <c r="BH89" s="35"/>
      <c r="BI89" s="35"/>
      <c r="BJ89" s="35"/>
      <c r="BK89" s="35"/>
      <c r="BL89" s="35"/>
      <c r="BM89" s="35"/>
      <c r="BN89" s="35"/>
      <c r="BO89" s="35"/>
      <c r="BP89" s="35"/>
      <c r="BQ89" s="35"/>
      <c r="BR89" s="35"/>
      <c r="BS89" s="35"/>
      <c r="BT89" s="35"/>
      <c r="BU89" s="35"/>
      <c r="BV89" s="35"/>
      <c r="BW89" s="35"/>
      <c r="BX89" s="35"/>
      <c r="BY89" s="35"/>
      <c r="BZ89" s="35"/>
      <c r="CA89" s="35"/>
      <c r="CB89" s="35"/>
      <c r="CC89" s="35"/>
      <c r="CD89" s="35"/>
      <c r="CE89" s="35"/>
      <c r="CF89" s="35"/>
      <c r="CG89" s="35"/>
      <c r="CH89" s="35"/>
      <c r="CI89" s="35"/>
      <c r="CJ89" s="35"/>
      <c r="CK89" s="35"/>
      <c r="CL89" s="35"/>
      <c r="CM89" s="35"/>
      <c r="CN89" s="35"/>
      <c r="CO89" s="35"/>
      <c r="CP89" s="35"/>
      <c r="CQ89" s="35"/>
      <c r="CR89" s="35"/>
      <c r="CS89" s="35"/>
      <c r="CT89" s="35"/>
      <c r="CU89" s="35"/>
      <c r="CV89" s="35"/>
      <c r="CW89" s="35"/>
      <c r="CX89" s="35"/>
      <c r="CY89" s="35"/>
      <c r="CZ89" s="35"/>
      <c r="DA89" s="35"/>
      <c r="DB89" s="35"/>
      <c r="DC89" s="35"/>
      <c r="DD89" s="35"/>
      <c r="DE89" s="35"/>
      <c r="DF89" s="35"/>
      <c r="DG89" s="35"/>
      <c r="DH89" s="35"/>
      <c r="DI89" s="35"/>
      <c r="DJ89" s="35"/>
      <c r="DK89" s="35"/>
      <c r="DL89" s="35"/>
      <c r="DM89" s="35"/>
      <c r="DN89" s="35"/>
      <c r="DO89" s="35"/>
      <c r="DP89" s="35"/>
      <c r="DQ89" s="35"/>
      <c r="DR89" s="35"/>
      <c r="DS89" s="35"/>
      <c r="DT89" s="35"/>
      <c r="DU89" s="35"/>
      <c r="DV89" s="35"/>
      <c r="DW89" s="35"/>
      <c r="DX89" s="35"/>
      <c r="DY89" s="35"/>
      <c r="DZ89" s="35"/>
      <c r="EA89" s="35"/>
      <c r="EB89" s="35"/>
      <c r="EC89" s="35"/>
      <c r="ED89" s="35"/>
      <c r="EE89" s="35"/>
      <c r="EF89" s="35"/>
      <c r="EG89" s="35"/>
      <c r="EH89" s="35"/>
      <c r="EI89" s="35"/>
      <c r="EJ89" s="35"/>
      <c r="EK89" s="35"/>
      <c r="EL89" s="35"/>
      <c r="EM89" s="35"/>
      <c r="EN89" s="35"/>
      <c r="EO89" s="35"/>
      <c r="EP89" s="35"/>
      <c r="EQ89" s="35"/>
      <c r="ER89" s="35"/>
      <c r="ES89" s="35"/>
      <c r="ET89" s="35"/>
      <c r="EU89" s="35"/>
      <c r="EV89" s="35"/>
      <c r="EW89" s="35"/>
      <c r="EX89" s="35"/>
      <c r="EY89" s="35"/>
      <c r="EZ89" s="35"/>
      <c r="FA89" s="35"/>
      <c r="FB89" s="35"/>
      <c r="FC89" s="35"/>
      <c r="FD89" s="35"/>
      <c r="FE89" s="35"/>
      <c r="FF89" s="35"/>
      <c r="FG89" s="35"/>
      <c r="FH89" s="35"/>
      <c r="FI89" s="35"/>
      <c r="FJ89" s="35"/>
      <c r="FK89" s="35"/>
      <c r="FL89" s="35"/>
      <c r="FM89" s="35"/>
      <c r="FN89" s="35"/>
      <c r="FO89" s="35"/>
      <c r="FP89" s="35"/>
      <c r="FQ89" s="35"/>
      <c r="FR89" s="35"/>
      <c r="FS89" s="35"/>
      <c r="FT89" s="35"/>
      <c r="FU89" s="35"/>
      <c r="FV89" s="35"/>
      <c r="FW89" s="35"/>
      <c r="FX89" s="35"/>
      <c r="FY89" s="35"/>
      <c r="FZ89" s="35"/>
      <c r="GA89" s="35"/>
      <c r="GB89" s="35"/>
      <c r="GC89" s="35"/>
      <c r="GD89" s="35"/>
      <c r="GE89" s="35"/>
      <c r="GF89" s="35"/>
      <c r="GG89" s="35"/>
      <c r="GH89" s="35"/>
      <c r="GI89" s="35"/>
      <c r="GJ89" s="35"/>
      <c r="GK89" s="35"/>
      <c r="GL89" s="35"/>
      <c r="GM89" s="35"/>
      <c r="GN89" s="35"/>
      <c r="GO89" s="35"/>
      <c r="GP89" s="35"/>
      <c r="GQ89" s="35"/>
      <c r="GR89" s="35"/>
      <c r="GS89" s="35"/>
      <c r="GT89" s="35"/>
      <c r="GU89" s="35"/>
      <c r="GV89" s="35"/>
      <c r="GW89" s="35"/>
      <c r="GX89" s="35"/>
      <c r="GY89" s="35"/>
      <c r="GZ89" s="35"/>
      <c r="HA89" s="35"/>
      <c r="HB89" s="35"/>
      <c r="HC89" s="35"/>
      <c r="HD89" s="35"/>
      <c r="HE89" s="35"/>
      <c r="HF89" s="35"/>
      <c r="HG89" s="35"/>
      <c r="HH89" s="35"/>
      <c r="HI89" s="35"/>
      <c r="HJ89" s="35"/>
      <c r="HK89" s="35"/>
      <c r="HL89" s="35"/>
      <c r="HM89" s="35"/>
      <c r="HN89" s="35"/>
      <c r="HO89" s="35"/>
      <c r="HP89" s="35"/>
      <c r="HQ89" s="35"/>
      <c r="HR89" s="35"/>
      <c r="HS89" s="35"/>
      <c r="HT89" s="35"/>
      <c r="HU89" s="35"/>
      <c r="HV89" s="35"/>
      <c r="HW89" s="35"/>
      <c r="HX89" s="35"/>
      <c r="HY89" s="35"/>
      <c r="HZ89" s="35"/>
      <c r="IA89" s="35"/>
      <c r="IB89" s="35"/>
      <c r="IC89" s="35"/>
      <c r="ID89" s="35"/>
      <c r="IE89" s="35"/>
      <c r="IF89" s="35"/>
      <c r="IG89" s="35"/>
      <c r="IH89" s="35"/>
      <c r="II89" s="35"/>
      <c r="IJ89" s="35"/>
      <c r="IK89" s="35"/>
      <c r="IL89" s="35"/>
      <c r="IM89" s="35"/>
      <c r="IN89" s="35"/>
      <c r="IO89" s="35"/>
      <c r="IP89" s="35"/>
      <c r="IQ89" s="35"/>
      <c r="IR89" s="35"/>
      <c r="IS89" s="35"/>
      <c r="IT89" s="35"/>
      <c r="IU89" s="35"/>
      <c r="IV89" s="35"/>
      <c r="IW89" s="35"/>
      <c r="IX89" s="35"/>
      <c r="IY89" s="35"/>
      <c r="IZ89" s="35"/>
      <c r="JA89" s="35"/>
      <c r="JB89" s="35"/>
      <c r="JC89" s="35"/>
      <c r="JD89" s="35"/>
      <c r="JE89" s="35"/>
      <c r="JF89" s="35"/>
      <c r="JG89" s="35"/>
      <c r="JH89" s="35"/>
      <c r="JI89" s="35"/>
      <c r="JJ89" s="35"/>
      <c r="JK89" s="35"/>
      <c r="JL89" s="35"/>
      <c r="JM89" s="35"/>
      <c r="JN89" s="35"/>
      <c r="JO89" s="35"/>
      <c r="JP89" s="35"/>
      <c r="JQ89" s="35"/>
      <c r="JR89" s="35"/>
      <c r="JS89" s="35"/>
      <c r="JT89" s="35"/>
      <c r="JU89" s="35"/>
      <c r="JV89" s="35"/>
      <c r="JW89" s="35"/>
      <c r="JX89" s="35"/>
      <c r="JY89" s="35"/>
      <c r="JZ89" s="35"/>
      <c r="KA89" s="35"/>
      <c r="KB89" s="35"/>
      <c r="KC89" s="35"/>
      <c r="KD89" s="35"/>
      <c r="KE89" s="35"/>
      <c r="KF89" s="35"/>
      <c r="KG89" s="35"/>
      <c r="KH89" s="35"/>
      <c r="KI89" s="35"/>
      <c r="KJ89" s="35"/>
      <c r="KK89" s="35"/>
      <c r="KL89" s="35"/>
      <c r="KM89" s="35"/>
      <c r="KN89" s="35"/>
      <c r="KO89" s="35"/>
      <c r="KP89" s="35"/>
      <c r="KQ89" s="35"/>
      <c r="KR89" s="35"/>
      <c r="KS89" s="35"/>
      <c r="KT89" s="35"/>
      <c r="KU89" s="35"/>
      <c r="KV89" s="35"/>
      <c r="KW89" s="35"/>
      <c r="KX89" s="35"/>
      <c r="KY89" s="35"/>
      <c r="KZ89" s="35"/>
      <c r="LA89" s="35"/>
      <c r="LB89" s="35"/>
      <c r="LC89" s="35"/>
      <c r="LD89" s="35"/>
      <c r="LE89" s="35"/>
      <c r="LF89" s="35"/>
      <c r="LG89" s="35"/>
      <c r="LH89" s="35"/>
      <c r="LI89" s="35"/>
      <c r="LJ89" s="35"/>
      <c r="LK89" s="35"/>
      <c r="LL89" s="35"/>
      <c r="LM89" s="35"/>
      <c r="LN89" s="35"/>
      <c r="LO89" s="35"/>
      <c r="LP89" s="35"/>
      <c r="LQ89" s="35"/>
      <c r="LR89" s="35"/>
      <c r="LS89" s="35"/>
      <c r="LT89" s="35"/>
      <c r="LU89" s="35"/>
      <c r="LV89" s="35"/>
      <c r="LW89" s="35"/>
      <c r="LX89" s="35"/>
      <c r="LY89" s="35"/>
      <c r="LZ89" s="35"/>
      <c r="MA89" s="35"/>
      <c r="MB89" s="35"/>
      <c r="MC89" s="35"/>
      <c r="MD89" s="35"/>
      <c r="ME89" s="35"/>
      <c r="MF89" s="35"/>
      <c r="MG89" s="35"/>
    </row>
    <row r="90" spans="2:345" s="67" customFormat="1" ht="36" hidden="1" customHeight="1" x14ac:dyDescent="0.25">
      <c r="B90" s="28" t="s">
        <v>4404</v>
      </c>
      <c r="C90" s="24" t="s">
        <v>37</v>
      </c>
      <c r="D90" s="19" t="s">
        <v>4415</v>
      </c>
      <c r="E90" s="18">
        <v>42556</v>
      </c>
      <c r="F90" s="27">
        <f t="shared" ca="1" si="2"/>
        <v>1917</v>
      </c>
      <c r="G90" s="69"/>
      <c r="H90" s="68"/>
      <c r="I90" s="25"/>
      <c r="J90" s="25"/>
      <c r="K90" s="68"/>
      <c r="L90" s="68">
        <v>42556</v>
      </c>
      <c r="M90" s="68"/>
      <c r="N90" s="22" t="s">
        <v>4416</v>
      </c>
      <c r="O90" s="26"/>
      <c r="P90" s="35"/>
      <c r="Q90" s="35"/>
      <c r="R90" s="20"/>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35"/>
      <c r="AS90" s="35"/>
      <c r="AT90" s="35"/>
      <c r="AU90" s="35"/>
      <c r="AV90" s="35"/>
      <c r="AW90" s="35"/>
      <c r="AX90" s="35"/>
      <c r="AY90" s="35"/>
      <c r="AZ90" s="35"/>
      <c r="BA90" s="35"/>
      <c r="BB90" s="35"/>
      <c r="BC90" s="35"/>
      <c r="BD90" s="35"/>
      <c r="BE90" s="35"/>
      <c r="BF90" s="35"/>
      <c r="BG90" s="35"/>
      <c r="BH90" s="35"/>
      <c r="BI90" s="35"/>
      <c r="BJ90" s="35"/>
      <c r="BK90" s="35"/>
      <c r="BL90" s="35"/>
      <c r="BM90" s="35"/>
      <c r="BN90" s="35"/>
      <c r="BO90" s="35"/>
      <c r="BP90" s="35"/>
      <c r="BQ90" s="35"/>
      <c r="BR90" s="35"/>
      <c r="BS90" s="35"/>
      <c r="BT90" s="35"/>
      <c r="BU90" s="35"/>
      <c r="BV90" s="35"/>
      <c r="BW90" s="35"/>
      <c r="BX90" s="35"/>
      <c r="BY90" s="35"/>
      <c r="BZ90" s="35"/>
      <c r="CA90" s="35"/>
      <c r="CB90" s="35"/>
      <c r="CC90" s="35"/>
      <c r="CD90" s="35"/>
      <c r="CE90" s="35"/>
      <c r="CF90" s="35"/>
      <c r="CG90" s="35"/>
      <c r="CH90" s="35"/>
      <c r="CI90" s="35"/>
      <c r="CJ90" s="35"/>
      <c r="CK90" s="35"/>
      <c r="CL90" s="35"/>
      <c r="CM90" s="35"/>
      <c r="CN90" s="35"/>
      <c r="CO90" s="35"/>
      <c r="CP90" s="35"/>
      <c r="CQ90" s="35"/>
      <c r="CR90" s="35"/>
      <c r="CS90" s="35"/>
      <c r="CT90" s="35"/>
      <c r="CU90" s="35"/>
      <c r="CV90" s="35"/>
      <c r="CW90" s="35"/>
      <c r="CX90" s="35"/>
      <c r="CY90" s="35"/>
      <c r="CZ90" s="35"/>
      <c r="DA90" s="35"/>
      <c r="DB90" s="35"/>
      <c r="DC90" s="35"/>
      <c r="DD90" s="35"/>
      <c r="DE90" s="35"/>
      <c r="DF90" s="35"/>
      <c r="DG90" s="35"/>
      <c r="DH90" s="35"/>
      <c r="DI90" s="35"/>
      <c r="DJ90" s="35"/>
      <c r="DK90" s="35"/>
      <c r="DL90" s="35"/>
      <c r="DM90" s="35"/>
      <c r="DN90" s="35"/>
      <c r="DO90" s="35"/>
      <c r="DP90" s="35"/>
      <c r="DQ90" s="35"/>
      <c r="DR90" s="35"/>
      <c r="DS90" s="35"/>
      <c r="DT90" s="35"/>
      <c r="DU90" s="35"/>
      <c r="DV90" s="35"/>
      <c r="DW90" s="35"/>
      <c r="DX90" s="35"/>
      <c r="DY90" s="35"/>
      <c r="DZ90" s="35"/>
      <c r="EA90" s="35"/>
      <c r="EB90" s="35"/>
      <c r="EC90" s="35"/>
      <c r="ED90" s="35"/>
      <c r="EE90" s="35"/>
      <c r="EF90" s="35"/>
      <c r="EG90" s="35"/>
      <c r="EH90" s="35"/>
      <c r="EI90" s="35"/>
      <c r="EJ90" s="35"/>
      <c r="EK90" s="35"/>
      <c r="EL90" s="35"/>
      <c r="EM90" s="35"/>
      <c r="EN90" s="35"/>
      <c r="EO90" s="35"/>
      <c r="EP90" s="35"/>
      <c r="EQ90" s="35"/>
      <c r="ER90" s="35"/>
      <c r="ES90" s="35"/>
      <c r="ET90" s="35"/>
      <c r="EU90" s="35"/>
      <c r="EV90" s="35"/>
      <c r="EW90" s="35"/>
      <c r="EX90" s="35"/>
      <c r="EY90" s="35"/>
      <c r="EZ90" s="35"/>
      <c r="FA90" s="35"/>
      <c r="FB90" s="35"/>
      <c r="FC90" s="35"/>
      <c r="FD90" s="35"/>
      <c r="FE90" s="35"/>
      <c r="FF90" s="35"/>
      <c r="FG90" s="35"/>
      <c r="FH90" s="35"/>
      <c r="FI90" s="35"/>
      <c r="FJ90" s="35"/>
      <c r="FK90" s="35"/>
      <c r="FL90" s="35"/>
      <c r="FM90" s="35"/>
      <c r="FN90" s="35"/>
      <c r="FO90" s="35"/>
      <c r="FP90" s="35"/>
      <c r="FQ90" s="35"/>
      <c r="FR90" s="35"/>
      <c r="FS90" s="35"/>
      <c r="FT90" s="35"/>
      <c r="FU90" s="35"/>
      <c r="FV90" s="35"/>
      <c r="FW90" s="35"/>
      <c r="FX90" s="35"/>
      <c r="FY90" s="35"/>
      <c r="FZ90" s="35"/>
      <c r="GA90" s="35"/>
      <c r="GB90" s="35"/>
      <c r="GC90" s="35"/>
      <c r="GD90" s="35"/>
      <c r="GE90" s="35"/>
      <c r="GF90" s="35"/>
      <c r="GG90" s="35"/>
      <c r="GH90" s="35"/>
      <c r="GI90" s="35"/>
      <c r="GJ90" s="35"/>
      <c r="GK90" s="35"/>
      <c r="GL90" s="35"/>
      <c r="GM90" s="35"/>
      <c r="GN90" s="35"/>
      <c r="GO90" s="35"/>
      <c r="GP90" s="35"/>
      <c r="GQ90" s="35"/>
      <c r="GR90" s="35"/>
      <c r="GS90" s="35"/>
      <c r="GT90" s="35"/>
      <c r="GU90" s="35"/>
      <c r="GV90" s="35"/>
      <c r="GW90" s="35"/>
      <c r="GX90" s="35"/>
      <c r="GY90" s="35"/>
      <c r="GZ90" s="35"/>
      <c r="HA90" s="35"/>
      <c r="HB90" s="35"/>
      <c r="HC90" s="35"/>
      <c r="HD90" s="35"/>
      <c r="HE90" s="35"/>
      <c r="HF90" s="35"/>
      <c r="HG90" s="35"/>
      <c r="HH90" s="35"/>
      <c r="HI90" s="35"/>
      <c r="HJ90" s="35"/>
      <c r="HK90" s="35"/>
      <c r="HL90" s="35"/>
      <c r="HM90" s="35"/>
      <c r="HN90" s="35"/>
      <c r="HO90" s="35"/>
      <c r="HP90" s="35"/>
      <c r="HQ90" s="35"/>
      <c r="HR90" s="35"/>
      <c r="HS90" s="35"/>
      <c r="HT90" s="35"/>
      <c r="HU90" s="35"/>
      <c r="HV90" s="35"/>
      <c r="HW90" s="35"/>
      <c r="HX90" s="35"/>
      <c r="HY90" s="35"/>
      <c r="HZ90" s="35"/>
      <c r="IA90" s="35"/>
      <c r="IB90" s="35"/>
      <c r="IC90" s="35"/>
      <c r="ID90" s="35"/>
      <c r="IE90" s="35"/>
      <c r="IF90" s="35"/>
      <c r="IG90" s="35"/>
      <c r="IH90" s="35"/>
      <c r="II90" s="35"/>
      <c r="IJ90" s="35"/>
      <c r="IK90" s="35"/>
      <c r="IL90" s="35"/>
      <c r="IM90" s="35"/>
      <c r="IN90" s="35"/>
      <c r="IO90" s="35"/>
      <c r="IP90" s="35"/>
      <c r="IQ90" s="35"/>
      <c r="IR90" s="35"/>
      <c r="IS90" s="35"/>
      <c r="IT90" s="35"/>
      <c r="IU90" s="35"/>
      <c r="IV90" s="35"/>
      <c r="IW90" s="35"/>
      <c r="IX90" s="35"/>
      <c r="IY90" s="35"/>
      <c r="IZ90" s="35"/>
      <c r="JA90" s="35"/>
      <c r="JB90" s="35"/>
      <c r="JC90" s="35"/>
      <c r="JD90" s="35"/>
      <c r="JE90" s="35"/>
      <c r="JF90" s="35"/>
      <c r="JG90" s="35"/>
      <c r="JH90" s="35"/>
      <c r="JI90" s="35"/>
      <c r="JJ90" s="35"/>
      <c r="JK90" s="35"/>
      <c r="JL90" s="35"/>
      <c r="JM90" s="35"/>
      <c r="JN90" s="35"/>
      <c r="JO90" s="35"/>
      <c r="JP90" s="35"/>
      <c r="JQ90" s="35"/>
      <c r="JR90" s="35"/>
      <c r="JS90" s="35"/>
      <c r="JT90" s="35"/>
      <c r="JU90" s="35"/>
      <c r="JV90" s="35"/>
      <c r="JW90" s="35"/>
      <c r="JX90" s="35"/>
      <c r="JY90" s="35"/>
      <c r="JZ90" s="35"/>
      <c r="KA90" s="35"/>
      <c r="KB90" s="35"/>
      <c r="KC90" s="35"/>
      <c r="KD90" s="35"/>
      <c r="KE90" s="35"/>
      <c r="KF90" s="35"/>
      <c r="KG90" s="35"/>
      <c r="KH90" s="35"/>
      <c r="KI90" s="35"/>
      <c r="KJ90" s="35"/>
      <c r="KK90" s="35"/>
      <c r="KL90" s="35"/>
      <c r="KM90" s="35"/>
      <c r="KN90" s="35"/>
      <c r="KO90" s="35"/>
      <c r="KP90" s="35"/>
      <c r="KQ90" s="35"/>
      <c r="KR90" s="35"/>
      <c r="KS90" s="35"/>
      <c r="KT90" s="35"/>
      <c r="KU90" s="35"/>
      <c r="KV90" s="35"/>
      <c r="KW90" s="35"/>
      <c r="KX90" s="35"/>
      <c r="KY90" s="35"/>
      <c r="KZ90" s="35"/>
      <c r="LA90" s="35"/>
      <c r="LB90" s="35"/>
      <c r="LC90" s="35"/>
      <c r="LD90" s="35"/>
      <c r="LE90" s="35"/>
      <c r="LF90" s="35"/>
      <c r="LG90" s="35"/>
      <c r="LH90" s="35"/>
      <c r="LI90" s="35"/>
      <c r="LJ90" s="35"/>
      <c r="LK90" s="35"/>
      <c r="LL90" s="35"/>
      <c r="LM90" s="35"/>
      <c r="LN90" s="35"/>
      <c r="LO90" s="35"/>
      <c r="LP90" s="35"/>
      <c r="LQ90" s="35"/>
      <c r="LR90" s="35"/>
      <c r="LS90" s="35"/>
      <c r="LT90" s="35"/>
      <c r="LU90" s="35"/>
      <c r="LV90" s="35"/>
      <c r="LW90" s="35"/>
      <c r="LX90" s="35"/>
      <c r="LY90" s="35"/>
      <c r="LZ90" s="35"/>
      <c r="MA90" s="35"/>
      <c r="MB90" s="35"/>
      <c r="MC90" s="35"/>
      <c r="MD90" s="35"/>
      <c r="ME90" s="35"/>
      <c r="MF90" s="35"/>
      <c r="MG90" s="35"/>
    </row>
    <row r="91" spans="2:345" s="67" customFormat="1" ht="36" hidden="1" customHeight="1" x14ac:dyDescent="0.25">
      <c r="B91" s="28" t="s">
        <v>4404</v>
      </c>
      <c r="C91" s="24" t="s">
        <v>19</v>
      </c>
      <c r="D91" s="19" t="s">
        <v>4389</v>
      </c>
      <c r="E91" s="18">
        <v>42556</v>
      </c>
      <c r="F91" s="27">
        <f t="shared" ca="1" si="2"/>
        <v>1917</v>
      </c>
      <c r="G91" s="69"/>
      <c r="H91" s="68"/>
      <c r="I91" s="25"/>
      <c r="J91" s="25"/>
      <c r="K91" s="68"/>
      <c r="L91" s="68">
        <v>42593</v>
      </c>
      <c r="M91" s="68"/>
      <c r="N91" s="22"/>
      <c r="O91" s="26"/>
      <c r="P91" s="35"/>
      <c r="Q91" s="35"/>
      <c r="R91" s="20"/>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35"/>
      <c r="AS91" s="35"/>
      <c r="AT91" s="35"/>
      <c r="AU91" s="35"/>
      <c r="AV91" s="35"/>
      <c r="AW91" s="35"/>
      <c r="AX91" s="35"/>
      <c r="AY91" s="35"/>
      <c r="AZ91" s="35"/>
      <c r="BA91" s="35"/>
      <c r="BB91" s="35"/>
      <c r="BC91" s="35"/>
      <c r="BD91" s="35"/>
      <c r="BE91" s="35"/>
      <c r="BF91" s="35"/>
      <c r="BG91" s="35"/>
      <c r="BH91" s="35"/>
      <c r="BI91" s="35"/>
      <c r="BJ91" s="35"/>
      <c r="BK91" s="35"/>
      <c r="BL91" s="35"/>
      <c r="BM91" s="35"/>
      <c r="BN91" s="35"/>
      <c r="BO91" s="35"/>
      <c r="BP91" s="35"/>
      <c r="BQ91" s="35"/>
      <c r="BR91" s="35"/>
      <c r="BS91" s="35"/>
      <c r="BT91" s="35"/>
      <c r="BU91" s="35"/>
      <c r="BV91" s="35"/>
      <c r="BW91" s="35"/>
      <c r="BX91" s="35"/>
      <c r="BY91" s="35"/>
      <c r="BZ91" s="35"/>
      <c r="CA91" s="35"/>
      <c r="CB91" s="35"/>
      <c r="CC91" s="35"/>
      <c r="CD91" s="35"/>
      <c r="CE91" s="35"/>
      <c r="CF91" s="35"/>
      <c r="CG91" s="35"/>
      <c r="CH91" s="35"/>
      <c r="CI91" s="35"/>
      <c r="CJ91" s="35"/>
      <c r="CK91" s="35"/>
      <c r="CL91" s="35"/>
      <c r="CM91" s="35"/>
      <c r="CN91" s="35"/>
      <c r="CO91" s="35"/>
      <c r="CP91" s="35"/>
      <c r="CQ91" s="35"/>
      <c r="CR91" s="35"/>
      <c r="CS91" s="35"/>
      <c r="CT91" s="35"/>
      <c r="CU91" s="35"/>
      <c r="CV91" s="35"/>
      <c r="CW91" s="35"/>
      <c r="CX91" s="35"/>
      <c r="CY91" s="35"/>
      <c r="CZ91" s="35"/>
      <c r="DA91" s="35"/>
      <c r="DB91" s="35"/>
      <c r="DC91" s="35"/>
      <c r="DD91" s="35"/>
      <c r="DE91" s="35"/>
      <c r="DF91" s="35"/>
      <c r="DG91" s="35"/>
      <c r="DH91" s="35"/>
      <c r="DI91" s="35"/>
      <c r="DJ91" s="35"/>
      <c r="DK91" s="35"/>
      <c r="DL91" s="35"/>
      <c r="DM91" s="35"/>
      <c r="DN91" s="35"/>
      <c r="DO91" s="35"/>
      <c r="DP91" s="35"/>
      <c r="DQ91" s="35"/>
      <c r="DR91" s="35"/>
      <c r="DS91" s="35"/>
      <c r="DT91" s="35"/>
      <c r="DU91" s="35"/>
      <c r="DV91" s="35"/>
      <c r="DW91" s="35"/>
      <c r="DX91" s="35"/>
      <c r="DY91" s="35"/>
      <c r="DZ91" s="35"/>
      <c r="EA91" s="35"/>
      <c r="EB91" s="35"/>
      <c r="EC91" s="35"/>
      <c r="ED91" s="35"/>
      <c r="EE91" s="35"/>
      <c r="EF91" s="35"/>
      <c r="EG91" s="35"/>
      <c r="EH91" s="35"/>
      <c r="EI91" s="35"/>
      <c r="EJ91" s="35"/>
      <c r="EK91" s="35"/>
      <c r="EL91" s="35"/>
      <c r="EM91" s="35"/>
      <c r="EN91" s="35"/>
      <c r="EO91" s="35"/>
      <c r="EP91" s="35"/>
      <c r="EQ91" s="35"/>
      <c r="ER91" s="35"/>
      <c r="ES91" s="35"/>
      <c r="ET91" s="35"/>
      <c r="EU91" s="35"/>
      <c r="EV91" s="35"/>
      <c r="EW91" s="35"/>
      <c r="EX91" s="35"/>
      <c r="EY91" s="35"/>
      <c r="EZ91" s="35"/>
      <c r="FA91" s="35"/>
      <c r="FB91" s="35"/>
      <c r="FC91" s="35"/>
      <c r="FD91" s="35"/>
      <c r="FE91" s="35"/>
      <c r="FF91" s="35"/>
      <c r="FG91" s="35"/>
      <c r="FH91" s="35"/>
      <c r="FI91" s="35"/>
      <c r="FJ91" s="35"/>
      <c r="FK91" s="35"/>
      <c r="FL91" s="35"/>
      <c r="FM91" s="35"/>
      <c r="FN91" s="35"/>
      <c r="FO91" s="35"/>
      <c r="FP91" s="35"/>
      <c r="FQ91" s="35"/>
      <c r="FR91" s="35"/>
      <c r="FS91" s="35"/>
      <c r="FT91" s="35"/>
      <c r="FU91" s="35"/>
      <c r="FV91" s="35"/>
      <c r="FW91" s="35"/>
      <c r="FX91" s="35"/>
      <c r="FY91" s="35"/>
      <c r="FZ91" s="35"/>
      <c r="GA91" s="35"/>
      <c r="GB91" s="35"/>
      <c r="GC91" s="35"/>
      <c r="GD91" s="35"/>
      <c r="GE91" s="35"/>
      <c r="GF91" s="35"/>
      <c r="GG91" s="35"/>
      <c r="GH91" s="35"/>
      <c r="GI91" s="35"/>
      <c r="GJ91" s="35"/>
      <c r="GK91" s="35"/>
      <c r="GL91" s="35"/>
      <c r="GM91" s="35"/>
      <c r="GN91" s="35"/>
      <c r="GO91" s="35"/>
      <c r="GP91" s="35"/>
      <c r="GQ91" s="35"/>
      <c r="GR91" s="35"/>
      <c r="GS91" s="35"/>
      <c r="GT91" s="35"/>
      <c r="GU91" s="35"/>
      <c r="GV91" s="35"/>
      <c r="GW91" s="35"/>
      <c r="GX91" s="35"/>
      <c r="GY91" s="35"/>
      <c r="GZ91" s="35"/>
      <c r="HA91" s="35"/>
      <c r="HB91" s="35"/>
      <c r="HC91" s="35"/>
      <c r="HD91" s="35"/>
      <c r="HE91" s="35"/>
      <c r="HF91" s="35"/>
      <c r="HG91" s="35"/>
      <c r="HH91" s="35"/>
      <c r="HI91" s="35"/>
      <c r="HJ91" s="35"/>
      <c r="HK91" s="35"/>
      <c r="HL91" s="35"/>
      <c r="HM91" s="35"/>
      <c r="HN91" s="35"/>
      <c r="HO91" s="35"/>
      <c r="HP91" s="35"/>
      <c r="HQ91" s="35"/>
      <c r="HR91" s="35"/>
      <c r="HS91" s="35"/>
      <c r="HT91" s="35"/>
      <c r="HU91" s="35"/>
      <c r="HV91" s="35"/>
      <c r="HW91" s="35"/>
      <c r="HX91" s="35"/>
      <c r="HY91" s="35"/>
      <c r="HZ91" s="35"/>
      <c r="IA91" s="35"/>
      <c r="IB91" s="35"/>
      <c r="IC91" s="35"/>
      <c r="ID91" s="35"/>
      <c r="IE91" s="35"/>
      <c r="IF91" s="35"/>
      <c r="IG91" s="35"/>
      <c r="IH91" s="35"/>
      <c r="II91" s="35"/>
      <c r="IJ91" s="35"/>
      <c r="IK91" s="35"/>
      <c r="IL91" s="35"/>
      <c r="IM91" s="35"/>
      <c r="IN91" s="35"/>
      <c r="IO91" s="35"/>
      <c r="IP91" s="35"/>
      <c r="IQ91" s="35"/>
      <c r="IR91" s="35"/>
      <c r="IS91" s="35"/>
      <c r="IT91" s="35"/>
      <c r="IU91" s="35"/>
      <c r="IV91" s="35"/>
      <c r="IW91" s="35"/>
      <c r="IX91" s="35"/>
      <c r="IY91" s="35"/>
      <c r="IZ91" s="35"/>
      <c r="JA91" s="35"/>
      <c r="JB91" s="35"/>
      <c r="JC91" s="35"/>
      <c r="JD91" s="35"/>
      <c r="JE91" s="35"/>
      <c r="JF91" s="35"/>
      <c r="JG91" s="35"/>
      <c r="JH91" s="35"/>
      <c r="JI91" s="35"/>
      <c r="JJ91" s="35"/>
      <c r="JK91" s="35"/>
      <c r="JL91" s="35"/>
      <c r="JM91" s="35"/>
      <c r="JN91" s="35"/>
      <c r="JO91" s="35"/>
      <c r="JP91" s="35"/>
      <c r="JQ91" s="35"/>
      <c r="JR91" s="35"/>
      <c r="JS91" s="35"/>
      <c r="JT91" s="35"/>
      <c r="JU91" s="35"/>
      <c r="JV91" s="35"/>
      <c r="JW91" s="35"/>
      <c r="JX91" s="35"/>
      <c r="JY91" s="35"/>
      <c r="JZ91" s="35"/>
      <c r="KA91" s="35"/>
      <c r="KB91" s="35"/>
      <c r="KC91" s="35"/>
      <c r="KD91" s="35"/>
      <c r="KE91" s="35"/>
      <c r="KF91" s="35"/>
      <c r="KG91" s="35"/>
      <c r="KH91" s="35"/>
      <c r="KI91" s="35"/>
      <c r="KJ91" s="35"/>
      <c r="KK91" s="35"/>
      <c r="KL91" s="35"/>
      <c r="KM91" s="35"/>
      <c r="KN91" s="35"/>
      <c r="KO91" s="35"/>
      <c r="KP91" s="35"/>
      <c r="KQ91" s="35"/>
      <c r="KR91" s="35"/>
      <c r="KS91" s="35"/>
      <c r="KT91" s="35"/>
      <c r="KU91" s="35"/>
      <c r="KV91" s="35"/>
      <c r="KW91" s="35"/>
      <c r="KX91" s="35"/>
      <c r="KY91" s="35"/>
      <c r="KZ91" s="35"/>
      <c r="LA91" s="35"/>
      <c r="LB91" s="35"/>
      <c r="LC91" s="35"/>
      <c r="LD91" s="35"/>
      <c r="LE91" s="35"/>
      <c r="LF91" s="35"/>
      <c r="LG91" s="35"/>
      <c r="LH91" s="35"/>
      <c r="LI91" s="35"/>
      <c r="LJ91" s="35"/>
      <c r="LK91" s="35"/>
      <c r="LL91" s="35"/>
      <c r="LM91" s="35"/>
      <c r="LN91" s="35"/>
      <c r="LO91" s="35"/>
      <c r="LP91" s="35"/>
      <c r="LQ91" s="35"/>
      <c r="LR91" s="35"/>
      <c r="LS91" s="35"/>
      <c r="LT91" s="35"/>
      <c r="LU91" s="35"/>
      <c r="LV91" s="35"/>
      <c r="LW91" s="35"/>
      <c r="LX91" s="35"/>
      <c r="LY91" s="35"/>
      <c r="LZ91" s="35"/>
      <c r="MA91" s="35"/>
      <c r="MB91" s="35"/>
      <c r="MC91" s="35"/>
      <c r="MD91" s="35"/>
      <c r="ME91" s="35"/>
      <c r="MF91" s="35"/>
      <c r="MG91" s="35"/>
    </row>
    <row r="92" spans="2:345" s="67" customFormat="1" ht="36" hidden="1" customHeight="1" x14ac:dyDescent="0.25">
      <c r="B92" s="28">
        <v>4153</v>
      </c>
      <c r="C92" s="24" t="s">
        <v>14</v>
      </c>
      <c r="D92" s="19" t="s">
        <v>4381</v>
      </c>
      <c r="E92" s="18">
        <v>42562</v>
      </c>
      <c r="F92" s="27">
        <f t="shared" ca="1" si="2"/>
        <v>1911</v>
      </c>
      <c r="G92" s="69"/>
      <c r="H92" s="68"/>
      <c r="I92" s="25"/>
      <c r="J92" s="25"/>
      <c r="K92" s="68"/>
      <c r="L92" s="68">
        <v>42562</v>
      </c>
      <c r="M92" s="68"/>
      <c r="N92" s="22"/>
      <c r="O92" s="26"/>
      <c r="P92" s="35"/>
      <c r="Q92" s="35"/>
      <c r="R92" s="20"/>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35"/>
      <c r="AS92" s="35"/>
      <c r="AT92" s="35"/>
      <c r="AU92" s="35"/>
      <c r="AV92" s="35"/>
      <c r="AW92" s="35"/>
      <c r="AX92" s="35"/>
      <c r="AY92" s="35"/>
      <c r="AZ92" s="35"/>
      <c r="BA92" s="35"/>
      <c r="BB92" s="35"/>
      <c r="BC92" s="35"/>
      <c r="BD92" s="35"/>
      <c r="BE92" s="35"/>
      <c r="BF92" s="35"/>
      <c r="BG92" s="35"/>
      <c r="BH92" s="35"/>
      <c r="BI92" s="35"/>
      <c r="BJ92" s="35"/>
      <c r="BK92" s="35"/>
      <c r="BL92" s="35"/>
      <c r="BM92" s="35"/>
      <c r="BN92" s="35"/>
      <c r="BO92" s="35"/>
      <c r="BP92" s="35"/>
      <c r="BQ92" s="35"/>
      <c r="BR92" s="35"/>
      <c r="BS92" s="35"/>
      <c r="BT92" s="35"/>
      <c r="BU92" s="35"/>
      <c r="BV92" s="35"/>
      <c r="BW92" s="35"/>
      <c r="BX92" s="35"/>
      <c r="BY92" s="35"/>
      <c r="BZ92" s="35"/>
      <c r="CA92" s="35"/>
      <c r="CB92" s="35"/>
      <c r="CC92" s="35"/>
      <c r="CD92" s="35"/>
      <c r="CE92" s="35"/>
      <c r="CF92" s="35"/>
      <c r="CG92" s="35"/>
      <c r="CH92" s="35"/>
      <c r="CI92" s="35"/>
      <c r="CJ92" s="35"/>
      <c r="CK92" s="35"/>
      <c r="CL92" s="35"/>
      <c r="CM92" s="35"/>
      <c r="CN92" s="35"/>
      <c r="CO92" s="35"/>
      <c r="CP92" s="35"/>
      <c r="CQ92" s="35"/>
      <c r="CR92" s="35"/>
      <c r="CS92" s="35"/>
      <c r="CT92" s="35"/>
      <c r="CU92" s="35"/>
      <c r="CV92" s="35"/>
      <c r="CW92" s="35"/>
      <c r="CX92" s="35"/>
      <c r="CY92" s="35"/>
      <c r="CZ92" s="35"/>
      <c r="DA92" s="35"/>
      <c r="DB92" s="35"/>
      <c r="DC92" s="35"/>
      <c r="DD92" s="35"/>
      <c r="DE92" s="35"/>
      <c r="DF92" s="35"/>
      <c r="DG92" s="35"/>
      <c r="DH92" s="35"/>
      <c r="DI92" s="35"/>
      <c r="DJ92" s="35"/>
      <c r="DK92" s="35"/>
      <c r="DL92" s="35"/>
      <c r="DM92" s="35"/>
      <c r="DN92" s="35"/>
      <c r="DO92" s="35"/>
      <c r="DP92" s="35"/>
      <c r="DQ92" s="35"/>
      <c r="DR92" s="35"/>
      <c r="DS92" s="35"/>
      <c r="DT92" s="35"/>
      <c r="DU92" s="35"/>
      <c r="DV92" s="35"/>
      <c r="DW92" s="35"/>
      <c r="DX92" s="35"/>
      <c r="DY92" s="35"/>
      <c r="DZ92" s="35"/>
      <c r="EA92" s="35"/>
      <c r="EB92" s="35"/>
      <c r="EC92" s="35"/>
      <c r="ED92" s="35"/>
      <c r="EE92" s="35"/>
      <c r="EF92" s="35"/>
      <c r="EG92" s="35"/>
      <c r="EH92" s="35"/>
      <c r="EI92" s="35"/>
      <c r="EJ92" s="35"/>
      <c r="EK92" s="35"/>
      <c r="EL92" s="35"/>
      <c r="EM92" s="35"/>
      <c r="EN92" s="35"/>
      <c r="EO92" s="35"/>
      <c r="EP92" s="35"/>
      <c r="EQ92" s="35"/>
      <c r="ER92" s="35"/>
      <c r="ES92" s="35"/>
      <c r="ET92" s="35"/>
      <c r="EU92" s="35"/>
      <c r="EV92" s="35"/>
      <c r="EW92" s="35"/>
      <c r="EX92" s="35"/>
      <c r="EY92" s="35"/>
      <c r="EZ92" s="35"/>
      <c r="FA92" s="35"/>
      <c r="FB92" s="35"/>
      <c r="FC92" s="35"/>
      <c r="FD92" s="35"/>
      <c r="FE92" s="35"/>
      <c r="FF92" s="35"/>
      <c r="FG92" s="35"/>
      <c r="FH92" s="35"/>
      <c r="FI92" s="35"/>
      <c r="FJ92" s="35"/>
      <c r="FK92" s="35"/>
      <c r="FL92" s="35"/>
      <c r="FM92" s="35"/>
      <c r="FN92" s="35"/>
      <c r="FO92" s="35"/>
      <c r="FP92" s="35"/>
      <c r="FQ92" s="35"/>
      <c r="FR92" s="35"/>
      <c r="FS92" s="35"/>
      <c r="FT92" s="35"/>
      <c r="FU92" s="35"/>
      <c r="FV92" s="35"/>
      <c r="FW92" s="35"/>
      <c r="FX92" s="35"/>
      <c r="FY92" s="35"/>
      <c r="FZ92" s="35"/>
      <c r="GA92" s="35"/>
      <c r="GB92" s="35"/>
      <c r="GC92" s="35"/>
      <c r="GD92" s="35"/>
      <c r="GE92" s="35"/>
      <c r="GF92" s="35"/>
      <c r="GG92" s="35"/>
      <c r="GH92" s="35"/>
      <c r="GI92" s="35"/>
      <c r="GJ92" s="35"/>
      <c r="GK92" s="35"/>
      <c r="GL92" s="35"/>
      <c r="GM92" s="35"/>
      <c r="GN92" s="35"/>
      <c r="GO92" s="35"/>
      <c r="GP92" s="35"/>
      <c r="GQ92" s="35"/>
      <c r="GR92" s="35"/>
      <c r="GS92" s="35"/>
      <c r="GT92" s="35"/>
      <c r="GU92" s="35"/>
      <c r="GV92" s="35"/>
      <c r="GW92" s="35"/>
      <c r="GX92" s="35"/>
      <c r="GY92" s="35"/>
      <c r="GZ92" s="35"/>
      <c r="HA92" s="35"/>
      <c r="HB92" s="35"/>
      <c r="HC92" s="35"/>
      <c r="HD92" s="35"/>
      <c r="HE92" s="35"/>
      <c r="HF92" s="35"/>
      <c r="HG92" s="35"/>
      <c r="HH92" s="35"/>
      <c r="HI92" s="35"/>
      <c r="HJ92" s="35"/>
      <c r="HK92" s="35"/>
      <c r="HL92" s="35"/>
      <c r="HM92" s="35"/>
      <c r="HN92" s="35"/>
      <c r="HO92" s="35"/>
      <c r="HP92" s="35"/>
      <c r="HQ92" s="35"/>
      <c r="HR92" s="35"/>
      <c r="HS92" s="35"/>
      <c r="HT92" s="35"/>
      <c r="HU92" s="35"/>
      <c r="HV92" s="35"/>
      <c r="HW92" s="35"/>
      <c r="HX92" s="35"/>
      <c r="HY92" s="35"/>
      <c r="HZ92" s="35"/>
      <c r="IA92" s="35"/>
      <c r="IB92" s="35"/>
      <c r="IC92" s="35"/>
      <c r="ID92" s="35"/>
      <c r="IE92" s="35"/>
      <c r="IF92" s="35"/>
      <c r="IG92" s="35"/>
      <c r="IH92" s="35"/>
      <c r="II92" s="35"/>
      <c r="IJ92" s="35"/>
      <c r="IK92" s="35"/>
      <c r="IL92" s="35"/>
      <c r="IM92" s="35"/>
      <c r="IN92" s="35"/>
      <c r="IO92" s="35"/>
      <c r="IP92" s="35"/>
      <c r="IQ92" s="35"/>
      <c r="IR92" s="35"/>
      <c r="IS92" s="35"/>
      <c r="IT92" s="35"/>
      <c r="IU92" s="35"/>
      <c r="IV92" s="35"/>
      <c r="IW92" s="35"/>
      <c r="IX92" s="35"/>
      <c r="IY92" s="35"/>
      <c r="IZ92" s="35"/>
      <c r="JA92" s="35"/>
      <c r="JB92" s="35"/>
      <c r="JC92" s="35"/>
      <c r="JD92" s="35"/>
      <c r="JE92" s="35"/>
      <c r="JF92" s="35"/>
      <c r="JG92" s="35"/>
      <c r="JH92" s="35"/>
      <c r="JI92" s="35"/>
      <c r="JJ92" s="35"/>
      <c r="JK92" s="35"/>
      <c r="JL92" s="35"/>
      <c r="JM92" s="35"/>
      <c r="JN92" s="35"/>
      <c r="JO92" s="35"/>
      <c r="JP92" s="35"/>
      <c r="JQ92" s="35"/>
      <c r="JR92" s="35"/>
      <c r="JS92" s="35"/>
      <c r="JT92" s="35"/>
      <c r="JU92" s="35"/>
      <c r="JV92" s="35"/>
      <c r="JW92" s="35"/>
      <c r="JX92" s="35"/>
      <c r="JY92" s="35"/>
      <c r="JZ92" s="35"/>
      <c r="KA92" s="35"/>
      <c r="KB92" s="35"/>
      <c r="KC92" s="35"/>
      <c r="KD92" s="35"/>
      <c r="KE92" s="35"/>
      <c r="KF92" s="35"/>
      <c r="KG92" s="35"/>
      <c r="KH92" s="35"/>
      <c r="KI92" s="35"/>
      <c r="KJ92" s="35"/>
      <c r="KK92" s="35"/>
      <c r="KL92" s="35"/>
      <c r="KM92" s="35"/>
      <c r="KN92" s="35"/>
      <c r="KO92" s="35"/>
      <c r="KP92" s="35"/>
      <c r="KQ92" s="35"/>
      <c r="KR92" s="35"/>
      <c r="KS92" s="35"/>
      <c r="KT92" s="35"/>
      <c r="KU92" s="35"/>
      <c r="KV92" s="35"/>
      <c r="KW92" s="35"/>
      <c r="KX92" s="35"/>
      <c r="KY92" s="35"/>
      <c r="KZ92" s="35"/>
      <c r="LA92" s="35"/>
      <c r="LB92" s="35"/>
      <c r="LC92" s="35"/>
      <c r="LD92" s="35"/>
      <c r="LE92" s="35"/>
      <c r="LF92" s="35"/>
      <c r="LG92" s="35"/>
      <c r="LH92" s="35"/>
      <c r="LI92" s="35"/>
      <c r="LJ92" s="35"/>
      <c r="LK92" s="35"/>
      <c r="LL92" s="35"/>
      <c r="LM92" s="35"/>
      <c r="LN92" s="35"/>
      <c r="LO92" s="35"/>
      <c r="LP92" s="35"/>
      <c r="LQ92" s="35"/>
      <c r="LR92" s="35"/>
      <c r="LS92" s="35"/>
      <c r="LT92" s="35"/>
      <c r="LU92" s="35"/>
      <c r="LV92" s="35"/>
      <c r="LW92" s="35"/>
      <c r="LX92" s="35"/>
      <c r="LY92" s="35"/>
      <c r="LZ92" s="35"/>
      <c r="MA92" s="35"/>
      <c r="MB92" s="35"/>
      <c r="MC92" s="35"/>
      <c r="MD92" s="35"/>
      <c r="ME92" s="35"/>
      <c r="MF92" s="35"/>
      <c r="MG92" s="35"/>
    </row>
    <row r="93" spans="2:345" s="67" customFormat="1" ht="36" hidden="1" customHeight="1" x14ac:dyDescent="0.25">
      <c r="B93" s="28">
        <v>4184</v>
      </c>
      <c r="C93" s="24" t="s">
        <v>23</v>
      </c>
      <c r="D93" s="19" t="s">
        <v>4391</v>
      </c>
      <c r="E93" s="18">
        <v>42566</v>
      </c>
      <c r="F93" s="27">
        <f t="shared" ca="1" si="2"/>
        <v>1907</v>
      </c>
      <c r="G93" s="69"/>
      <c r="H93" s="68"/>
      <c r="I93" s="25"/>
      <c r="J93" s="25"/>
      <c r="K93" s="68"/>
      <c r="L93" s="68">
        <v>42566</v>
      </c>
      <c r="M93" s="68"/>
      <c r="N93" s="22"/>
      <c r="O93" s="26"/>
      <c r="P93" s="35"/>
      <c r="Q93" s="35"/>
      <c r="R93" s="20"/>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35"/>
      <c r="AS93" s="35"/>
      <c r="AT93" s="35"/>
      <c r="AU93" s="35"/>
      <c r="AV93" s="35"/>
      <c r="AW93" s="35"/>
      <c r="AX93" s="35"/>
      <c r="AY93" s="35"/>
      <c r="AZ93" s="35"/>
      <c r="BA93" s="35"/>
      <c r="BB93" s="35"/>
      <c r="BC93" s="35"/>
      <c r="BD93" s="35"/>
      <c r="BE93" s="35"/>
      <c r="BF93" s="35"/>
      <c r="BG93" s="35"/>
      <c r="BH93" s="35"/>
      <c r="BI93" s="35"/>
      <c r="BJ93" s="35"/>
      <c r="BK93" s="35"/>
      <c r="BL93" s="35"/>
      <c r="BM93" s="35"/>
      <c r="BN93" s="35"/>
      <c r="BO93" s="35"/>
      <c r="BP93" s="35"/>
      <c r="BQ93" s="35"/>
      <c r="BR93" s="35"/>
      <c r="BS93" s="35"/>
      <c r="BT93" s="35"/>
      <c r="BU93" s="35"/>
      <c r="BV93" s="35"/>
      <c r="BW93" s="35"/>
      <c r="BX93" s="35"/>
      <c r="BY93" s="35"/>
      <c r="BZ93" s="35"/>
      <c r="CA93" s="35"/>
      <c r="CB93" s="35"/>
      <c r="CC93" s="35"/>
      <c r="CD93" s="35"/>
      <c r="CE93" s="35"/>
      <c r="CF93" s="35"/>
      <c r="CG93" s="35"/>
      <c r="CH93" s="35"/>
      <c r="CI93" s="35"/>
      <c r="CJ93" s="35"/>
      <c r="CK93" s="35"/>
      <c r="CL93" s="35"/>
      <c r="CM93" s="35"/>
      <c r="CN93" s="35"/>
      <c r="CO93" s="35"/>
      <c r="CP93" s="35"/>
      <c r="CQ93" s="35"/>
      <c r="CR93" s="35"/>
      <c r="CS93" s="35"/>
      <c r="CT93" s="35"/>
      <c r="CU93" s="35"/>
      <c r="CV93" s="35"/>
      <c r="CW93" s="35"/>
      <c r="CX93" s="35"/>
      <c r="CY93" s="35"/>
      <c r="CZ93" s="35"/>
      <c r="DA93" s="35"/>
      <c r="DB93" s="35"/>
      <c r="DC93" s="35"/>
      <c r="DD93" s="35"/>
      <c r="DE93" s="35"/>
      <c r="DF93" s="35"/>
      <c r="DG93" s="35"/>
      <c r="DH93" s="35"/>
      <c r="DI93" s="35"/>
      <c r="DJ93" s="35"/>
      <c r="DK93" s="35"/>
      <c r="DL93" s="35"/>
      <c r="DM93" s="35"/>
      <c r="DN93" s="35"/>
      <c r="DO93" s="35"/>
      <c r="DP93" s="35"/>
      <c r="DQ93" s="35"/>
      <c r="DR93" s="35"/>
      <c r="DS93" s="35"/>
      <c r="DT93" s="35"/>
      <c r="DU93" s="35"/>
      <c r="DV93" s="35"/>
      <c r="DW93" s="35"/>
      <c r="DX93" s="35"/>
      <c r="DY93" s="35"/>
      <c r="DZ93" s="35"/>
      <c r="EA93" s="35"/>
      <c r="EB93" s="35"/>
      <c r="EC93" s="35"/>
      <c r="ED93" s="35"/>
      <c r="EE93" s="35"/>
      <c r="EF93" s="35"/>
      <c r="EG93" s="35"/>
      <c r="EH93" s="35"/>
      <c r="EI93" s="35"/>
      <c r="EJ93" s="35"/>
      <c r="EK93" s="35"/>
      <c r="EL93" s="35"/>
      <c r="EM93" s="35"/>
      <c r="EN93" s="35"/>
      <c r="EO93" s="35"/>
      <c r="EP93" s="35"/>
      <c r="EQ93" s="35"/>
      <c r="ER93" s="35"/>
      <c r="ES93" s="35"/>
      <c r="ET93" s="35"/>
      <c r="EU93" s="35"/>
      <c r="EV93" s="35"/>
      <c r="EW93" s="35"/>
      <c r="EX93" s="35"/>
      <c r="EY93" s="35"/>
      <c r="EZ93" s="35"/>
      <c r="FA93" s="35"/>
      <c r="FB93" s="35"/>
      <c r="FC93" s="35"/>
      <c r="FD93" s="35"/>
      <c r="FE93" s="35"/>
      <c r="FF93" s="35"/>
      <c r="FG93" s="35"/>
      <c r="FH93" s="35"/>
      <c r="FI93" s="35"/>
      <c r="FJ93" s="35"/>
      <c r="FK93" s="35"/>
      <c r="FL93" s="35"/>
      <c r="FM93" s="35"/>
      <c r="FN93" s="35"/>
      <c r="FO93" s="35"/>
      <c r="FP93" s="35"/>
      <c r="FQ93" s="35"/>
      <c r="FR93" s="35"/>
      <c r="FS93" s="35"/>
      <c r="FT93" s="35"/>
      <c r="FU93" s="35"/>
      <c r="FV93" s="35"/>
      <c r="FW93" s="35"/>
      <c r="FX93" s="35"/>
      <c r="FY93" s="35"/>
      <c r="FZ93" s="35"/>
      <c r="GA93" s="35"/>
      <c r="GB93" s="35"/>
      <c r="GC93" s="35"/>
      <c r="GD93" s="35"/>
      <c r="GE93" s="35"/>
      <c r="GF93" s="35"/>
      <c r="GG93" s="35"/>
      <c r="GH93" s="35"/>
      <c r="GI93" s="35"/>
      <c r="GJ93" s="35"/>
      <c r="GK93" s="35"/>
      <c r="GL93" s="35"/>
      <c r="GM93" s="35"/>
      <c r="GN93" s="35"/>
      <c r="GO93" s="35"/>
      <c r="GP93" s="35"/>
      <c r="GQ93" s="35"/>
      <c r="GR93" s="35"/>
      <c r="GS93" s="35"/>
      <c r="GT93" s="35"/>
      <c r="GU93" s="35"/>
      <c r="GV93" s="35"/>
      <c r="GW93" s="35"/>
      <c r="GX93" s="35"/>
      <c r="GY93" s="35"/>
      <c r="GZ93" s="35"/>
      <c r="HA93" s="35"/>
      <c r="HB93" s="35"/>
      <c r="HC93" s="35"/>
      <c r="HD93" s="35"/>
      <c r="HE93" s="35"/>
      <c r="HF93" s="35"/>
      <c r="HG93" s="35"/>
      <c r="HH93" s="35"/>
      <c r="HI93" s="35"/>
      <c r="HJ93" s="35"/>
      <c r="HK93" s="35"/>
      <c r="HL93" s="35"/>
      <c r="HM93" s="35"/>
      <c r="HN93" s="35"/>
      <c r="HO93" s="35"/>
      <c r="HP93" s="35"/>
      <c r="HQ93" s="35"/>
      <c r="HR93" s="35"/>
      <c r="HS93" s="35"/>
      <c r="HT93" s="35"/>
      <c r="HU93" s="35"/>
      <c r="HV93" s="35"/>
      <c r="HW93" s="35"/>
      <c r="HX93" s="35"/>
      <c r="HY93" s="35"/>
      <c r="HZ93" s="35"/>
      <c r="IA93" s="35"/>
      <c r="IB93" s="35"/>
      <c r="IC93" s="35"/>
      <c r="ID93" s="35"/>
      <c r="IE93" s="35"/>
      <c r="IF93" s="35"/>
      <c r="IG93" s="35"/>
      <c r="IH93" s="35"/>
      <c r="II93" s="35"/>
      <c r="IJ93" s="35"/>
      <c r="IK93" s="35"/>
      <c r="IL93" s="35"/>
      <c r="IM93" s="35"/>
      <c r="IN93" s="35"/>
      <c r="IO93" s="35"/>
      <c r="IP93" s="35"/>
      <c r="IQ93" s="35"/>
      <c r="IR93" s="35"/>
      <c r="IS93" s="35"/>
      <c r="IT93" s="35"/>
      <c r="IU93" s="35"/>
      <c r="IV93" s="35"/>
      <c r="IW93" s="35"/>
      <c r="IX93" s="35"/>
      <c r="IY93" s="35"/>
      <c r="IZ93" s="35"/>
      <c r="JA93" s="35"/>
      <c r="JB93" s="35"/>
      <c r="JC93" s="35"/>
      <c r="JD93" s="35"/>
      <c r="JE93" s="35"/>
      <c r="JF93" s="35"/>
      <c r="JG93" s="35"/>
      <c r="JH93" s="35"/>
      <c r="JI93" s="35"/>
      <c r="JJ93" s="35"/>
      <c r="JK93" s="35"/>
      <c r="JL93" s="35"/>
      <c r="JM93" s="35"/>
      <c r="JN93" s="35"/>
      <c r="JO93" s="35"/>
      <c r="JP93" s="35"/>
      <c r="JQ93" s="35"/>
      <c r="JR93" s="35"/>
      <c r="JS93" s="35"/>
      <c r="JT93" s="35"/>
      <c r="JU93" s="35"/>
      <c r="JV93" s="35"/>
      <c r="JW93" s="35"/>
      <c r="JX93" s="35"/>
      <c r="JY93" s="35"/>
      <c r="JZ93" s="35"/>
      <c r="KA93" s="35"/>
      <c r="KB93" s="35"/>
      <c r="KC93" s="35"/>
      <c r="KD93" s="35"/>
      <c r="KE93" s="35"/>
      <c r="KF93" s="35"/>
      <c r="KG93" s="35"/>
      <c r="KH93" s="35"/>
      <c r="KI93" s="35"/>
      <c r="KJ93" s="35"/>
      <c r="KK93" s="35"/>
      <c r="KL93" s="35"/>
      <c r="KM93" s="35"/>
      <c r="KN93" s="35"/>
      <c r="KO93" s="35"/>
      <c r="KP93" s="35"/>
      <c r="KQ93" s="35"/>
      <c r="KR93" s="35"/>
      <c r="KS93" s="35"/>
      <c r="KT93" s="35"/>
      <c r="KU93" s="35"/>
      <c r="KV93" s="35"/>
      <c r="KW93" s="35"/>
      <c r="KX93" s="35"/>
      <c r="KY93" s="35"/>
      <c r="KZ93" s="35"/>
      <c r="LA93" s="35"/>
      <c r="LB93" s="35"/>
      <c r="LC93" s="35"/>
      <c r="LD93" s="35"/>
      <c r="LE93" s="35"/>
      <c r="LF93" s="35"/>
      <c r="LG93" s="35"/>
      <c r="LH93" s="35"/>
      <c r="LI93" s="35"/>
      <c r="LJ93" s="35"/>
      <c r="LK93" s="35"/>
      <c r="LL93" s="35"/>
      <c r="LM93" s="35"/>
      <c r="LN93" s="35"/>
      <c r="LO93" s="35"/>
      <c r="LP93" s="35"/>
      <c r="LQ93" s="35"/>
      <c r="LR93" s="35"/>
      <c r="LS93" s="35"/>
      <c r="LT93" s="35"/>
      <c r="LU93" s="35"/>
      <c r="LV93" s="35"/>
      <c r="LW93" s="35"/>
      <c r="LX93" s="35"/>
      <c r="LY93" s="35"/>
      <c r="LZ93" s="35"/>
      <c r="MA93" s="35"/>
      <c r="MB93" s="35"/>
      <c r="MC93" s="35"/>
      <c r="MD93" s="35"/>
      <c r="ME93" s="35"/>
      <c r="MF93" s="35"/>
      <c r="MG93" s="35"/>
    </row>
    <row r="94" spans="2:345" s="67" customFormat="1" ht="36" hidden="1" customHeight="1" x14ac:dyDescent="0.25">
      <c r="B94" s="28">
        <v>4142</v>
      </c>
      <c r="C94" s="24" t="s">
        <v>40</v>
      </c>
      <c r="D94" s="19" t="s">
        <v>4329</v>
      </c>
      <c r="E94" s="18">
        <v>42572</v>
      </c>
      <c r="F94" s="27">
        <f t="shared" ca="1" si="2"/>
        <v>1901</v>
      </c>
      <c r="G94" s="69"/>
      <c r="H94" s="68"/>
      <c r="I94" s="25"/>
      <c r="J94" s="25"/>
      <c r="K94" s="68"/>
      <c r="L94" s="68">
        <v>42584</v>
      </c>
      <c r="M94" s="68"/>
      <c r="N94" s="22"/>
      <c r="O94" s="26"/>
      <c r="P94" s="35"/>
      <c r="Q94" s="35"/>
      <c r="R94" s="20"/>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35"/>
      <c r="AS94" s="35"/>
      <c r="AT94" s="35"/>
      <c r="AU94" s="35"/>
      <c r="AV94" s="35"/>
      <c r="AW94" s="35"/>
      <c r="AX94" s="35"/>
      <c r="AY94" s="35"/>
      <c r="AZ94" s="35"/>
      <c r="BA94" s="35"/>
      <c r="BB94" s="35"/>
      <c r="BC94" s="35"/>
      <c r="BD94" s="35"/>
      <c r="BE94" s="35"/>
      <c r="BF94" s="35"/>
      <c r="BG94" s="35"/>
      <c r="BH94" s="35"/>
      <c r="BI94" s="35"/>
      <c r="BJ94" s="35"/>
      <c r="BK94" s="35"/>
      <c r="BL94" s="35"/>
      <c r="BM94" s="35"/>
      <c r="BN94" s="35"/>
      <c r="BO94" s="35"/>
      <c r="BP94" s="35"/>
      <c r="BQ94" s="35"/>
      <c r="BR94" s="35"/>
      <c r="BS94" s="35"/>
      <c r="BT94" s="35"/>
      <c r="BU94" s="35"/>
      <c r="BV94" s="35"/>
      <c r="BW94" s="35"/>
      <c r="BX94" s="35"/>
      <c r="BY94" s="35"/>
      <c r="BZ94" s="35"/>
      <c r="CA94" s="35"/>
      <c r="CB94" s="35"/>
      <c r="CC94" s="35"/>
      <c r="CD94" s="35"/>
      <c r="CE94" s="35"/>
      <c r="CF94" s="35"/>
      <c r="CG94" s="35"/>
      <c r="CH94" s="35"/>
      <c r="CI94" s="35"/>
      <c r="CJ94" s="35"/>
      <c r="CK94" s="35"/>
      <c r="CL94" s="35"/>
      <c r="CM94" s="35"/>
      <c r="CN94" s="35"/>
      <c r="CO94" s="35"/>
      <c r="CP94" s="35"/>
      <c r="CQ94" s="35"/>
      <c r="CR94" s="35"/>
      <c r="CS94" s="35"/>
      <c r="CT94" s="35"/>
      <c r="CU94" s="35"/>
      <c r="CV94" s="35"/>
      <c r="CW94" s="35"/>
      <c r="CX94" s="35"/>
      <c r="CY94" s="35"/>
      <c r="CZ94" s="35"/>
      <c r="DA94" s="35"/>
      <c r="DB94" s="35"/>
      <c r="DC94" s="35"/>
      <c r="DD94" s="35"/>
      <c r="DE94" s="35"/>
      <c r="DF94" s="35"/>
      <c r="DG94" s="35"/>
      <c r="DH94" s="35"/>
      <c r="DI94" s="35"/>
      <c r="DJ94" s="35"/>
      <c r="DK94" s="35"/>
      <c r="DL94" s="35"/>
      <c r="DM94" s="35"/>
      <c r="DN94" s="35"/>
      <c r="DO94" s="35"/>
      <c r="DP94" s="35"/>
      <c r="DQ94" s="35"/>
      <c r="DR94" s="35"/>
      <c r="DS94" s="35"/>
      <c r="DT94" s="35"/>
      <c r="DU94" s="35"/>
      <c r="DV94" s="35"/>
      <c r="DW94" s="35"/>
      <c r="DX94" s="35"/>
      <c r="DY94" s="35"/>
      <c r="DZ94" s="35"/>
      <c r="EA94" s="35"/>
      <c r="EB94" s="35"/>
      <c r="EC94" s="35"/>
      <c r="ED94" s="35"/>
      <c r="EE94" s="35"/>
      <c r="EF94" s="35"/>
      <c r="EG94" s="35"/>
      <c r="EH94" s="35"/>
      <c r="EI94" s="35"/>
      <c r="EJ94" s="35"/>
      <c r="EK94" s="35"/>
      <c r="EL94" s="35"/>
      <c r="EM94" s="35"/>
      <c r="EN94" s="35"/>
      <c r="EO94" s="35"/>
      <c r="EP94" s="35"/>
      <c r="EQ94" s="35"/>
      <c r="ER94" s="35"/>
      <c r="ES94" s="35"/>
      <c r="ET94" s="35"/>
      <c r="EU94" s="35"/>
      <c r="EV94" s="35"/>
      <c r="EW94" s="35"/>
      <c r="EX94" s="35"/>
      <c r="EY94" s="35"/>
      <c r="EZ94" s="35"/>
      <c r="FA94" s="35"/>
      <c r="FB94" s="35"/>
      <c r="FC94" s="35"/>
      <c r="FD94" s="35"/>
      <c r="FE94" s="35"/>
      <c r="FF94" s="35"/>
      <c r="FG94" s="35"/>
      <c r="FH94" s="35"/>
      <c r="FI94" s="35"/>
      <c r="FJ94" s="35"/>
      <c r="FK94" s="35"/>
      <c r="FL94" s="35"/>
      <c r="FM94" s="35"/>
      <c r="FN94" s="35"/>
      <c r="FO94" s="35"/>
      <c r="FP94" s="35"/>
      <c r="FQ94" s="35"/>
      <c r="FR94" s="35"/>
      <c r="FS94" s="35"/>
      <c r="FT94" s="35"/>
      <c r="FU94" s="35"/>
      <c r="FV94" s="35"/>
      <c r="FW94" s="35"/>
      <c r="FX94" s="35"/>
      <c r="FY94" s="35"/>
      <c r="FZ94" s="35"/>
      <c r="GA94" s="35"/>
      <c r="GB94" s="35"/>
      <c r="GC94" s="35"/>
      <c r="GD94" s="35"/>
      <c r="GE94" s="35"/>
      <c r="GF94" s="35"/>
      <c r="GG94" s="35"/>
      <c r="GH94" s="35"/>
      <c r="GI94" s="35"/>
      <c r="GJ94" s="35"/>
      <c r="GK94" s="35"/>
      <c r="GL94" s="35"/>
      <c r="GM94" s="35"/>
      <c r="GN94" s="35"/>
      <c r="GO94" s="35"/>
      <c r="GP94" s="35"/>
      <c r="GQ94" s="35"/>
      <c r="GR94" s="35"/>
      <c r="GS94" s="35"/>
      <c r="GT94" s="35"/>
      <c r="GU94" s="35"/>
      <c r="GV94" s="35"/>
      <c r="GW94" s="35"/>
      <c r="GX94" s="35"/>
      <c r="GY94" s="35"/>
      <c r="GZ94" s="35"/>
      <c r="HA94" s="35"/>
      <c r="HB94" s="35"/>
      <c r="HC94" s="35"/>
      <c r="HD94" s="35"/>
      <c r="HE94" s="35"/>
      <c r="HF94" s="35"/>
      <c r="HG94" s="35"/>
      <c r="HH94" s="35"/>
      <c r="HI94" s="35"/>
      <c r="HJ94" s="35"/>
      <c r="HK94" s="35"/>
      <c r="HL94" s="35"/>
      <c r="HM94" s="35"/>
      <c r="HN94" s="35"/>
      <c r="HO94" s="35"/>
      <c r="HP94" s="35"/>
      <c r="HQ94" s="35"/>
      <c r="HR94" s="35"/>
      <c r="HS94" s="35"/>
      <c r="HT94" s="35"/>
      <c r="HU94" s="35"/>
      <c r="HV94" s="35"/>
      <c r="HW94" s="35"/>
      <c r="HX94" s="35"/>
      <c r="HY94" s="35"/>
      <c r="HZ94" s="35"/>
      <c r="IA94" s="35"/>
      <c r="IB94" s="35"/>
      <c r="IC94" s="35"/>
      <c r="ID94" s="35"/>
      <c r="IE94" s="35"/>
      <c r="IF94" s="35"/>
      <c r="IG94" s="35"/>
      <c r="IH94" s="35"/>
      <c r="II94" s="35"/>
      <c r="IJ94" s="35"/>
      <c r="IK94" s="35"/>
      <c r="IL94" s="35"/>
      <c r="IM94" s="35"/>
      <c r="IN94" s="35"/>
      <c r="IO94" s="35"/>
      <c r="IP94" s="35"/>
      <c r="IQ94" s="35"/>
      <c r="IR94" s="35"/>
      <c r="IS94" s="35"/>
      <c r="IT94" s="35"/>
      <c r="IU94" s="35"/>
      <c r="IV94" s="35"/>
      <c r="IW94" s="35"/>
      <c r="IX94" s="35"/>
      <c r="IY94" s="35"/>
      <c r="IZ94" s="35"/>
      <c r="JA94" s="35"/>
      <c r="JB94" s="35"/>
      <c r="JC94" s="35"/>
      <c r="JD94" s="35"/>
      <c r="JE94" s="35"/>
      <c r="JF94" s="35"/>
      <c r="JG94" s="35"/>
      <c r="JH94" s="35"/>
      <c r="JI94" s="35"/>
      <c r="JJ94" s="35"/>
      <c r="JK94" s="35"/>
      <c r="JL94" s="35"/>
      <c r="JM94" s="35"/>
      <c r="JN94" s="35"/>
      <c r="JO94" s="35"/>
      <c r="JP94" s="35"/>
      <c r="JQ94" s="35"/>
      <c r="JR94" s="35"/>
      <c r="JS94" s="35"/>
      <c r="JT94" s="35"/>
      <c r="JU94" s="35"/>
      <c r="JV94" s="35"/>
      <c r="JW94" s="35"/>
      <c r="JX94" s="35"/>
      <c r="JY94" s="35"/>
      <c r="JZ94" s="35"/>
      <c r="KA94" s="35"/>
      <c r="KB94" s="35"/>
      <c r="KC94" s="35"/>
      <c r="KD94" s="35"/>
      <c r="KE94" s="35"/>
      <c r="KF94" s="35"/>
      <c r="KG94" s="35"/>
      <c r="KH94" s="35"/>
      <c r="KI94" s="35"/>
      <c r="KJ94" s="35"/>
      <c r="KK94" s="35"/>
      <c r="KL94" s="35"/>
      <c r="KM94" s="35"/>
      <c r="KN94" s="35"/>
      <c r="KO94" s="35"/>
      <c r="KP94" s="35"/>
      <c r="KQ94" s="35"/>
      <c r="KR94" s="35"/>
      <c r="KS94" s="35"/>
      <c r="KT94" s="35"/>
      <c r="KU94" s="35"/>
      <c r="KV94" s="35"/>
      <c r="KW94" s="35"/>
      <c r="KX94" s="35"/>
      <c r="KY94" s="35"/>
      <c r="KZ94" s="35"/>
      <c r="LA94" s="35"/>
      <c r="LB94" s="35"/>
      <c r="LC94" s="35"/>
      <c r="LD94" s="35"/>
      <c r="LE94" s="35"/>
      <c r="LF94" s="35"/>
      <c r="LG94" s="35"/>
      <c r="LH94" s="35"/>
      <c r="LI94" s="35"/>
      <c r="LJ94" s="35"/>
      <c r="LK94" s="35"/>
      <c r="LL94" s="35"/>
      <c r="LM94" s="35"/>
      <c r="LN94" s="35"/>
      <c r="LO94" s="35"/>
      <c r="LP94" s="35"/>
      <c r="LQ94" s="35"/>
      <c r="LR94" s="35"/>
      <c r="LS94" s="35"/>
      <c r="LT94" s="35"/>
      <c r="LU94" s="35"/>
      <c r="LV94" s="35"/>
      <c r="LW94" s="35"/>
      <c r="LX94" s="35"/>
      <c r="LY94" s="35"/>
      <c r="LZ94" s="35"/>
      <c r="MA94" s="35"/>
      <c r="MB94" s="35"/>
      <c r="MC94" s="35"/>
      <c r="MD94" s="35"/>
      <c r="ME94" s="35"/>
      <c r="MF94" s="35"/>
      <c r="MG94" s="35"/>
    </row>
    <row r="95" spans="2:345" s="67" customFormat="1" ht="36" hidden="1" customHeight="1" x14ac:dyDescent="0.25">
      <c r="B95" s="28">
        <v>4142</v>
      </c>
      <c r="C95" s="24" t="s">
        <v>16</v>
      </c>
      <c r="D95" s="19" t="s">
        <v>4330</v>
      </c>
      <c r="E95" s="18">
        <v>42572</v>
      </c>
      <c r="F95" s="27">
        <f t="shared" ca="1" si="2"/>
        <v>1901</v>
      </c>
      <c r="G95" s="69"/>
      <c r="H95" s="68"/>
      <c r="I95" s="25"/>
      <c r="J95" s="25"/>
      <c r="K95" s="68"/>
      <c r="L95" s="68">
        <v>42572</v>
      </c>
      <c r="M95" s="68"/>
      <c r="N95" s="22" t="s">
        <v>4331</v>
      </c>
      <c r="O95" s="26"/>
      <c r="P95" s="35"/>
      <c r="Q95" s="35"/>
      <c r="R95" s="20"/>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35"/>
      <c r="AS95" s="35"/>
      <c r="AT95" s="35"/>
      <c r="AU95" s="35"/>
      <c r="AV95" s="35"/>
      <c r="AW95" s="35"/>
      <c r="AX95" s="35"/>
      <c r="AY95" s="35"/>
      <c r="AZ95" s="35"/>
      <c r="BA95" s="35"/>
      <c r="BB95" s="35"/>
      <c r="BC95" s="35"/>
      <c r="BD95" s="35"/>
      <c r="BE95" s="35"/>
      <c r="BF95" s="35"/>
      <c r="BG95" s="35"/>
      <c r="BH95" s="35"/>
      <c r="BI95" s="35"/>
      <c r="BJ95" s="35"/>
      <c r="BK95" s="35"/>
      <c r="BL95" s="35"/>
      <c r="BM95" s="35"/>
      <c r="BN95" s="35"/>
      <c r="BO95" s="35"/>
      <c r="BP95" s="35"/>
      <c r="BQ95" s="35"/>
      <c r="BR95" s="35"/>
      <c r="BS95" s="35"/>
      <c r="BT95" s="35"/>
      <c r="BU95" s="35"/>
      <c r="BV95" s="35"/>
      <c r="BW95" s="35"/>
      <c r="BX95" s="35"/>
      <c r="BY95" s="35"/>
      <c r="BZ95" s="35"/>
      <c r="CA95" s="35"/>
      <c r="CB95" s="35"/>
      <c r="CC95" s="35"/>
      <c r="CD95" s="35"/>
      <c r="CE95" s="35"/>
      <c r="CF95" s="35"/>
      <c r="CG95" s="35"/>
      <c r="CH95" s="35"/>
      <c r="CI95" s="35"/>
      <c r="CJ95" s="35"/>
      <c r="CK95" s="35"/>
      <c r="CL95" s="35"/>
      <c r="CM95" s="35"/>
      <c r="CN95" s="35"/>
      <c r="CO95" s="35"/>
      <c r="CP95" s="35"/>
      <c r="CQ95" s="35"/>
      <c r="CR95" s="35"/>
      <c r="CS95" s="35"/>
      <c r="CT95" s="35"/>
      <c r="CU95" s="35"/>
      <c r="CV95" s="35"/>
      <c r="CW95" s="35"/>
      <c r="CX95" s="35"/>
      <c r="CY95" s="35"/>
      <c r="CZ95" s="35"/>
      <c r="DA95" s="35"/>
      <c r="DB95" s="35"/>
      <c r="DC95" s="35"/>
      <c r="DD95" s="35"/>
      <c r="DE95" s="35"/>
      <c r="DF95" s="35"/>
      <c r="DG95" s="35"/>
      <c r="DH95" s="35"/>
      <c r="DI95" s="35"/>
      <c r="DJ95" s="35"/>
      <c r="DK95" s="35"/>
      <c r="DL95" s="35"/>
      <c r="DM95" s="35"/>
      <c r="DN95" s="35"/>
      <c r="DO95" s="35"/>
      <c r="DP95" s="35"/>
      <c r="DQ95" s="35"/>
      <c r="DR95" s="35"/>
      <c r="DS95" s="35"/>
      <c r="DT95" s="35"/>
      <c r="DU95" s="35"/>
      <c r="DV95" s="35"/>
      <c r="DW95" s="35"/>
      <c r="DX95" s="35"/>
      <c r="DY95" s="35"/>
      <c r="DZ95" s="35"/>
      <c r="EA95" s="35"/>
      <c r="EB95" s="35"/>
      <c r="EC95" s="35"/>
      <c r="ED95" s="35"/>
      <c r="EE95" s="35"/>
      <c r="EF95" s="35"/>
      <c r="EG95" s="35"/>
      <c r="EH95" s="35"/>
      <c r="EI95" s="35"/>
      <c r="EJ95" s="35"/>
      <c r="EK95" s="35"/>
      <c r="EL95" s="35"/>
      <c r="EM95" s="35"/>
      <c r="EN95" s="35"/>
      <c r="EO95" s="35"/>
      <c r="EP95" s="35"/>
      <c r="EQ95" s="35"/>
      <c r="ER95" s="35"/>
      <c r="ES95" s="35"/>
      <c r="ET95" s="35"/>
      <c r="EU95" s="35"/>
      <c r="EV95" s="35"/>
      <c r="EW95" s="35"/>
      <c r="EX95" s="35"/>
      <c r="EY95" s="35"/>
      <c r="EZ95" s="35"/>
      <c r="FA95" s="35"/>
      <c r="FB95" s="35"/>
      <c r="FC95" s="35"/>
      <c r="FD95" s="35"/>
      <c r="FE95" s="35"/>
      <c r="FF95" s="35"/>
      <c r="FG95" s="35"/>
      <c r="FH95" s="35"/>
      <c r="FI95" s="35"/>
      <c r="FJ95" s="35"/>
      <c r="FK95" s="35"/>
      <c r="FL95" s="35"/>
      <c r="FM95" s="35"/>
      <c r="FN95" s="35"/>
      <c r="FO95" s="35"/>
      <c r="FP95" s="35"/>
      <c r="FQ95" s="35"/>
      <c r="FR95" s="35"/>
      <c r="FS95" s="35"/>
      <c r="FT95" s="35"/>
      <c r="FU95" s="35"/>
      <c r="FV95" s="35"/>
      <c r="FW95" s="35"/>
      <c r="FX95" s="35"/>
      <c r="FY95" s="35"/>
      <c r="FZ95" s="35"/>
      <c r="GA95" s="35"/>
      <c r="GB95" s="35"/>
      <c r="GC95" s="35"/>
      <c r="GD95" s="35"/>
      <c r="GE95" s="35"/>
      <c r="GF95" s="35"/>
      <c r="GG95" s="35"/>
      <c r="GH95" s="35"/>
      <c r="GI95" s="35"/>
      <c r="GJ95" s="35"/>
      <c r="GK95" s="35"/>
      <c r="GL95" s="35"/>
      <c r="GM95" s="35"/>
      <c r="GN95" s="35"/>
      <c r="GO95" s="35"/>
      <c r="GP95" s="35"/>
      <c r="GQ95" s="35"/>
      <c r="GR95" s="35"/>
      <c r="GS95" s="35"/>
      <c r="GT95" s="35"/>
      <c r="GU95" s="35"/>
      <c r="GV95" s="35"/>
      <c r="GW95" s="35"/>
      <c r="GX95" s="35"/>
      <c r="GY95" s="35"/>
      <c r="GZ95" s="35"/>
      <c r="HA95" s="35"/>
      <c r="HB95" s="35"/>
      <c r="HC95" s="35"/>
      <c r="HD95" s="35"/>
      <c r="HE95" s="35"/>
      <c r="HF95" s="35"/>
      <c r="HG95" s="35"/>
      <c r="HH95" s="35"/>
      <c r="HI95" s="35"/>
      <c r="HJ95" s="35"/>
      <c r="HK95" s="35"/>
      <c r="HL95" s="35"/>
      <c r="HM95" s="35"/>
      <c r="HN95" s="35"/>
      <c r="HO95" s="35"/>
      <c r="HP95" s="35"/>
      <c r="HQ95" s="35"/>
      <c r="HR95" s="35"/>
      <c r="HS95" s="35"/>
      <c r="HT95" s="35"/>
      <c r="HU95" s="35"/>
      <c r="HV95" s="35"/>
      <c r="HW95" s="35"/>
      <c r="HX95" s="35"/>
      <c r="HY95" s="35"/>
      <c r="HZ95" s="35"/>
      <c r="IA95" s="35"/>
      <c r="IB95" s="35"/>
      <c r="IC95" s="35"/>
      <c r="ID95" s="35"/>
      <c r="IE95" s="35"/>
      <c r="IF95" s="35"/>
      <c r="IG95" s="35"/>
      <c r="IH95" s="35"/>
      <c r="II95" s="35"/>
      <c r="IJ95" s="35"/>
      <c r="IK95" s="35"/>
      <c r="IL95" s="35"/>
      <c r="IM95" s="35"/>
      <c r="IN95" s="35"/>
      <c r="IO95" s="35"/>
      <c r="IP95" s="35"/>
      <c r="IQ95" s="35"/>
      <c r="IR95" s="35"/>
      <c r="IS95" s="35"/>
      <c r="IT95" s="35"/>
      <c r="IU95" s="35"/>
      <c r="IV95" s="35"/>
      <c r="IW95" s="35"/>
      <c r="IX95" s="35"/>
      <c r="IY95" s="35"/>
      <c r="IZ95" s="35"/>
      <c r="JA95" s="35"/>
      <c r="JB95" s="35"/>
      <c r="JC95" s="35"/>
      <c r="JD95" s="35"/>
      <c r="JE95" s="35"/>
      <c r="JF95" s="35"/>
      <c r="JG95" s="35"/>
      <c r="JH95" s="35"/>
      <c r="JI95" s="35"/>
      <c r="JJ95" s="35"/>
      <c r="JK95" s="35"/>
      <c r="JL95" s="35"/>
      <c r="JM95" s="35"/>
      <c r="JN95" s="35"/>
      <c r="JO95" s="35"/>
      <c r="JP95" s="35"/>
      <c r="JQ95" s="35"/>
      <c r="JR95" s="35"/>
      <c r="JS95" s="35"/>
      <c r="JT95" s="35"/>
      <c r="JU95" s="35"/>
      <c r="JV95" s="35"/>
      <c r="JW95" s="35"/>
      <c r="JX95" s="35"/>
      <c r="JY95" s="35"/>
      <c r="JZ95" s="35"/>
      <c r="KA95" s="35"/>
      <c r="KB95" s="35"/>
      <c r="KC95" s="35"/>
      <c r="KD95" s="35"/>
      <c r="KE95" s="35"/>
      <c r="KF95" s="35"/>
      <c r="KG95" s="35"/>
      <c r="KH95" s="35"/>
      <c r="KI95" s="35"/>
      <c r="KJ95" s="35"/>
      <c r="KK95" s="35"/>
      <c r="KL95" s="35"/>
      <c r="KM95" s="35"/>
      <c r="KN95" s="35"/>
      <c r="KO95" s="35"/>
      <c r="KP95" s="35"/>
      <c r="KQ95" s="35"/>
      <c r="KR95" s="35"/>
      <c r="KS95" s="35"/>
      <c r="KT95" s="35"/>
      <c r="KU95" s="35"/>
      <c r="KV95" s="35"/>
      <c r="KW95" s="35"/>
      <c r="KX95" s="35"/>
      <c r="KY95" s="35"/>
      <c r="KZ95" s="35"/>
      <c r="LA95" s="35"/>
      <c r="LB95" s="35"/>
      <c r="LC95" s="35"/>
      <c r="LD95" s="35"/>
      <c r="LE95" s="35"/>
      <c r="LF95" s="35"/>
      <c r="LG95" s="35"/>
      <c r="LH95" s="35"/>
      <c r="LI95" s="35"/>
      <c r="LJ95" s="35"/>
      <c r="LK95" s="35"/>
      <c r="LL95" s="35"/>
      <c r="LM95" s="35"/>
      <c r="LN95" s="35"/>
      <c r="LO95" s="35"/>
      <c r="LP95" s="35"/>
      <c r="LQ95" s="35"/>
      <c r="LR95" s="35"/>
      <c r="LS95" s="35"/>
      <c r="LT95" s="35"/>
      <c r="LU95" s="35"/>
      <c r="LV95" s="35"/>
      <c r="LW95" s="35"/>
      <c r="LX95" s="35"/>
      <c r="LY95" s="35"/>
      <c r="LZ95" s="35"/>
      <c r="MA95" s="35"/>
      <c r="MB95" s="35"/>
      <c r="MC95" s="35"/>
      <c r="MD95" s="35"/>
      <c r="ME95" s="35"/>
      <c r="MF95" s="35"/>
      <c r="MG95" s="35"/>
    </row>
    <row r="96" spans="2:345" s="67" customFormat="1" ht="36" hidden="1" customHeight="1" x14ac:dyDescent="0.25">
      <c r="B96" s="28">
        <v>4153</v>
      </c>
      <c r="C96" s="24" t="s">
        <v>15</v>
      </c>
      <c r="D96" s="19" t="s">
        <v>4380</v>
      </c>
      <c r="E96" s="18">
        <v>42573</v>
      </c>
      <c r="F96" s="27">
        <f t="shared" ca="1" si="2"/>
        <v>1900</v>
      </c>
      <c r="G96" s="69"/>
      <c r="H96" s="68"/>
      <c r="I96" s="25"/>
      <c r="J96" s="25"/>
      <c r="K96" s="68"/>
      <c r="L96" s="68">
        <v>42584</v>
      </c>
      <c r="M96" s="68"/>
      <c r="N96" s="22"/>
      <c r="O96" s="26"/>
      <c r="P96" s="35"/>
      <c r="Q96" s="35"/>
      <c r="R96" s="20"/>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35"/>
      <c r="AS96" s="35"/>
      <c r="AT96" s="35"/>
      <c r="AU96" s="35"/>
      <c r="AV96" s="35"/>
      <c r="AW96" s="35"/>
      <c r="AX96" s="35"/>
      <c r="AY96" s="35"/>
      <c r="AZ96" s="35"/>
      <c r="BA96" s="35"/>
      <c r="BB96" s="35"/>
      <c r="BC96" s="35"/>
      <c r="BD96" s="35"/>
      <c r="BE96" s="35"/>
      <c r="BF96" s="35"/>
      <c r="BG96" s="35"/>
      <c r="BH96" s="35"/>
      <c r="BI96" s="35"/>
      <c r="BJ96" s="35"/>
      <c r="BK96" s="35"/>
      <c r="BL96" s="35"/>
      <c r="BM96" s="35"/>
      <c r="BN96" s="35"/>
      <c r="BO96" s="35"/>
      <c r="BP96" s="35"/>
      <c r="BQ96" s="35"/>
      <c r="BR96" s="35"/>
      <c r="BS96" s="35"/>
      <c r="BT96" s="35"/>
      <c r="BU96" s="35"/>
      <c r="BV96" s="35"/>
      <c r="BW96" s="35"/>
      <c r="BX96" s="35"/>
      <c r="BY96" s="35"/>
      <c r="BZ96" s="35"/>
      <c r="CA96" s="35"/>
      <c r="CB96" s="35"/>
      <c r="CC96" s="35"/>
      <c r="CD96" s="35"/>
      <c r="CE96" s="35"/>
      <c r="CF96" s="35"/>
      <c r="CG96" s="35"/>
      <c r="CH96" s="35"/>
      <c r="CI96" s="35"/>
      <c r="CJ96" s="35"/>
      <c r="CK96" s="35"/>
      <c r="CL96" s="35"/>
      <c r="CM96" s="35"/>
      <c r="CN96" s="35"/>
      <c r="CO96" s="35"/>
      <c r="CP96" s="35"/>
      <c r="CQ96" s="35"/>
      <c r="CR96" s="35"/>
      <c r="CS96" s="35"/>
      <c r="CT96" s="35"/>
      <c r="CU96" s="35"/>
      <c r="CV96" s="35"/>
      <c r="CW96" s="35"/>
      <c r="CX96" s="35"/>
      <c r="CY96" s="35"/>
      <c r="CZ96" s="35"/>
      <c r="DA96" s="35"/>
      <c r="DB96" s="35"/>
      <c r="DC96" s="35"/>
      <c r="DD96" s="35"/>
      <c r="DE96" s="35"/>
      <c r="DF96" s="35"/>
      <c r="DG96" s="35"/>
      <c r="DH96" s="35"/>
      <c r="DI96" s="35"/>
      <c r="DJ96" s="35"/>
      <c r="DK96" s="35"/>
      <c r="DL96" s="35"/>
      <c r="DM96" s="35"/>
      <c r="DN96" s="35"/>
      <c r="DO96" s="35"/>
      <c r="DP96" s="35"/>
      <c r="DQ96" s="35"/>
      <c r="DR96" s="35"/>
      <c r="DS96" s="35"/>
      <c r="DT96" s="35"/>
      <c r="DU96" s="35"/>
      <c r="DV96" s="35"/>
      <c r="DW96" s="35"/>
      <c r="DX96" s="35"/>
      <c r="DY96" s="35"/>
      <c r="DZ96" s="35"/>
      <c r="EA96" s="35"/>
      <c r="EB96" s="35"/>
      <c r="EC96" s="35"/>
      <c r="ED96" s="35"/>
      <c r="EE96" s="35"/>
      <c r="EF96" s="35"/>
      <c r="EG96" s="35"/>
      <c r="EH96" s="35"/>
      <c r="EI96" s="35"/>
      <c r="EJ96" s="35"/>
      <c r="EK96" s="35"/>
      <c r="EL96" s="35"/>
      <c r="EM96" s="35"/>
      <c r="EN96" s="35"/>
      <c r="EO96" s="35"/>
      <c r="EP96" s="35"/>
      <c r="EQ96" s="35"/>
      <c r="ER96" s="35"/>
      <c r="ES96" s="35"/>
      <c r="ET96" s="35"/>
      <c r="EU96" s="35"/>
      <c r="EV96" s="35"/>
      <c r="EW96" s="35"/>
      <c r="EX96" s="35"/>
      <c r="EY96" s="35"/>
      <c r="EZ96" s="35"/>
      <c r="FA96" s="35"/>
      <c r="FB96" s="35"/>
      <c r="FC96" s="35"/>
      <c r="FD96" s="35"/>
      <c r="FE96" s="35"/>
      <c r="FF96" s="35"/>
      <c r="FG96" s="35"/>
      <c r="FH96" s="35"/>
      <c r="FI96" s="35"/>
      <c r="FJ96" s="35"/>
      <c r="FK96" s="35"/>
      <c r="FL96" s="35"/>
      <c r="FM96" s="35"/>
      <c r="FN96" s="35"/>
      <c r="FO96" s="35"/>
      <c r="FP96" s="35"/>
      <c r="FQ96" s="35"/>
      <c r="FR96" s="35"/>
      <c r="FS96" s="35"/>
      <c r="FT96" s="35"/>
      <c r="FU96" s="35"/>
      <c r="FV96" s="35"/>
      <c r="FW96" s="35"/>
      <c r="FX96" s="35"/>
      <c r="FY96" s="35"/>
      <c r="FZ96" s="35"/>
      <c r="GA96" s="35"/>
      <c r="GB96" s="35"/>
      <c r="GC96" s="35"/>
      <c r="GD96" s="35"/>
      <c r="GE96" s="35"/>
      <c r="GF96" s="35"/>
      <c r="GG96" s="35"/>
      <c r="GH96" s="35"/>
      <c r="GI96" s="35"/>
      <c r="GJ96" s="35"/>
      <c r="GK96" s="35"/>
      <c r="GL96" s="35"/>
      <c r="GM96" s="35"/>
      <c r="GN96" s="35"/>
      <c r="GO96" s="35"/>
      <c r="GP96" s="35"/>
      <c r="GQ96" s="35"/>
      <c r="GR96" s="35"/>
      <c r="GS96" s="35"/>
      <c r="GT96" s="35"/>
      <c r="GU96" s="35"/>
      <c r="GV96" s="35"/>
      <c r="GW96" s="35"/>
      <c r="GX96" s="35"/>
      <c r="GY96" s="35"/>
      <c r="GZ96" s="35"/>
      <c r="HA96" s="35"/>
      <c r="HB96" s="35"/>
      <c r="HC96" s="35"/>
      <c r="HD96" s="35"/>
      <c r="HE96" s="35"/>
      <c r="HF96" s="35"/>
      <c r="HG96" s="35"/>
      <c r="HH96" s="35"/>
      <c r="HI96" s="35"/>
      <c r="HJ96" s="35"/>
      <c r="HK96" s="35"/>
      <c r="HL96" s="35"/>
      <c r="HM96" s="35"/>
      <c r="HN96" s="35"/>
      <c r="HO96" s="35"/>
      <c r="HP96" s="35"/>
      <c r="HQ96" s="35"/>
      <c r="HR96" s="35"/>
      <c r="HS96" s="35"/>
      <c r="HT96" s="35"/>
      <c r="HU96" s="35"/>
      <c r="HV96" s="35"/>
      <c r="HW96" s="35"/>
      <c r="HX96" s="35"/>
      <c r="HY96" s="35"/>
      <c r="HZ96" s="35"/>
      <c r="IA96" s="35"/>
      <c r="IB96" s="35"/>
      <c r="IC96" s="35"/>
      <c r="ID96" s="35"/>
      <c r="IE96" s="35"/>
      <c r="IF96" s="35"/>
      <c r="IG96" s="35"/>
      <c r="IH96" s="35"/>
      <c r="II96" s="35"/>
      <c r="IJ96" s="35"/>
      <c r="IK96" s="35"/>
      <c r="IL96" s="35"/>
      <c r="IM96" s="35"/>
      <c r="IN96" s="35"/>
      <c r="IO96" s="35"/>
      <c r="IP96" s="35"/>
      <c r="IQ96" s="35"/>
      <c r="IR96" s="35"/>
      <c r="IS96" s="35"/>
      <c r="IT96" s="35"/>
      <c r="IU96" s="35"/>
      <c r="IV96" s="35"/>
      <c r="IW96" s="35"/>
      <c r="IX96" s="35"/>
      <c r="IY96" s="35"/>
      <c r="IZ96" s="35"/>
      <c r="JA96" s="35"/>
      <c r="JB96" s="35"/>
      <c r="JC96" s="35"/>
      <c r="JD96" s="35"/>
      <c r="JE96" s="35"/>
      <c r="JF96" s="35"/>
      <c r="JG96" s="35"/>
      <c r="JH96" s="35"/>
      <c r="JI96" s="35"/>
      <c r="JJ96" s="35"/>
      <c r="JK96" s="35"/>
      <c r="JL96" s="35"/>
      <c r="JM96" s="35"/>
      <c r="JN96" s="35"/>
      <c r="JO96" s="35"/>
      <c r="JP96" s="35"/>
      <c r="JQ96" s="35"/>
      <c r="JR96" s="35"/>
      <c r="JS96" s="35"/>
      <c r="JT96" s="35"/>
      <c r="JU96" s="35"/>
      <c r="JV96" s="35"/>
      <c r="JW96" s="35"/>
      <c r="JX96" s="35"/>
      <c r="JY96" s="35"/>
      <c r="JZ96" s="35"/>
      <c r="KA96" s="35"/>
      <c r="KB96" s="35"/>
      <c r="KC96" s="35"/>
      <c r="KD96" s="35"/>
      <c r="KE96" s="35"/>
      <c r="KF96" s="35"/>
      <c r="KG96" s="35"/>
      <c r="KH96" s="35"/>
      <c r="KI96" s="35"/>
      <c r="KJ96" s="35"/>
      <c r="KK96" s="35"/>
      <c r="KL96" s="35"/>
      <c r="KM96" s="35"/>
      <c r="KN96" s="35"/>
      <c r="KO96" s="35"/>
      <c r="KP96" s="35"/>
      <c r="KQ96" s="35"/>
      <c r="KR96" s="35"/>
      <c r="KS96" s="35"/>
      <c r="KT96" s="35"/>
      <c r="KU96" s="35"/>
      <c r="KV96" s="35"/>
      <c r="KW96" s="35"/>
      <c r="KX96" s="35"/>
      <c r="KY96" s="35"/>
      <c r="KZ96" s="35"/>
      <c r="LA96" s="35"/>
      <c r="LB96" s="35"/>
      <c r="LC96" s="35"/>
      <c r="LD96" s="35"/>
      <c r="LE96" s="35"/>
      <c r="LF96" s="35"/>
      <c r="LG96" s="35"/>
      <c r="LH96" s="35"/>
      <c r="LI96" s="35"/>
      <c r="LJ96" s="35"/>
      <c r="LK96" s="35"/>
      <c r="LL96" s="35"/>
      <c r="LM96" s="35"/>
      <c r="LN96" s="35"/>
      <c r="LO96" s="35"/>
      <c r="LP96" s="35"/>
      <c r="LQ96" s="35"/>
      <c r="LR96" s="35"/>
      <c r="LS96" s="35"/>
      <c r="LT96" s="35"/>
      <c r="LU96" s="35"/>
      <c r="LV96" s="35"/>
      <c r="LW96" s="35"/>
      <c r="LX96" s="35"/>
      <c r="LY96" s="35"/>
      <c r="LZ96" s="35"/>
      <c r="MA96" s="35"/>
      <c r="MB96" s="35"/>
      <c r="MC96" s="35"/>
      <c r="MD96" s="35"/>
      <c r="ME96" s="35"/>
      <c r="MF96" s="35"/>
      <c r="MG96" s="35"/>
    </row>
    <row r="97" spans="1:345" s="67" customFormat="1" ht="36" hidden="1" customHeight="1" x14ac:dyDescent="0.25">
      <c r="B97" s="28">
        <v>4142</v>
      </c>
      <c r="C97" s="24" t="s">
        <v>16</v>
      </c>
      <c r="D97" s="19" t="s">
        <v>4326</v>
      </c>
      <c r="E97" s="18">
        <v>42577</v>
      </c>
      <c r="F97" s="27">
        <f t="shared" ca="1" si="2"/>
        <v>1896</v>
      </c>
      <c r="G97" s="69"/>
      <c r="H97" s="68"/>
      <c r="I97" s="25"/>
      <c r="J97" s="25"/>
      <c r="K97" s="68"/>
      <c r="L97" s="68">
        <v>42584</v>
      </c>
      <c r="M97" s="68"/>
      <c r="N97" s="22"/>
      <c r="O97" s="26"/>
      <c r="P97" s="35"/>
      <c r="Q97" s="35"/>
      <c r="R97" s="20"/>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35"/>
      <c r="AS97" s="35"/>
      <c r="AT97" s="35"/>
      <c r="AU97" s="35"/>
      <c r="AV97" s="35"/>
      <c r="AW97" s="35"/>
      <c r="AX97" s="35"/>
      <c r="AY97" s="35"/>
      <c r="AZ97" s="35"/>
      <c r="BA97" s="35"/>
      <c r="BB97" s="35"/>
      <c r="BC97" s="35"/>
      <c r="BD97" s="35"/>
      <c r="BE97" s="35"/>
      <c r="BF97" s="35"/>
      <c r="BG97" s="35"/>
      <c r="BH97" s="35"/>
      <c r="BI97" s="35"/>
      <c r="BJ97" s="35"/>
      <c r="BK97" s="35"/>
      <c r="BL97" s="35"/>
      <c r="BM97" s="35"/>
      <c r="BN97" s="35"/>
      <c r="BO97" s="35"/>
      <c r="BP97" s="35"/>
      <c r="BQ97" s="35"/>
      <c r="BR97" s="35"/>
      <c r="BS97" s="35"/>
      <c r="BT97" s="35"/>
      <c r="BU97" s="35"/>
      <c r="BV97" s="35"/>
      <c r="BW97" s="35"/>
      <c r="BX97" s="35"/>
      <c r="BY97" s="35"/>
      <c r="BZ97" s="35"/>
      <c r="CA97" s="35"/>
      <c r="CB97" s="35"/>
      <c r="CC97" s="35"/>
      <c r="CD97" s="35"/>
      <c r="CE97" s="35"/>
      <c r="CF97" s="35"/>
      <c r="CG97" s="35"/>
      <c r="CH97" s="35"/>
      <c r="CI97" s="35"/>
      <c r="CJ97" s="35"/>
      <c r="CK97" s="35"/>
      <c r="CL97" s="35"/>
      <c r="CM97" s="35"/>
      <c r="CN97" s="35"/>
      <c r="CO97" s="35"/>
      <c r="CP97" s="35"/>
      <c r="CQ97" s="35"/>
      <c r="CR97" s="35"/>
      <c r="CS97" s="35"/>
      <c r="CT97" s="35"/>
      <c r="CU97" s="35"/>
      <c r="CV97" s="35"/>
      <c r="CW97" s="35"/>
      <c r="CX97" s="35"/>
      <c r="CY97" s="35"/>
      <c r="CZ97" s="35"/>
      <c r="DA97" s="35"/>
      <c r="DB97" s="35"/>
      <c r="DC97" s="35"/>
      <c r="DD97" s="35"/>
      <c r="DE97" s="35"/>
      <c r="DF97" s="35"/>
      <c r="DG97" s="35"/>
      <c r="DH97" s="35"/>
      <c r="DI97" s="35"/>
      <c r="DJ97" s="35"/>
      <c r="DK97" s="35"/>
      <c r="DL97" s="35"/>
      <c r="DM97" s="35"/>
      <c r="DN97" s="35"/>
      <c r="DO97" s="35"/>
      <c r="DP97" s="35"/>
      <c r="DQ97" s="35"/>
      <c r="DR97" s="35"/>
      <c r="DS97" s="35"/>
      <c r="DT97" s="35"/>
      <c r="DU97" s="35"/>
      <c r="DV97" s="35"/>
      <c r="DW97" s="35"/>
      <c r="DX97" s="35"/>
      <c r="DY97" s="35"/>
      <c r="DZ97" s="35"/>
      <c r="EA97" s="35"/>
      <c r="EB97" s="35"/>
      <c r="EC97" s="35"/>
      <c r="ED97" s="35"/>
      <c r="EE97" s="35"/>
      <c r="EF97" s="35"/>
      <c r="EG97" s="35"/>
      <c r="EH97" s="35"/>
      <c r="EI97" s="35"/>
      <c r="EJ97" s="35"/>
      <c r="EK97" s="35"/>
      <c r="EL97" s="35"/>
      <c r="EM97" s="35"/>
      <c r="EN97" s="35"/>
      <c r="EO97" s="35"/>
      <c r="EP97" s="35"/>
      <c r="EQ97" s="35"/>
      <c r="ER97" s="35"/>
      <c r="ES97" s="35"/>
      <c r="ET97" s="35"/>
      <c r="EU97" s="35"/>
      <c r="EV97" s="35"/>
      <c r="EW97" s="35"/>
      <c r="EX97" s="35"/>
      <c r="EY97" s="35"/>
      <c r="EZ97" s="35"/>
      <c r="FA97" s="35"/>
      <c r="FB97" s="35"/>
      <c r="FC97" s="35"/>
      <c r="FD97" s="35"/>
      <c r="FE97" s="35"/>
      <c r="FF97" s="35"/>
      <c r="FG97" s="35"/>
      <c r="FH97" s="35"/>
      <c r="FI97" s="35"/>
      <c r="FJ97" s="35"/>
      <c r="FK97" s="35"/>
      <c r="FL97" s="35"/>
      <c r="FM97" s="35"/>
      <c r="FN97" s="35"/>
      <c r="FO97" s="35"/>
      <c r="FP97" s="35"/>
      <c r="FQ97" s="35"/>
      <c r="FR97" s="35"/>
      <c r="FS97" s="35"/>
      <c r="FT97" s="35"/>
      <c r="FU97" s="35"/>
      <c r="FV97" s="35"/>
      <c r="FW97" s="35"/>
      <c r="FX97" s="35"/>
      <c r="FY97" s="35"/>
      <c r="FZ97" s="35"/>
      <c r="GA97" s="35"/>
      <c r="GB97" s="35"/>
      <c r="GC97" s="35"/>
      <c r="GD97" s="35"/>
      <c r="GE97" s="35"/>
      <c r="GF97" s="35"/>
      <c r="GG97" s="35"/>
      <c r="GH97" s="35"/>
      <c r="GI97" s="35"/>
      <c r="GJ97" s="35"/>
      <c r="GK97" s="35"/>
      <c r="GL97" s="35"/>
      <c r="GM97" s="35"/>
      <c r="GN97" s="35"/>
      <c r="GO97" s="35"/>
      <c r="GP97" s="35"/>
      <c r="GQ97" s="35"/>
      <c r="GR97" s="35"/>
      <c r="GS97" s="35"/>
      <c r="GT97" s="35"/>
      <c r="GU97" s="35"/>
      <c r="GV97" s="35"/>
      <c r="GW97" s="35"/>
      <c r="GX97" s="35"/>
      <c r="GY97" s="35"/>
      <c r="GZ97" s="35"/>
      <c r="HA97" s="35"/>
      <c r="HB97" s="35"/>
      <c r="HC97" s="35"/>
      <c r="HD97" s="35"/>
      <c r="HE97" s="35"/>
      <c r="HF97" s="35"/>
      <c r="HG97" s="35"/>
      <c r="HH97" s="35"/>
      <c r="HI97" s="35"/>
      <c r="HJ97" s="35"/>
      <c r="HK97" s="35"/>
      <c r="HL97" s="35"/>
      <c r="HM97" s="35"/>
      <c r="HN97" s="35"/>
      <c r="HO97" s="35"/>
      <c r="HP97" s="35"/>
      <c r="HQ97" s="35"/>
      <c r="HR97" s="35"/>
      <c r="HS97" s="35"/>
      <c r="HT97" s="35"/>
      <c r="HU97" s="35"/>
      <c r="HV97" s="35"/>
      <c r="HW97" s="35"/>
      <c r="HX97" s="35"/>
      <c r="HY97" s="35"/>
      <c r="HZ97" s="35"/>
      <c r="IA97" s="35"/>
      <c r="IB97" s="35"/>
      <c r="IC97" s="35"/>
      <c r="ID97" s="35"/>
      <c r="IE97" s="35"/>
      <c r="IF97" s="35"/>
      <c r="IG97" s="35"/>
      <c r="IH97" s="35"/>
      <c r="II97" s="35"/>
      <c r="IJ97" s="35"/>
      <c r="IK97" s="35"/>
      <c r="IL97" s="35"/>
      <c r="IM97" s="35"/>
      <c r="IN97" s="35"/>
      <c r="IO97" s="35"/>
      <c r="IP97" s="35"/>
      <c r="IQ97" s="35"/>
      <c r="IR97" s="35"/>
      <c r="IS97" s="35"/>
      <c r="IT97" s="35"/>
      <c r="IU97" s="35"/>
      <c r="IV97" s="35"/>
      <c r="IW97" s="35"/>
      <c r="IX97" s="35"/>
      <c r="IY97" s="35"/>
      <c r="IZ97" s="35"/>
      <c r="JA97" s="35"/>
      <c r="JB97" s="35"/>
      <c r="JC97" s="35"/>
      <c r="JD97" s="35"/>
      <c r="JE97" s="35"/>
      <c r="JF97" s="35"/>
      <c r="JG97" s="35"/>
      <c r="JH97" s="35"/>
      <c r="JI97" s="35"/>
      <c r="JJ97" s="35"/>
      <c r="JK97" s="35"/>
      <c r="JL97" s="35"/>
      <c r="JM97" s="35"/>
      <c r="JN97" s="35"/>
      <c r="JO97" s="35"/>
      <c r="JP97" s="35"/>
      <c r="JQ97" s="35"/>
      <c r="JR97" s="35"/>
      <c r="JS97" s="35"/>
      <c r="JT97" s="35"/>
      <c r="JU97" s="35"/>
      <c r="JV97" s="35"/>
      <c r="JW97" s="35"/>
      <c r="JX97" s="35"/>
      <c r="JY97" s="35"/>
      <c r="JZ97" s="35"/>
      <c r="KA97" s="35"/>
      <c r="KB97" s="35"/>
      <c r="KC97" s="35"/>
      <c r="KD97" s="35"/>
      <c r="KE97" s="35"/>
      <c r="KF97" s="35"/>
      <c r="KG97" s="35"/>
      <c r="KH97" s="35"/>
      <c r="KI97" s="35"/>
      <c r="KJ97" s="35"/>
      <c r="KK97" s="35"/>
      <c r="KL97" s="35"/>
      <c r="KM97" s="35"/>
      <c r="KN97" s="35"/>
      <c r="KO97" s="35"/>
      <c r="KP97" s="35"/>
      <c r="KQ97" s="35"/>
      <c r="KR97" s="35"/>
      <c r="KS97" s="35"/>
      <c r="KT97" s="35"/>
      <c r="KU97" s="35"/>
      <c r="KV97" s="35"/>
      <c r="KW97" s="35"/>
      <c r="KX97" s="35"/>
      <c r="KY97" s="35"/>
      <c r="KZ97" s="35"/>
      <c r="LA97" s="35"/>
      <c r="LB97" s="35"/>
      <c r="LC97" s="35"/>
      <c r="LD97" s="35"/>
      <c r="LE97" s="35"/>
      <c r="LF97" s="35"/>
      <c r="LG97" s="35"/>
      <c r="LH97" s="35"/>
      <c r="LI97" s="35"/>
      <c r="LJ97" s="35"/>
      <c r="LK97" s="35"/>
      <c r="LL97" s="35"/>
      <c r="LM97" s="35"/>
      <c r="LN97" s="35"/>
      <c r="LO97" s="35"/>
      <c r="LP97" s="35"/>
      <c r="LQ97" s="35"/>
      <c r="LR97" s="35"/>
      <c r="LS97" s="35"/>
      <c r="LT97" s="35"/>
      <c r="LU97" s="35"/>
      <c r="LV97" s="35"/>
      <c r="LW97" s="35"/>
      <c r="LX97" s="35"/>
      <c r="LY97" s="35"/>
      <c r="LZ97" s="35"/>
      <c r="MA97" s="35"/>
      <c r="MB97" s="35"/>
      <c r="MC97" s="35"/>
      <c r="MD97" s="35"/>
      <c r="ME97" s="35"/>
      <c r="MF97" s="35"/>
      <c r="MG97" s="35"/>
    </row>
    <row r="98" spans="1:345" s="67" customFormat="1" ht="36" hidden="1" customHeight="1" x14ac:dyDescent="0.25">
      <c r="B98" s="28">
        <v>4142</v>
      </c>
      <c r="C98" s="24" t="s">
        <v>19</v>
      </c>
      <c r="D98" s="19" t="s">
        <v>4327</v>
      </c>
      <c r="E98" s="18">
        <v>42577</v>
      </c>
      <c r="F98" s="27">
        <f t="shared" ca="1" si="2"/>
        <v>1896</v>
      </c>
      <c r="G98" s="69"/>
      <c r="H98" s="68"/>
      <c r="I98" s="25"/>
      <c r="J98" s="25"/>
      <c r="K98" s="68"/>
      <c r="L98" s="68">
        <v>42584</v>
      </c>
      <c r="M98" s="68"/>
      <c r="N98" s="22"/>
      <c r="O98" s="26" t="s">
        <v>4328</v>
      </c>
      <c r="P98" s="35"/>
      <c r="Q98" s="35"/>
      <c r="R98" s="20"/>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35"/>
      <c r="AS98" s="35"/>
      <c r="AT98" s="35"/>
      <c r="AU98" s="35"/>
      <c r="AV98" s="35"/>
      <c r="AW98" s="35"/>
      <c r="AX98" s="35"/>
      <c r="AY98" s="35"/>
      <c r="AZ98" s="35"/>
      <c r="BA98" s="35"/>
      <c r="BB98" s="35"/>
      <c r="BC98" s="35"/>
      <c r="BD98" s="35"/>
      <c r="BE98" s="35"/>
      <c r="BF98" s="35"/>
      <c r="BG98" s="35"/>
      <c r="BH98" s="35"/>
      <c r="BI98" s="35"/>
      <c r="BJ98" s="35"/>
      <c r="BK98" s="35"/>
      <c r="BL98" s="35"/>
      <c r="BM98" s="35"/>
      <c r="BN98" s="35"/>
      <c r="BO98" s="35"/>
      <c r="BP98" s="35"/>
      <c r="BQ98" s="35"/>
      <c r="BR98" s="35"/>
      <c r="BS98" s="35"/>
      <c r="BT98" s="35"/>
      <c r="BU98" s="35"/>
      <c r="BV98" s="35"/>
      <c r="BW98" s="35"/>
      <c r="BX98" s="35"/>
      <c r="BY98" s="35"/>
      <c r="BZ98" s="35"/>
      <c r="CA98" s="35"/>
      <c r="CB98" s="35"/>
      <c r="CC98" s="35"/>
      <c r="CD98" s="35"/>
      <c r="CE98" s="35"/>
      <c r="CF98" s="35"/>
      <c r="CG98" s="35"/>
      <c r="CH98" s="35"/>
      <c r="CI98" s="35"/>
      <c r="CJ98" s="35"/>
      <c r="CK98" s="35"/>
      <c r="CL98" s="35"/>
      <c r="CM98" s="35"/>
      <c r="CN98" s="35"/>
      <c r="CO98" s="35"/>
      <c r="CP98" s="35"/>
      <c r="CQ98" s="35"/>
      <c r="CR98" s="35"/>
      <c r="CS98" s="35"/>
      <c r="CT98" s="35"/>
      <c r="CU98" s="35"/>
      <c r="CV98" s="35"/>
      <c r="CW98" s="35"/>
      <c r="CX98" s="35"/>
      <c r="CY98" s="35"/>
      <c r="CZ98" s="35"/>
      <c r="DA98" s="35"/>
      <c r="DB98" s="35"/>
      <c r="DC98" s="35"/>
      <c r="DD98" s="35"/>
      <c r="DE98" s="35"/>
      <c r="DF98" s="35"/>
      <c r="DG98" s="35"/>
      <c r="DH98" s="35"/>
      <c r="DI98" s="35"/>
      <c r="DJ98" s="35"/>
      <c r="DK98" s="35"/>
      <c r="DL98" s="35"/>
      <c r="DM98" s="35"/>
      <c r="DN98" s="35"/>
      <c r="DO98" s="35"/>
      <c r="DP98" s="35"/>
      <c r="DQ98" s="35"/>
      <c r="DR98" s="35"/>
      <c r="DS98" s="35"/>
      <c r="DT98" s="35"/>
      <c r="DU98" s="35"/>
      <c r="DV98" s="35"/>
      <c r="DW98" s="35"/>
      <c r="DX98" s="35"/>
      <c r="DY98" s="35"/>
      <c r="DZ98" s="35"/>
      <c r="EA98" s="35"/>
      <c r="EB98" s="35"/>
      <c r="EC98" s="35"/>
      <c r="ED98" s="35"/>
      <c r="EE98" s="35"/>
      <c r="EF98" s="35"/>
      <c r="EG98" s="35"/>
      <c r="EH98" s="35"/>
      <c r="EI98" s="35"/>
      <c r="EJ98" s="35"/>
      <c r="EK98" s="35"/>
      <c r="EL98" s="35"/>
      <c r="EM98" s="35"/>
      <c r="EN98" s="35"/>
      <c r="EO98" s="35"/>
      <c r="EP98" s="35"/>
      <c r="EQ98" s="35"/>
      <c r="ER98" s="35"/>
      <c r="ES98" s="35"/>
      <c r="ET98" s="35"/>
      <c r="EU98" s="35"/>
      <c r="EV98" s="35"/>
      <c r="EW98" s="35"/>
      <c r="EX98" s="35"/>
      <c r="EY98" s="35"/>
      <c r="EZ98" s="35"/>
      <c r="FA98" s="35"/>
      <c r="FB98" s="35"/>
      <c r="FC98" s="35"/>
      <c r="FD98" s="35"/>
      <c r="FE98" s="35"/>
      <c r="FF98" s="35"/>
      <c r="FG98" s="35"/>
      <c r="FH98" s="35"/>
      <c r="FI98" s="35"/>
      <c r="FJ98" s="35"/>
      <c r="FK98" s="35"/>
      <c r="FL98" s="35"/>
      <c r="FM98" s="35"/>
      <c r="FN98" s="35"/>
      <c r="FO98" s="35"/>
      <c r="FP98" s="35"/>
      <c r="FQ98" s="35"/>
      <c r="FR98" s="35"/>
      <c r="FS98" s="35"/>
      <c r="FT98" s="35"/>
      <c r="FU98" s="35"/>
      <c r="FV98" s="35"/>
      <c r="FW98" s="35"/>
      <c r="FX98" s="35"/>
      <c r="FY98" s="35"/>
      <c r="FZ98" s="35"/>
      <c r="GA98" s="35"/>
      <c r="GB98" s="35"/>
      <c r="GC98" s="35"/>
      <c r="GD98" s="35"/>
      <c r="GE98" s="35"/>
      <c r="GF98" s="35"/>
      <c r="GG98" s="35"/>
      <c r="GH98" s="35"/>
      <c r="GI98" s="35"/>
      <c r="GJ98" s="35"/>
      <c r="GK98" s="35"/>
      <c r="GL98" s="35"/>
      <c r="GM98" s="35"/>
      <c r="GN98" s="35"/>
      <c r="GO98" s="35"/>
      <c r="GP98" s="35"/>
      <c r="GQ98" s="35"/>
      <c r="GR98" s="35"/>
      <c r="GS98" s="35"/>
      <c r="GT98" s="35"/>
      <c r="GU98" s="35"/>
      <c r="GV98" s="35"/>
      <c r="GW98" s="35"/>
      <c r="GX98" s="35"/>
      <c r="GY98" s="35"/>
      <c r="GZ98" s="35"/>
      <c r="HA98" s="35"/>
      <c r="HB98" s="35"/>
      <c r="HC98" s="35"/>
      <c r="HD98" s="35"/>
      <c r="HE98" s="35"/>
      <c r="HF98" s="35"/>
      <c r="HG98" s="35"/>
      <c r="HH98" s="35"/>
      <c r="HI98" s="35"/>
      <c r="HJ98" s="35"/>
      <c r="HK98" s="35"/>
      <c r="HL98" s="35"/>
      <c r="HM98" s="35"/>
      <c r="HN98" s="35"/>
      <c r="HO98" s="35"/>
      <c r="HP98" s="35"/>
      <c r="HQ98" s="35"/>
      <c r="HR98" s="35"/>
      <c r="HS98" s="35"/>
      <c r="HT98" s="35"/>
      <c r="HU98" s="35"/>
      <c r="HV98" s="35"/>
      <c r="HW98" s="35"/>
      <c r="HX98" s="35"/>
      <c r="HY98" s="35"/>
      <c r="HZ98" s="35"/>
      <c r="IA98" s="35"/>
      <c r="IB98" s="35"/>
      <c r="IC98" s="35"/>
      <c r="ID98" s="35"/>
      <c r="IE98" s="35"/>
      <c r="IF98" s="35"/>
      <c r="IG98" s="35"/>
      <c r="IH98" s="35"/>
      <c r="II98" s="35"/>
      <c r="IJ98" s="35"/>
      <c r="IK98" s="35"/>
      <c r="IL98" s="35"/>
      <c r="IM98" s="35"/>
      <c r="IN98" s="35"/>
      <c r="IO98" s="35"/>
      <c r="IP98" s="35"/>
      <c r="IQ98" s="35"/>
      <c r="IR98" s="35"/>
      <c r="IS98" s="35"/>
      <c r="IT98" s="35"/>
      <c r="IU98" s="35"/>
      <c r="IV98" s="35"/>
      <c r="IW98" s="35"/>
      <c r="IX98" s="35"/>
      <c r="IY98" s="35"/>
      <c r="IZ98" s="35"/>
      <c r="JA98" s="35"/>
      <c r="JB98" s="35"/>
      <c r="JC98" s="35"/>
      <c r="JD98" s="35"/>
      <c r="JE98" s="35"/>
      <c r="JF98" s="35"/>
      <c r="JG98" s="35"/>
      <c r="JH98" s="35"/>
      <c r="JI98" s="35"/>
      <c r="JJ98" s="35"/>
      <c r="JK98" s="35"/>
      <c r="JL98" s="35"/>
      <c r="JM98" s="35"/>
      <c r="JN98" s="35"/>
      <c r="JO98" s="35"/>
      <c r="JP98" s="35"/>
      <c r="JQ98" s="35"/>
      <c r="JR98" s="35"/>
      <c r="JS98" s="35"/>
      <c r="JT98" s="35"/>
      <c r="JU98" s="35"/>
      <c r="JV98" s="35"/>
      <c r="JW98" s="35"/>
      <c r="JX98" s="35"/>
      <c r="JY98" s="35"/>
      <c r="JZ98" s="35"/>
      <c r="KA98" s="35"/>
      <c r="KB98" s="35"/>
      <c r="KC98" s="35"/>
      <c r="KD98" s="35"/>
      <c r="KE98" s="35"/>
      <c r="KF98" s="35"/>
      <c r="KG98" s="35"/>
      <c r="KH98" s="35"/>
      <c r="KI98" s="35"/>
      <c r="KJ98" s="35"/>
      <c r="KK98" s="35"/>
      <c r="KL98" s="35"/>
      <c r="KM98" s="35"/>
      <c r="KN98" s="35"/>
      <c r="KO98" s="35"/>
      <c r="KP98" s="35"/>
      <c r="KQ98" s="35"/>
      <c r="KR98" s="35"/>
      <c r="KS98" s="35"/>
      <c r="KT98" s="35"/>
      <c r="KU98" s="35"/>
      <c r="KV98" s="35"/>
      <c r="KW98" s="35"/>
      <c r="KX98" s="35"/>
      <c r="KY98" s="35"/>
      <c r="KZ98" s="35"/>
      <c r="LA98" s="35"/>
      <c r="LB98" s="35"/>
      <c r="LC98" s="35"/>
      <c r="LD98" s="35"/>
      <c r="LE98" s="35"/>
      <c r="LF98" s="35"/>
      <c r="LG98" s="35"/>
      <c r="LH98" s="35"/>
      <c r="LI98" s="35"/>
      <c r="LJ98" s="35"/>
      <c r="LK98" s="35"/>
      <c r="LL98" s="35"/>
      <c r="LM98" s="35"/>
      <c r="LN98" s="35"/>
      <c r="LO98" s="35"/>
      <c r="LP98" s="35"/>
      <c r="LQ98" s="35"/>
      <c r="LR98" s="35"/>
      <c r="LS98" s="35"/>
      <c r="LT98" s="35"/>
      <c r="LU98" s="35"/>
      <c r="LV98" s="35"/>
      <c r="LW98" s="35"/>
      <c r="LX98" s="35"/>
      <c r="LY98" s="35"/>
      <c r="LZ98" s="35"/>
      <c r="MA98" s="35"/>
      <c r="MB98" s="35"/>
      <c r="MC98" s="35"/>
      <c r="MD98" s="35"/>
      <c r="ME98" s="35"/>
      <c r="MF98" s="35"/>
      <c r="MG98" s="35"/>
    </row>
    <row r="99" spans="1:345" s="67" customFormat="1" ht="36" hidden="1" customHeight="1" x14ac:dyDescent="0.25">
      <c r="B99" s="28">
        <v>4184</v>
      </c>
      <c r="C99" s="24" t="s">
        <v>19</v>
      </c>
      <c r="D99" s="19" t="s">
        <v>4389</v>
      </c>
      <c r="E99" s="18">
        <v>42577</v>
      </c>
      <c r="F99" s="27">
        <f t="shared" ca="1" si="2"/>
        <v>1896</v>
      </c>
      <c r="G99" s="69"/>
      <c r="H99" s="68"/>
      <c r="I99" s="25"/>
      <c r="J99" s="25"/>
      <c r="K99" s="68"/>
      <c r="L99" s="68">
        <v>42579</v>
      </c>
      <c r="M99" s="68"/>
      <c r="N99" s="22" t="s">
        <v>4390</v>
      </c>
      <c r="O99" s="26"/>
      <c r="P99" s="35"/>
      <c r="Q99" s="35"/>
      <c r="R99" s="20"/>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35"/>
      <c r="AS99" s="35"/>
      <c r="AT99" s="35"/>
      <c r="AU99" s="35"/>
      <c r="AV99" s="35"/>
      <c r="AW99" s="35"/>
      <c r="AX99" s="35"/>
      <c r="AY99" s="35"/>
      <c r="AZ99" s="35"/>
      <c r="BA99" s="35"/>
      <c r="BB99" s="35"/>
      <c r="BC99" s="35"/>
      <c r="BD99" s="35"/>
      <c r="BE99" s="35"/>
      <c r="BF99" s="35"/>
      <c r="BG99" s="35"/>
      <c r="BH99" s="35"/>
      <c r="BI99" s="35"/>
      <c r="BJ99" s="35"/>
      <c r="BK99" s="35"/>
      <c r="BL99" s="35"/>
      <c r="BM99" s="35"/>
      <c r="BN99" s="35"/>
      <c r="BO99" s="35"/>
      <c r="BP99" s="35"/>
      <c r="BQ99" s="35"/>
      <c r="BR99" s="35"/>
      <c r="BS99" s="35"/>
      <c r="BT99" s="35"/>
      <c r="BU99" s="35"/>
      <c r="BV99" s="35"/>
      <c r="BW99" s="35"/>
      <c r="BX99" s="35"/>
      <c r="BY99" s="35"/>
      <c r="BZ99" s="35"/>
      <c r="CA99" s="35"/>
      <c r="CB99" s="35"/>
      <c r="CC99" s="35"/>
      <c r="CD99" s="35"/>
      <c r="CE99" s="35"/>
      <c r="CF99" s="35"/>
      <c r="CG99" s="35"/>
      <c r="CH99" s="35"/>
      <c r="CI99" s="35"/>
      <c r="CJ99" s="35"/>
      <c r="CK99" s="35"/>
      <c r="CL99" s="35"/>
      <c r="CM99" s="35"/>
      <c r="CN99" s="35"/>
      <c r="CO99" s="35"/>
      <c r="CP99" s="35"/>
      <c r="CQ99" s="35"/>
      <c r="CR99" s="35"/>
      <c r="CS99" s="35"/>
      <c r="CT99" s="35"/>
      <c r="CU99" s="35"/>
      <c r="CV99" s="35"/>
      <c r="CW99" s="35"/>
      <c r="CX99" s="35"/>
      <c r="CY99" s="35"/>
      <c r="CZ99" s="35"/>
      <c r="DA99" s="35"/>
      <c r="DB99" s="35"/>
      <c r="DC99" s="35"/>
      <c r="DD99" s="35"/>
      <c r="DE99" s="35"/>
      <c r="DF99" s="35"/>
      <c r="DG99" s="35"/>
      <c r="DH99" s="35"/>
      <c r="DI99" s="35"/>
      <c r="DJ99" s="35"/>
      <c r="DK99" s="35"/>
      <c r="DL99" s="35"/>
      <c r="DM99" s="35"/>
      <c r="DN99" s="35"/>
      <c r="DO99" s="35"/>
      <c r="DP99" s="35"/>
      <c r="DQ99" s="35"/>
      <c r="DR99" s="35"/>
      <c r="DS99" s="35"/>
      <c r="DT99" s="35"/>
      <c r="DU99" s="35"/>
      <c r="DV99" s="35"/>
      <c r="DW99" s="35"/>
      <c r="DX99" s="35"/>
      <c r="DY99" s="35"/>
      <c r="DZ99" s="35"/>
      <c r="EA99" s="35"/>
      <c r="EB99" s="35"/>
      <c r="EC99" s="35"/>
      <c r="ED99" s="35"/>
      <c r="EE99" s="35"/>
      <c r="EF99" s="35"/>
      <c r="EG99" s="35"/>
      <c r="EH99" s="35"/>
      <c r="EI99" s="35"/>
      <c r="EJ99" s="35"/>
      <c r="EK99" s="35"/>
      <c r="EL99" s="35"/>
      <c r="EM99" s="35"/>
      <c r="EN99" s="35"/>
      <c r="EO99" s="35"/>
      <c r="EP99" s="35"/>
      <c r="EQ99" s="35"/>
      <c r="ER99" s="35"/>
      <c r="ES99" s="35"/>
      <c r="ET99" s="35"/>
      <c r="EU99" s="35"/>
      <c r="EV99" s="35"/>
      <c r="EW99" s="35"/>
      <c r="EX99" s="35"/>
      <c r="EY99" s="35"/>
      <c r="EZ99" s="35"/>
      <c r="FA99" s="35"/>
      <c r="FB99" s="35"/>
      <c r="FC99" s="35"/>
      <c r="FD99" s="35"/>
      <c r="FE99" s="35"/>
      <c r="FF99" s="35"/>
      <c r="FG99" s="35"/>
      <c r="FH99" s="35"/>
      <c r="FI99" s="35"/>
      <c r="FJ99" s="35"/>
      <c r="FK99" s="35"/>
      <c r="FL99" s="35"/>
      <c r="FM99" s="35"/>
      <c r="FN99" s="35"/>
      <c r="FO99" s="35"/>
      <c r="FP99" s="35"/>
      <c r="FQ99" s="35"/>
      <c r="FR99" s="35"/>
      <c r="FS99" s="35"/>
      <c r="FT99" s="35"/>
      <c r="FU99" s="35"/>
      <c r="FV99" s="35"/>
      <c r="FW99" s="35"/>
      <c r="FX99" s="35"/>
      <c r="FY99" s="35"/>
      <c r="FZ99" s="35"/>
      <c r="GA99" s="35"/>
      <c r="GB99" s="35"/>
      <c r="GC99" s="35"/>
      <c r="GD99" s="35"/>
      <c r="GE99" s="35"/>
      <c r="GF99" s="35"/>
      <c r="GG99" s="35"/>
      <c r="GH99" s="35"/>
      <c r="GI99" s="35"/>
      <c r="GJ99" s="35"/>
      <c r="GK99" s="35"/>
      <c r="GL99" s="35"/>
      <c r="GM99" s="35"/>
      <c r="GN99" s="35"/>
      <c r="GO99" s="35"/>
      <c r="GP99" s="35"/>
      <c r="GQ99" s="35"/>
      <c r="GR99" s="35"/>
      <c r="GS99" s="35"/>
      <c r="GT99" s="35"/>
      <c r="GU99" s="35"/>
      <c r="GV99" s="35"/>
      <c r="GW99" s="35"/>
      <c r="GX99" s="35"/>
      <c r="GY99" s="35"/>
      <c r="GZ99" s="35"/>
      <c r="HA99" s="35"/>
      <c r="HB99" s="35"/>
      <c r="HC99" s="35"/>
      <c r="HD99" s="35"/>
      <c r="HE99" s="35"/>
      <c r="HF99" s="35"/>
      <c r="HG99" s="35"/>
      <c r="HH99" s="35"/>
      <c r="HI99" s="35"/>
      <c r="HJ99" s="35"/>
      <c r="HK99" s="35"/>
      <c r="HL99" s="35"/>
      <c r="HM99" s="35"/>
      <c r="HN99" s="35"/>
      <c r="HO99" s="35"/>
      <c r="HP99" s="35"/>
      <c r="HQ99" s="35"/>
      <c r="HR99" s="35"/>
      <c r="HS99" s="35"/>
      <c r="HT99" s="35"/>
      <c r="HU99" s="35"/>
      <c r="HV99" s="35"/>
      <c r="HW99" s="35"/>
      <c r="HX99" s="35"/>
      <c r="HY99" s="35"/>
      <c r="HZ99" s="35"/>
      <c r="IA99" s="35"/>
      <c r="IB99" s="35"/>
      <c r="IC99" s="35"/>
      <c r="ID99" s="35"/>
      <c r="IE99" s="35"/>
      <c r="IF99" s="35"/>
      <c r="IG99" s="35"/>
      <c r="IH99" s="35"/>
      <c r="II99" s="35"/>
      <c r="IJ99" s="35"/>
      <c r="IK99" s="35"/>
      <c r="IL99" s="35"/>
      <c r="IM99" s="35"/>
      <c r="IN99" s="35"/>
      <c r="IO99" s="35"/>
      <c r="IP99" s="35"/>
      <c r="IQ99" s="35"/>
      <c r="IR99" s="35"/>
      <c r="IS99" s="35"/>
      <c r="IT99" s="35"/>
      <c r="IU99" s="35"/>
      <c r="IV99" s="35"/>
      <c r="IW99" s="35"/>
      <c r="IX99" s="35"/>
      <c r="IY99" s="35"/>
      <c r="IZ99" s="35"/>
      <c r="JA99" s="35"/>
      <c r="JB99" s="35"/>
      <c r="JC99" s="35"/>
      <c r="JD99" s="35"/>
      <c r="JE99" s="35"/>
      <c r="JF99" s="35"/>
      <c r="JG99" s="35"/>
      <c r="JH99" s="35"/>
      <c r="JI99" s="35"/>
      <c r="JJ99" s="35"/>
      <c r="JK99" s="35"/>
      <c r="JL99" s="35"/>
      <c r="JM99" s="35"/>
      <c r="JN99" s="35"/>
      <c r="JO99" s="35"/>
      <c r="JP99" s="35"/>
      <c r="JQ99" s="35"/>
      <c r="JR99" s="35"/>
      <c r="JS99" s="35"/>
      <c r="JT99" s="35"/>
      <c r="JU99" s="35"/>
      <c r="JV99" s="35"/>
      <c r="JW99" s="35"/>
      <c r="JX99" s="35"/>
      <c r="JY99" s="35"/>
      <c r="JZ99" s="35"/>
      <c r="KA99" s="35"/>
      <c r="KB99" s="35"/>
      <c r="KC99" s="35"/>
      <c r="KD99" s="35"/>
      <c r="KE99" s="35"/>
      <c r="KF99" s="35"/>
      <c r="KG99" s="35"/>
      <c r="KH99" s="35"/>
      <c r="KI99" s="35"/>
      <c r="KJ99" s="35"/>
      <c r="KK99" s="35"/>
      <c r="KL99" s="35"/>
      <c r="KM99" s="35"/>
      <c r="KN99" s="35"/>
      <c r="KO99" s="35"/>
      <c r="KP99" s="35"/>
      <c r="KQ99" s="35"/>
      <c r="KR99" s="35"/>
      <c r="KS99" s="35"/>
      <c r="KT99" s="35"/>
      <c r="KU99" s="35"/>
      <c r="KV99" s="35"/>
      <c r="KW99" s="35"/>
      <c r="KX99" s="35"/>
      <c r="KY99" s="35"/>
      <c r="KZ99" s="35"/>
      <c r="LA99" s="35"/>
      <c r="LB99" s="35"/>
      <c r="LC99" s="35"/>
      <c r="LD99" s="35"/>
      <c r="LE99" s="35"/>
      <c r="LF99" s="35"/>
      <c r="LG99" s="35"/>
      <c r="LH99" s="35"/>
      <c r="LI99" s="35"/>
      <c r="LJ99" s="35"/>
      <c r="LK99" s="35"/>
      <c r="LL99" s="35"/>
      <c r="LM99" s="35"/>
      <c r="LN99" s="35"/>
      <c r="LO99" s="35"/>
      <c r="LP99" s="35"/>
      <c r="LQ99" s="35"/>
      <c r="LR99" s="35"/>
      <c r="LS99" s="35"/>
      <c r="LT99" s="35"/>
      <c r="LU99" s="35"/>
      <c r="LV99" s="35"/>
      <c r="LW99" s="35"/>
      <c r="LX99" s="35"/>
      <c r="LY99" s="35"/>
      <c r="LZ99" s="35"/>
      <c r="MA99" s="35"/>
      <c r="MB99" s="35"/>
      <c r="MC99" s="35"/>
      <c r="MD99" s="35"/>
      <c r="ME99" s="35"/>
      <c r="MF99" s="35"/>
      <c r="MG99" s="35"/>
    </row>
    <row r="100" spans="1:345" s="67" customFormat="1" ht="36" hidden="1" customHeight="1" x14ac:dyDescent="0.25">
      <c r="B100" s="28" t="s">
        <v>4392</v>
      </c>
      <c r="C100" s="24" t="s">
        <v>40</v>
      </c>
      <c r="D100" s="19" t="s">
        <v>4402</v>
      </c>
      <c r="E100" s="18">
        <v>42580</v>
      </c>
      <c r="F100" s="27">
        <f t="shared" ca="1" si="2"/>
        <v>1893</v>
      </c>
      <c r="G100" s="69"/>
      <c r="H100" s="68"/>
      <c r="I100" s="25"/>
      <c r="J100" s="25"/>
      <c r="K100" s="68"/>
      <c r="L100" s="68">
        <v>42585</v>
      </c>
      <c r="M100" s="68"/>
      <c r="N100" s="22"/>
      <c r="O100" s="26"/>
      <c r="P100" s="35"/>
      <c r="Q100" s="35"/>
      <c r="R100" s="20"/>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35"/>
      <c r="AS100" s="35"/>
      <c r="AT100" s="35"/>
      <c r="AU100" s="35"/>
      <c r="AV100" s="35"/>
      <c r="AW100" s="35"/>
      <c r="AX100" s="35"/>
      <c r="AY100" s="35"/>
      <c r="AZ100" s="35"/>
      <c r="BA100" s="35"/>
      <c r="BB100" s="35"/>
      <c r="BC100" s="35"/>
      <c r="BD100" s="35"/>
      <c r="BE100" s="35"/>
      <c r="BF100" s="35"/>
      <c r="BG100" s="35"/>
      <c r="BH100" s="35"/>
      <c r="BI100" s="35"/>
      <c r="BJ100" s="35"/>
      <c r="BK100" s="35"/>
      <c r="BL100" s="35"/>
      <c r="BM100" s="35"/>
      <c r="BN100" s="35"/>
      <c r="BO100" s="35"/>
      <c r="BP100" s="35"/>
      <c r="BQ100" s="35"/>
      <c r="BR100" s="35"/>
      <c r="BS100" s="35"/>
      <c r="BT100" s="35"/>
      <c r="BU100" s="35"/>
      <c r="BV100" s="35"/>
      <c r="BW100" s="35"/>
      <c r="BX100" s="35"/>
      <c r="BY100" s="35"/>
      <c r="BZ100" s="35"/>
      <c r="CA100" s="35"/>
      <c r="CB100" s="35"/>
      <c r="CC100" s="35"/>
      <c r="CD100" s="35"/>
      <c r="CE100" s="35"/>
      <c r="CF100" s="35"/>
      <c r="CG100" s="35"/>
      <c r="CH100" s="35"/>
      <c r="CI100" s="35"/>
      <c r="CJ100" s="35"/>
      <c r="CK100" s="35"/>
      <c r="CL100" s="35"/>
      <c r="CM100" s="35"/>
      <c r="CN100" s="35"/>
      <c r="CO100" s="35"/>
      <c r="CP100" s="35"/>
      <c r="CQ100" s="35"/>
      <c r="CR100" s="35"/>
      <c r="CS100" s="35"/>
      <c r="CT100" s="35"/>
      <c r="CU100" s="35"/>
      <c r="CV100" s="35"/>
      <c r="CW100" s="35"/>
      <c r="CX100" s="35"/>
      <c r="CY100" s="35"/>
      <c r="CZ100" s="35"/>
      <c r="DA100" s="35"/>
      <c r="DB100" s="35"/>
      <c r="DC100" s="35"/>
      <c r="DD100" s="35"/>
      <c r="DE100" s="35"/>
      <c r="DF100" s="35"/>
      <c r="DG100" s="35"/>
      <c r="DH100" s="35"/>
      <c r="DI100" s="35"/>
      <c r="DJ100" s="35"/>
      <c r="DK100" s="35"/>
      <c r="DL100" s="35"/>
      <c r="DM100" s="35"/>
      <c r="DN100" s="35"/>
      <c r="DO100" s="35"/>
      <c r="DP100" s="35"/>
      <c r="DQ100" s="35"/>
      <c r="DR100" s="35"/>
      <c r="DS100" s="35"/>
      <c r="DT100" s="35"/>
      <c r="DU100" s="35"/>
      <c r="DV100" s="35"/>
      <c r="DW100" s="35"/>
      <c r="DX100" s="35"/>
      <c r="DY100" s="35"/>
      <c r="DZ100" s="35"/>
      <c r="EA100" s="35"/>
      <c r="EB100" s="35"/>
      <c r="EC100" s="35"/>
      <c r="ED100" s="35"/>
      <c r="EE100" s="35"/>
      <c r="EF100" s="35"/>
      <c r="EG100" s="35"/>
      <c r="EH100" s="35"/>
      <c r="EI100" s="35"/>
      <c r="EJ100" s="35"/>
      <c r="EK100" s="35"/>
      <c r="EL100" s="35"/>
      <c r="EM100" s="35"/>
      <c r="EN100" s="35"/>
      <c r="EO100" s="35"/>
      <c r="EP100" s="35"/>
      <c r="EQ100" s="35"/>
      <c r="ER100" s="35"/>
      <c r="ES100" s="35"/>
      <c r="ET100" s="35"/>
      <c r="EU100" s="35"/>
      <c r="EV100" s="35"/>
      <c r="EW100" s="35"/>
      <c r="EX100" s="35"/>
      <c r="EY100" s="35"/>
      <c r="EZ100" s="35"/>
      <c r="FA100" s="35"/>
      <c r="FB100" s="35"/>
      <c r="FC100" s="35"/>
      <c r="FD100" s="35"/>
      <c r="FE100" s="35"/>
      <c r="FF100" s="35"/>
      <c r="FG100" s="35"/>
      <c r="FH100" s="35"/>
      <c r="FI100" s="35"/>
      <c r="FJ100" s="35"/>
      <c r="FK100" s="35"/>
      <c r="FL100" s="35"/>
      <c r="FM100" s="35"/>
      <c r="FN100" s="35"/>
      <c r="FO100" s="35"/>
      <c r="FP100" s="35"/>
      <c r="FQ100" s="35"/>
      <c r="FR100" s="35"/>
      <c r="FS100" s="35"/>
      <c r="FT100" s="35"/>
      <c r="FU100" s="35"/>
      <c r="FV100" s="35"/>
      <c r="FW100" s="35"/>
      <c r="FX100" s="35"/>
      <c r="FY100" s="35"/>
      <c r="FZ100" s="35"/>
      <c r="GA100" s="35"/>
      <c r="GB100" s="35"/>
      <c r="GC100" s="35"/>
      <c r="GD100" s="35"/>
      <c r="GE100" s="35"/>
      <c r="GF100" s="35"/>
      <c r="GG100" s="35"/>
      <c r="GH100" s="35"/>
      <c r="GI100" s="35"/>
      <c r="GJ100" s="35"/>
      <c r="GK100" s="35"/>
      <c r="GL100" s="35"/>
      <c r="GM100" s="35"/>
      <c r="GN100" s="35"/>
      <c r="GO100" s="35"/>
      <c r="GP100" s="35"/>
      <c r="GQ100" s="35"/>
      <c r="GR100" s="35"/>
      <c r="GS100" s="35"/>
      <c r="GT100" s="35"/>
      <c r="GU100" s="35"/>
      <c r="GV100" s="35"/>
      <c r="GW100" s="35"/>
      <c r="GX100" s="35"/>
      <c r="GY100" s="35"/>
      <c r="GZ100" s="35"/>
      <c r="HA100" s="35"/>
      <c r="HB100" s="35"/>
      <c r="HC100" s="35"/>
      <c r="HD100" s="35"/>
      <c r="HE100" s="35"/>
      <c r="HF100" s="35"/>
      <c r="HG100" s="35"/>
      <c r="HH100" s="35"/>
      <c r="HI100" s="35"/>
      <c r="HJ100" s="35"/>
      <c r="HK100" s="35"/>
      <c r="HL100" s="35"/>
      <c r="HM100" s="35"/>
      <c r="HN100" s="35"/>
      <c r="HO100" s="35"/>
      <c r="HP100" s="35"/>
      <c r="HQ100" s="35"/>
      <c r="HR100" s="35"/>
      <c r="HS100" s="35"/>
      <c r="HT100" s="35"/>
      <c r="HU100" s="35"/>
      <c r="HV100" s="35"/>
      <c r="HW100" s="35"/>
      <c r="HX100" s="35"/>
      <c r="HY100" s="35"/>
      <c r="HZ100" s="35"/>
      <c r="IA100" s="35"/>
      <c r="IB100" s="35"/>
      <c r="IC100" s="35"/>
      <c r="ID100" s="35"/>
      <c r="IE100" s="35"/>
      <c r="IF100" s="35"/>
      <c r="IG100" s="35"/>
      <c r="IH100" s="35"/>
      <c r="II100" s="35"/>
      <c r="IJ100" s="35"/>
      <c r="IK100" s="35"/>
      <c r="IL100" s="35"/>
      <c r="IM100" s="35"/>
      <c r="IN100" s="35"/>
      <c r="IO100" s="35"/>
      <c r="IP100" s="35"/>
      <c r="IQ100" s="35"/>
      <c r="IR100" s="35"/>
      <c r="IS100" s="35"/>
      <c r="IT100" s="35"/>
      <c r="IU100" s="35"/>
      <c r="IV100" s="35"/>
      <c r="IW100" s="35"/>
      <c r="IX100" s="35"/>
      <c r="IY100" s="35"/>
      <c r="IZ100" s="35"/>
      <c r="JA100" s="35"/>
      <c r="JB100" s="35"/>
      <c r="JC100" s="35"/>
      <c r="JD100" s="35"/>
      <c r="JE100" s="35"/>
      <c r="JF100" s="35"/>
      <c r="JG100" s="35"/>
      <c r="JH100" s="35"/>
      <c r="JI100" s="35"/>
      <c r="JJ100" s="35"/>
      <c r="JK100" s="35"/>
      <c r="JL100" s="35"/>
      <c r="JM100" s="35"/>
      <c r="JN100" s="35"/>
      <c r="JO100" s="35"/>
      <c r="JP100" s="35"/>
      <c r="JQ100" s="35"/>
      <c r="JR100" s="35"/>
      <c r="JS100" s="35"/>
      <c r="JT100" s="35"/>
      <c r="JU100" s="35"/>
      <c r="JV100" s="35"/>
      <c r="JW100" s="35"/>
      <c r="JX100" s="35"/>
      <c r="JY100" s="35"/>
      <c r="JZ100" s="35"/>
      <c r="KA100" s="35"/>
      <c r="KB100" s="35"/>
      <c r="KC100" s="35"/>
      <c r="KD100" s="35"/>
      <c r="KE100" s="35"/>
      <c r="KF100" s="35"/>
      <c r="KG100" s="35"/>
      <c r="KH100" s="35"/>
      <c r="KI100" s="35"/>
      <c r="KJ100" s="35"/>
      <c r="KK100" s="35"/>
      <c r="KL100" s="35"/>
      <c r="KM100" s="35"/>
      <c r="KN100" s="35"/>
      <c r="KO100" s="35"/>
      <c r="KP100" s="35"/>
      <c r="KQ100" s="35"/>
      <c r="KR100" s="35"/>
      <c r="KS100" s="35"/>
      <c r="KT100" s="35"/>
      <c r="KU100" s="35"/>
      <c r="KV100" s="35"/>
      <c r="KW100" s="35"/>
      <c r="KX100" s="35"/>
      <c r="KY100" s="35"/>
      <c r="KZ100" s="35"/>
      <c r="LA100" s="35"/>
      <c r="LB100" s="35"/>
      <c r="LC100" s="35"/>
      <c r="LD100" s="35"/>
      <c r="LE100" s="35"/>
      <c r="LF100" s="35"/>
      <c r="LG100" s="35"/>
      <c r="LH100" s="35"/>
      <c r="LI100" s="35"/>
      <c r="LJ100" s="35"/>
      <c r="LK100" s="35"/>
      <c r="LL100" s="35"/>
      <c r="LM100" s="35"/>
      <c r="LN100" s="35"/>
      <c r="LO100" s="35"/>
      <c r="LP100" s="35"/>
      <c r="LQ100" s="35"/>
      <c r="LR100" s="35"/>
      <c r="LS100" s="35"/>
      <c r="LT100" s="35"/>
      <c r="LU100" s="35"/>
      <c r="LV100" s="35"/>
      <c r="LW100" s="35"/>
      <c r="LX100" s="35"/>
      <c r="LY100" s="35"/>
      <c r="LZ100" s="35"/>
      <c r="MA100" s="35"/>
      <c r="MB100" s="35"/>
      <c r="MC100" s="35"/>
      <c r="MD100" s="35"/>
      <c r="ME100" s="35"/>
      <c r="MF100" s="35"/>
      <c r="MG100" s="35"/>
    </row>
    <row r="101" spans="1:345" s="67" customFormat="1" ht="36" hidden="1" customHeight="1" x14ac:dyDescent="0.25">
      <c r="B101" s="28" t="s">
        <v>4392</v>
      </c>
      <c r="C101" s="24" t="s">
        <v>24</v>
      </c>
      <c r="D101" s="19" t="s">
        <v>4403</v>
      </c>
      <c r="E101" s="18">
        <v>42580</v>
      </c>
      <c r="F101" s="27">
        <f t="shared" ca="1" si="2"/>
        <v>1893</v>
      </c>
      <c r="G101" s="69"/>
      <c r="H101" s="68"/>
      <c r="I101" s="25"/>
      <c r="J101" s="25"/>
      <c r="K101" s="68"/>
      <c r="L101" s="68">
        <v>42585</v>
      </c>
      <c r="M101" s="68"/>
      <c r="N101" s="22"/>
      <c r="O101" s="26"/>
      <c r="P101" s="35"/>
      <c r="Q101" s="35"/>
      <c r="R101" s="20"/>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35"/>
      <c r="AS101" s="35"/>
      <c r="AT101" s="35"/>
      <c r="AU101" s="35"/>
      <c r="AV101" s="35"/>
      <c r="AW101" s="35"/>
      <c r="AX101" s="35"/>
      <c r="AY101" s="35"/>
      <c r="AZ101" s="35"/>
      <c r="BA101" s="35"/>
      <c r="BB101" s="35"/>
      <c r="BC101" s="35"/>
      <c r="BD101" s="35"/>
      <c r="BE101" s="35"/>
      <c r="BF101" s="35"/>
      <c r="BG101" s="35"/>
      <c r="BH101" s="35"/>
      <c r="BI101" s="35"/>
      <c r="BJ101" s="35"/>
      <c r="BK101" s="35"/>
      <c r="BL101" s="35"/>
      <c r="BM101" s="35"/>
      <c r="BN101" s="35"/>
      <c r="BO101" s="35"/>
      <c r="BP101" s="35"/>
      <c r="BQ101" s="35"/>
      <c r="BR101" s="35"/>
      <c r="BS101" s="35"/>
      <c r="BT101" s="35"/>
      <c r="BU101" s="35"/>
      <c r="BV101" s="35"/>
      <c r="BW101" s="35"/>
      <c r="BX101" s="35"/>
      <c r="BY101" s="35"/>
      <c r="BZ101" s="35"/>
      <c r="CA101" s="35"/>
      <c r="CB101" s="35"/>
      <c r="CC101" s="35"/>
      <c r="CD101" s="35"/>
      <c r="CE101" s="35"/>
      <c r="CF101" s="35"/>
      <c r="CG101" s="35"/>
      <c r="CH101" s="35"/>
      <c r="CI101" s="35"/>
      <c r="CJ101" s="35"/>
      <c r="CK101" s="35"/>
      <c r="CL101" s="35"/>
      <c r="CM101" s="35"/>
      <c r="CN101" s="35"/>
      <c r="CO101" s="35"/>
      <c r="CP101" s="35"/>
      <c r="CQ101" s="35"/>
      <c r="CR101" s="35"/>
      <c r="CS101" s="35"/>
      <c r="CT101" s="35"/>
      <c r="CU101" s="35"/>
      <c r="CV101" s="35"/>
      <c r="CW101" s="35"/>
      <c r="CX101" s="35"/>
      <c r="CY101" s="35"/>
      <c r="CZ101" s="35"/>
      <c r="DA101" s="35"/>
      <c r="DB101" s="35"/>
      <c r="DC101" s="35"/>
      <c r="DD101" s="35"/>
      <c r="DE101" s="35"/>
      <c r="DF101" s="35"/>
      <c r="DG101" s="35"/>
      <c r="DH101" s="35"/>
      <c r="DI101" s="35"/>
      <c r="DJ101" s="35"/>
      <c r="DK101" s="35"/>
      <c r="DL101" s="35"/>
      <c r="DM101" s="35"/>
      <c r="DN101" s="35"/>
      <c r="DO101" s="35"/>
      <c r="DP101" s="35"/>
      <c r="DQ101" s="35"/>
      <c r="DR101" s="35"/>
      <c r="DS101" s="35"/>
      <c r="DT101" s="35"/>
      <c r="DU101" s="35"/>
      <c r="DV101" s="35"/>
      <c r="DW101" s="35"/>
      <c r="DX101" s="35"/>
      <c r="DY101" s="35"/>
      <c r="DZ101" s="35"/>
      <c r="EA101" s="35"/>
      <c r="EB101" s="35"/>
      <c r="EC101" s="35"/>
      <c r="ED101" s="35"/>
      <c r="EE101" s="35"/>
      <c r="EF101" s="35"/>
      <c r="EG101" s="35"/>
      <c r="EH101" s="35"/>
      <c r="EI101" s="35"/>
      <c r="EJ101" s="35"/>
      <c r="EK101" s="35"/>
      <c r="EL101" s="35"/>
      <c r="EM101" s="35"/>
      <c r="EN101" s="35"/>
      <c r="EO101" s="35"/>
      <c r="EP101" s="35"/>
      <c r="EQ101" s="35"/>
      <c r="ER101" s="35"/>
      <c r="ES101" s="35"/>
      <c r="ET101" s="35"/>
      <c r="EU101" s="35"/>
      <c r="EV101" s="35"/>
      <c r="EW101" s="35"/>
      <c r="EX101" s="35"/>
      <c r="EY101" s="35"/>
      <c r="EZ101" s="35"/>
      <c r="FA101" s="35"/>
      <c r="FB101" s="35"/>
      <c r="FC101" s="35"/>
      <c r="FD101" s="35"/>
      <c r="FE101" s="35"/>
      <c r="FF101" s="35"/>
      <c r="FG101" s="35"/>
      <c r="FH101" s="35"/>
      <c r="FI101" s="35"/>
      <c r="FJ101" s="35"/>
      <c r="FK101" s="35"/>
      <c r="FL101" s="35"/>
      <c r="FM101" s="35"/>
      <c r="FN101" s="35"/>
      <c r="FO101" s="35"/>
      <c r="FP101" s="35"/>
      <c r="FQ101" s="35"/>
      <c r="FR101" s="35"/>
      <c r="FS101" s="35"/>
      <c r="FT101" s="35"/>
      <c r="FU101" s="35"/>
      <c r="FV101" s="35"/>
      <c r="FW101" s="35"/>
      <c r="FX101" s="35"/>
      <c r="FY101" s="35"/>
      <c r="FZ101" s="35"/>
      <c r="GA101" s="35"/>
      <c r="GB101" s="35"/>
      <c r="GC101" s="35"/>
      <c r="GD101" s="35"/>
      <c r="GE101" s="35"/>
      <c r="GF101" s="35"/>
      <c r="GG101" s="35"/>
      <c r="GH101" s="35"/>
      <c r="GI101" s="35"/>
      <c r="GJ101" s="35"/>
      <c r="GK101" s="35"/>
      <c r="GL101" s="35"/>
      <c r="GM101" s="35"/>
      <c r="GN101" s="35"/>
      <c r="GO101" s="35"/>
      <c r="GP101" s="35"/>
      <c r="GQ101" s="35"/>
      <c r="GR101" s="35"/>
      <c r="GS101" s="35"/>
      <c r="GT101" s="35"/>
      <c r="GU101" s="35"/>
      <c r="GV101" s="35"/>
      <c r="GW101" s="35"/>
      <c r="GX101" s="35"/>
      <c r="GY101" s="35"/>
      <c r="GZ101" s="35"/>
      <c r="HA101" s="35"/>
      <c r="HB101" s="35"/>
      <c r="HC101" s="35"/>
      <c r="HD101" s="35"/>
      <c r="HE101" s="35"/>
      <c r="HF101" s="35"/>
      <c r="HG101" s="35"/>
      <c r="HH101" s="35"/>
      <c r="HI101" s="35"/>
      <c r="HJ101" s="35"/>
      <c r="HK101" s="35"/>
      <c r="HL101" s="35"/>
      <c r="HM101" s="35"/>
      <c r="HN101" s="35"/>
      <c r="HO101" s="35"/>
      <c r="HP101" s="35"/>
      <c r="HQ101" s="35"/>
      <c r="HR101" s="35"/>
      <c r="HS101" s="35"/>
      <c r="HT101" s="35"/>
      <c r="HU101" s="35"/>
      <c r="HV101" s="35"/>
      <c r="HW101" s="35"/>
      <c r="HX101" s="35"/>
      <c r="HY101" s="35"/>
      <c r="HZ101" s="35"/>
      <c r="IA101" s="35"/>
      <c r="IB101" s="35"/>
      <c r="IC101" s="35"/>
      <c r="ID101" s="35"/>
      <c r="IE101" s="35"/>
      <c r="IF101" s="35"/>
      <c r="IG101" s="35"/>
      <c r="IH101" s="35"/>
      <c r="II101" s="35"/>
      <c r="IJ101" s="35"/>
      <c r="IK101" s="35"/>
      <c r="IL101" s="35"/>
      <c r="IM101" s="35"/>
      <c r="IN101" s="35"/>
      <c r="IO101" s="35"/>
      <c r="IP101" s="35"/>
      <c r="IQ101" s="35"/>
      <c r="IR101" s="35"/>
      <c r="IS101" s="35"/>
      <c r="IT101" s="35"/>
      <c r="IU101" s="35"/>
      <c r="IV101" s="35"/>
      <c r="IW101" s="35"/>
      <c r="IX101" s="35"/>
      <c r="IY101" s="35"/>
      <c r="IZ101" s="35"/>
      <c r="JA101" s="35"/>
      <c r="JB101" s="35"/>
      <c r="JC101" s="35"/>
      <c r="JD101" s="35"/>
      <c r="JE101" s="35"/>
      <c r="JF101" s="35"/>
      <c r="JG101" s="35"/>
      <c r="JH101" s="35"/>
      <c r="JI101" s="35"/>
      <c r="JJ101" s="35"/>
      <c r="JK101" s="35"/>
      <c r="JL101" s="35"/>
      <c r="JM101" s="35"/>
      <c r="JN101" s="35"/>
      <c r="JO101" s="35"/>
      <c r="JP101" s="35"/>
      <c r="JQ101" s="35"/>
      <c r="JR101" s="35"/>
      <c r="JS101" s="35"/>
      <c r="JT101" s="35"/>
      <c r="JU101" s="35"/>
      <c r="JV101" s="35"/>
      <c r="JW101" s="35"/>
      <c r="JX101" s="35"/>
      <c r="JY101" s="35"/>
      <c r="JZ101" s="35"/>
      <c r="KA101" s="35"/>
      <c r="KB101" s="35"/>
      <c r="KC101" s="35"/>
      <c r="KD101" s="35"/>
      <c r="KE101" s="35"/>
      <c r="KF101" s="35"/>
      <c r="KG101" s="35"/>
      <c r="KH101" s="35"/>
      <c r="KI101" s="35"/>
      <c r="KJ101" s="35"/>
      <c r="KK101" s="35"/>
      <c r="KL101" s="35"/>
      <c r="KM101" s="35"/>
      <c r="KN101" s="35"/>
      <c r="KO101" s="35"/>
      <c r="KP101" s="35"/>
      <c r="KQ101" s="35"/>
      <c r="KR101" s="35"/>
      <c r="KS101" s="35"/>
      <c r="KT101" s="35"/>
      <c r="KU101" s="35"/>
      <c r="KV101" s="35"/>
      <c r="KW101" s="35"/>
      <c r="KX101" s="35"/>
      <c r="KY101" s="35"/>
      <c r="KZ101" s="35"/>
      <c r="LA101" s="35"/>
      <c r="LB101" s="35"/>
      <c r="LC101" s="35"/>
      <c r="LD101" s="35"/>
      <c r="LE101" s="35"/>
      <c r="LF101" s="35"/>
      <c r="LG101" s="35"/>
      <c r="LH101" s="35"/>
      <c r="LI101" s="35"/>
      <c r="LJ101" s="35"/>
      <c r="LK101" s="35"/>
      <c r="LL101" s="35"/>
      <c r="LM101" s="35"/>
      <c r="LN101" s="35"/>
      <c r="LO101" s="35"/>
      <c r="LP101" s="35"/>
      <c r="LQ101" s="35"/>
      <c r="LR101" s="35"/>
      <c r="LS101" s="35"/>
      <c r="LT101" s="35"/>
      <c r="LU101" s="35"/>
      <c r="LV101" s="35"/>
      <c r="LW101" s="35"/>
      <c r="LX101" s="35"/>
      <c r="LY101" s="35"/>
      <c r="LZ101" s="35"/>
      <c r="MA101" s="35"/>
      <c r="MB101" s="35"/>
      <c r="MC101" s="35"/>
      <c r="MD101" s="35"/>
      <c r="ME101" s="35"/>
      <c r="MF101" s="35"/>
      <c r="MG101" s="35"/>
    </row>
    <row r="102" spans="1:345" s="67" customFormat="1" ht="36" customHeight="1" x14ac:dyDescent="0.25">
      <c r="B102" s="28">
        <v>4153</v>
      </c>
      <c r="C102" s="24" t="s">
        <v>19</v>
      </c>
      <c r="D102" s="19" t="s">
        <v>4554</v>
      </c>
      <c r="E102" s="18">
        <v>44083</v>
      </c>
      <c r="F102" s="27">
        <f t="shared" ca="1" si="2"/>
        <v>390</v>
      </c>
      <c r="G102" s="69"/>
      <c r="H102" s="68"/>
      <c r="I102" s="25"/>
      <c r="J102" s="25"/>
      <c r="K102" s="68"/>
      <c r="L102" s="68"/>
      <c r="M102" s="68" t="s">
        <v>4443</v>
      </c>
      <c r="N102" s="22" t="s">
        <v>4566</v>
      </c>
      <c r="O102" s="26"/>
      <c r="P102" s="35"/>
      <c r="Q102" s="35"/>
      <c r="R102" s="20"/>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35"/>
      <c r="AS102" s="35"/>
      <c r="AT102" s="35"/>
      <c r="AU102" s="35"/>
      <c r="AV102" s="35"/>
      <c r="AW102" s="35"/>
      <c r="AX102" s="35"/>
      <c r="AY102" s="35"/>
      <c r="AZ102" s="35"/>
      <c r="BA102" s="35"/>
      <c r="BB102" s="35"/>
      <c r="BC102" s="35"/>
      <c r="BD102" s="35"/>
      <c r="BE102" s="35"/>
      <c r="BF102" s="35"/>
      <c r="BG102" s="35"/>
      <c r="BH102" s="35"/>
      <c r="BI102" s="35"/>
      <c r="BJ102" s="35"/>
      <c r="BK102" s="35"/>
      <c r="BL102" s="35"/>
      <c r="BM102" s="35"/>
      <c r="BN102" s="35"/>
      <c r="BO102" s="35"/>
      <c r="BP102" s="35"/>
      <c r="BQ102" s="35"/>
      <c r="BR102" s="35"/>
      <c r="BS102" s="35"/>
      <c r="BT102" s="35"/>
      <c r="BU102" s="35"/>
      <c r="BV102" s="35"/>
      <c r="BW102" s="35"/>
      <c r="BX102" s="35"/>
      <c r="BY102" s="35"/>
      <c r="BZ102" s="35"/>
      <c r="CA102" s="35"/>
      <c r="CB102" s="35"/>
      <c r="CC102" s="35"/>
      <c r="CD102" s="35"/>
      <c r="CE102" s="35"/>
      <c r="CF102" s="35"/>
      <c r="CG102" s="35"/>
      <c r="CH102" s="35"/>
      <c r="CI102" s="35"/>
      <c r="CJ102" s="35"/>
      <c r="CK102" s="35"/>
      <c r="CL102" s="35"/>
      <c r="CM102" s="35"/>
      <c r="CN102" s="35"/>
      <c r="CO102" s="35"/>
      <c r="CP102" s="35"/>
      <c r="CQ102" s="35"/>
      <c r="CR102" s="35"/>
      <c r="CS102" s="35"/>
      <c r="CT102" s="35"/>
      <c r="CU102" s="35"/>
      <c r="CV102" s="35"/>
      <c r="CW102" s="35"/>
      <c r="CX102" s="35"/>
      <c r="CY102" s="35"/>
      <c r="CZ102" s="35"/>
      <c r="DA102" s="35"/>
      <c r="DB102" s="35"/>
      <c r="DC102" s="35"/>
      <c r="DD102" s="35"/>
      <c r="DE102" s="35"/>
      <c r="DF102" s="35"/>
      <c r="DG102" s="35"/>
      <c r="DH102" s="35"/>
      <c r="DI102" s="35"/>
      <c r="DJ102" s="35"/>
      <c r="DK102" s="35"/>
      <c r="DL102" s="35"/>
      <c r="DM102" s="35"/>
      <c r="DN102" s="35"/>
      <c r="DO102" s="35"/>
      <c r="DP102" s="35"/>
      <c r="DQ102" s="35"/>
      <c r="DR102" s="35"/>
      <c r="DS102" s="35"/>
      <c r="DT102" s="35"/>
      <c r="DU102" s="35"/>
      <c r="DV102" s="35"/>
      <c r="DW102" s="35"/>
      <c r="DX102" s="35"/>
      <c r="DY102" s="35"/>
      <c r="DZ102" s="35"/>
      <c r="EA102" s="35"/>
      <c r="EB102" s="35"/>
      <c r="EC102" s="35"/>
      <c r="ED102" s="35"/>
      <c r="EE102" s="35"/>
      <c r="EF102" s="35"/>
      <c r="EG102" s="35"/>
      <c r="EH102" s="35"/>
      <c r="EI102" s="35"/>
      <c r="EJ102" s="35"/>
      <c r="EK102" s="35"/>
      <c r="EL102" s="35"/>
      <c r="EM102" s="35"/>
      <c r="EN102" s="35"/>
      <c r="EO102" s="35"/>
      <c r="EP102" s="35"/>
      <c r="EQ102" s="35"/>
      <c r="ER102" s="35"/>
      <c r="ES102" s="35"/>
      <c r="ET102" s="35"/>
      <c r="EU102" s="35"/>
      <c r="EV102" s="35"/>
      <c r="EW102" s="35"/>
      <c r="EX102" s="35"/>
      <c r="EY102" s="35"/>
      <c r="EZ102" s="35"/>
      <c r="FA102" s="35"/>
      <c r="FB102" s="35"/>
      <c r="FC102" s="35"/>
      <c r="FD102" s="35"/>
      <c r="FE102" s="35"/>
      <c r="FF102" s="35"/>
      <c r="FG102" s="35"/>
      <c r="FH102" s="35"/>
      <c r="FI102" s="35"/>
      <c r="FJ102" s="35"/>
      <c r="FK102" s="35"/>
      <c r="FL102" s="35"/>
      <c r="FM102" s="35"/>
      <c r="FN102" s="35"/>
      <c r="FO102" s="35"/>
      <c r="FP102" s="35"/>
      <c r="FQ102" s="35"/>
      <c r="FR102" s="35"/>
      <c r="FS102" s="35"/>
      <c r="FT102" s="35"/>
      <c r="FU102" s="35"/>
      <c r="FV102" s="35"/>
      <c r="FW102" s="35"/>
      <c r="FX102" s="35"/>
      <c r="FY102" s="35"/>
      <c r="FZ102" s="35"/>
      <c r="GA102" s="35"/>
      <c r="GB102" s="35"/>
      <c r="GC102" s="35"/>
      <c r="GD102" s="35"/>
      <c r="GE102" s="35"/>
      <c r="GF102" s="35"/>
      <c r="GG102" s="35"/>
      <c r="GH102" s="35"/>
      <c r="GI102" s="35"/>
      <c r="GJ102" s="35"/>
      <c r="GK102" s="35"/>
      <c r="GL102" s="35"/>
      <c r="GM102" s="35"/>
      <c r="GN102" s="35"/>
      <c r="GO102" s="35"/>
      <c r="GP102" s="35"/>
      <c r="GQ102" s="35"/>
      <c r="GR102" s="35"/>
      <c r="GS102" s="35"/>
      <c r="GT102" s="35"/>
      <c r="GU102" s="35"/>
      <c r="GV102" s="35"/>
      <c r="GW102" s="35"/>
      <c r="GX102" s="35"/>
      <c r="GY102" s="35"/>
      <c r="GZ102" s="35"/>
      <c r="HA102" s="35"/>
      <c r="HB102" s="35"/>
      <c r="HC102" s="35"/>
      <c r="HD102" s="35"/>
      <c r="HE102" s="35"/>
      <c r="HF102" s="35"/>
      <c r="HG102" s="35"/>
      <c r="HH102" s="35"/>
      <c r="HI102" s="35"/>
      <c r="HJ102" s="35"/>
      <c r="HK102" s="35"/>
      <c r="HL102" s="35"/>
      <c r="HM102" s="35"/>
      <c r="HN102" s="35"/>
      <c r="HO102" s="35"/>
      <c r="HP102" s="35"/>
      <c r="HQ102" s="35"/>
      <c r="HR102" s="35"/>
      <c r="HS102" s="35"/>
      <c r="HT102" s="35"/>
      <c r="HU102" s="35"/>
      <c r="HV102" s="35"/>
      <c r="HW102" s="35"/>
      <c r="HX102" s="35"/>
      <c r="HY102" s="35"/>
      <c r="HZ102" s="35"/>
      <c r="IA102" s="35"/>
      <c r="IB102" s="35"/>
      <c r="IC102" s="35"/>
      <c r="ID102" s="35"/>
      <c r="IE102" s="35"/>
      <c r="IF102" s="35"/>
      <c r="IG102" s="35"/>
      <c r="IH102" s="35"/>
      <c r="II102" s="35"/>
      <c r="IJ102" s="35"/>
      <c r="IK102" s="35"/>
      <c r="IL102" s="35"/>
      <c r="IM102" s="35"/>
      <c r="IN102" s="35"/>
      <c r="IO102" s="35"/>
      <c r="IP102" s="35"/>
      <c r="IQ102" s="35"/>
      <c r="IR102" s="35"/>
      <c r="IS102" s="35"/>
      <c r="IT102" s="35"/>
      <c r="IU102" s="35"/>
      <c r="IV102" s="35"/>
      <c r="IW102" s="35"/>
      <c r="IX102" s="35"/>
      <c r="IY102" s="35"/>
      <c r="IZ102" s="35"/>
      <c r="JA102" s="35"/>
      <c r="JB102" s="35"/>
      <c r="JC102" s="35"/>
      <c r="JD102" s="35"/>
      <c r="JE102" s="35"/>
      <c r="JF102" s="35"/>
      <c r="JG102" s="35"/>
      <c r="JH102" s="35"/>
      <c r="JI102" s="35"/>
      <c r="JJ102" s="35"/>
      <c r="JK102" s="35"/>
      <c r="JL102" s="35"/>
      <c r="JM102" s="35"/>
      <c r="JN102" s="35"/>
      <c r="JO102" s="35"/>
      <c r="JP102" s="35"/>
      <c r="JQ102" s="35"/>
      <c r="JR102" s="35"/>
      <c r="JS102" s="35"/>
      <c r="JT102" s="35"/>
      <c r="JU102" s="35"/>
      <c r="JV102" s="35"/>
      <c r="JW102" s="35"/>
      <c r="JX102" s="35"/>
      <c r="JY102" s="35"/>
      <c r="JZ102" s="35"/>
      <c r="KA102" s="35"/>
      <c r="KB102" s="35"/>
      <c r="KC102" s="35"/>
      <c r="KD102" s="35"/>
      <c r="KE102" s="35"/>
      <c r="KF102" s="35"/>
      <c r="KG102" s="35"/>
      <c r="KH102" s="35"/>
      <c r="KI102" s="35"/>
      <c r="KJ102" s="35"/>
      <c r="KK102" s="35"/>
      <c r="KL102" s="35"/>
      <c r="KM102" s="35"/>
      <c r="KN102" s="35"/>
      <c r="KO102" s="35"/>
      <c r="KP102" s="35"/>
      <c r="KQ102" s="35"/>
      <c r="KR102" s="35"/>
      <c r="KS102" s="35"/>
      <c r="KT102" s="35"/>
      <c r="KU102" s="35"/>
      <c r="KV102" s="35"/>
      <c r="KW102" s="35"/>
      <c r="KX102" s="35"/>
      <c r="KY102" s="35"/>
      <c r="KZ102" s="35"/>
      <c r="LA102" s="35"/>
      <c r="LB102" s="35"/>
      <c r="LC102" s="35"/>
      <c r="LD102" s="35"/>
      <c r="LE102" s="35"/>
      <c r="LF102" s="35"/>
      <c r="LG102" s="35"/>
      <c r="LH102" s="35"/>
      <c r="LI102" s="35"/>
      <c r="LJ102" s="35"/>
      <c r="LK102" s="35"/>
      <c r="LL102" s="35"/>
      <c r="LM102" s="35"/>
      <c r="LN102" s="35"/>
      <c r="LO102" s="35"/>
      <c r="LP102" s="35"/>
      <c r="LQ102" s="35"/>
      <c r="LR102" s="35"/>
      <c r="LS102" s="35"/>
      <c r="LT102" s="35"/>
      <c r="LU102" s="35"/>
      <c r="LV102" s="35"/>
      <c r="LW102" s="35"/>
      <c r="LX102" s="35"/>
      <c r="LY102" s="35"/>
      <c r="LZ102" s="35"/>
      <c r="MA102" s="35"/>
      <c r="MB102" s="35"/>
      <c r="MC102" s="35"/>
      <c r="MD102" s="35"/>
      <c r="ME102" s="35"/>
      <c r="MF102" s="35"/>
      <c r="MG102" s="35"/>
    </row>
    <row r="103" spans="1:345" s="67" customFormat="1" ht="36" customHeight="1" x14ac:dyDescent="0.25">
      <c r="B103" s="28">
        <v>4153</v>
      </c>
      <c r="C103" s="24" t="s">
        <v>15</v>
      </c>
      <c r="D103" s="19" t="s">
        <v>4555</v>
      </c>
      <c r="E103" s="18">
        <v>44083</v>
      </c>
      <c r="F103" s="27">
        <f t="shared" ca="1" si="2"/>
        <v>390</v>
      </c>
      <c r="G103" s="69"/>
      <c r="H103" s="68"/>
      <c r="I103" s="25"/>
      <c r="J103" s="25"/>
      <c r="K103" s="68"/>
      <c r="L103" s="68"/>
      <c r="M103" s="68" t="s">
        <v>4443</v>
      </c>
      <c r="N103" s="22" t="s">
        <v>4566</v>
      </c>
      <c r="O103" s="26"/>
      <c r="P103" s="35"/>
      <c r="Q103" s="35"/>
      <c r="R103" s="20"/>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35"/>
      <c r="AS103" s="35"/>
      <c r="AT103" s="35"/>
      <c r="AU103" s="35"/>
      <c r="AV103" s="35"/>
      <c r="AW103" s="35"/>
      <c r="AX103" s="35"/>
      <c r="AY103" s="35"/>
      <c r="AZ103" s="35"/>
      <c r="BA103" s="35"/>
      <c r="BB103" s="35"/>
      <c r="BC103" s="35"/>
      <c r="BD103" s="35"/>
      <c r="BE103" s="35"/>
      <c r="BF103" s="35"/>
      <c r="BG103" s="35"/>
      <c r="BH103" s="35"/>
      <c r="BI103" s="35"/>
      <c r="BJ103" s="35"/>
      <c r="BK103" s="35"/>
      <c r="BL103" s="35"/>
      <c r="BM103" s="35"/>
      <c r="BN103" s="35"/>
      <c r="BO103" s="35"/>
      <c r="BP103" s="35"/>
      <c r="BQ103" s="35"/>
      <c r="BR103" s="35"/>
      <c r="BS103" s="35"/>
      <c r="BT103" s="35"/>
      <c r="BU103" s="35"/>
      <c r="BV103" s="35"/>
      <c r="BW103" s="35"/>
      <c r="BX103" s="35"/>
      <c r="BY103" s="35"/>
      <c r="BZ103" s="35"/>
      <c r="CA103" s="35"/>
      <c r="CB103" s="35"/>
      <c r="CC103" s="35"/>
      <c r="CD103" s="35"/>
      <c r="CE103" s="35"/>
      <c r="CF103" s="35"/>
      <c r="CG103" s="35"/>
      <c r="CH103" s="35"/>
      <c r="CI103" s="35"/>
      <c r="CJ103" s="35"/>
      <c r="CK103" s="35"/>
      <c r="CL103" s="35"/>
      <c r="CM103" s="35"/>
      <c r="CN103" s="35"/>
      <c r="CO103" s="35"/>
      <c r="CP103" s="35"/>
      <c r="CQ103" s="35"/>
      <c r="CR103" s="35"/>
      <c r="CS103" s="35"/>
      <c r="CT103" s="35"/>
      <c r="CU103" s="35"/>
      <c r="CV103" s="35"/>
      <c r="CW103" s="35"/>
      <c r="CX103" s="35"/>
      <c r="CY103" s="35"/>
      <c r="CZ103" s="35"/>
      <c r="DA103" s="35"/>
      <c r="DB103" s="35"/>
      <c r="DC103" s="35"/>
      <c r="DD103" s="35"/>
      <c r="DE103" s="35"/>
      <c r="DF103" s="35"/>
      <c r="DG103" s="35"/>
      <c r="DH103" s="35"/>
      <c r="DI103" s="35"/>
      <c r="DJ103" s="35"/>
      <c r="DK103" s="35"/>
      <c r="DL103" s="35"/>
      <c r="DM103" s="35"/>
      <c r="DN103" s="35"/>
      <c r="DO103" s="35"/>
      <c r="DP103" s="35"/>
      <c r="DQ103" s="35"/>
      <c r="DR103" s="35"/>
      <c r="DS103" s="35"/>
      <c r="DT103" s="35"/>
      <c r="DU103" s="35"/>
      <c r="DV103" s="35"/>
      <c r="DW103" s="35"/>
      <c r="DX103" s="35"/>
      <c r="DY103" s="35"/>
      <c r="DZ103" s="35"/>
      <c r="EA103" s="35"/>
      <c r="EB103" s="35"/>
      <c r="EC103" s="35"/>
      <c r="ED103" s="35"/>
      <c r="EE103" s="35"/>
      <c r="EF103" s="35"/>
      <c r="EG103" s="35"/>
      <c r="EH103" s="35"/>
      <c r="EI103" s="35"/>
      <c r="EJ103" s="35"/>
      <c r="EK103" s="35"/>
      <c r="EL103" s="35"/>
      <c r="EM103" s="35"/>
      <c r="EN103" s="35"/>
      <c r="EO103" s="35"/>
      <c r="EP103" s="35"/>
      <c r="EQ103" s="35"/>
      <c r="ER103" s="35"/>
      <c r="ES103" s="35"/>
      <c r="ET103" s="35"/>
      <c r="EU103" s="35"/>
      <c r="EV103" s="35"/>
      <c r="EW103" s="35"/>
      <c r="EX103" s="35"/>
      <c r="EY103" s="35"/>
      <c r="EZ103" s="35"/>
      <c r="FA103" s="35"/>
      <c r="FB103" s="35"/>
      <c r="FC103" s="35"/>
      <c r="FD103" s="35"/>
      <c r="FE103" s="35"/>
      <c r="FF103" s="35"/>
      <c r="FG103" s="35"/>
      <c r="FH103" s="35"/>
      <c r="FI103" s="35"/>
      <c r="FJ103" s="35"/>
      <c r="FK103" s="35"/>
      <c r="FL103" s="35"/>
      <c r="FM103" s="35"/>
      <c r="FN103" s="35"/>
      <c r="FO103" s="35"/>
      <c r="FP103" s="35"/>
      <c r="FQ103" s="35"/>
      <c r="FR103" s="35"/>
      <c r="FS103" s="35"/>
      <c r="FT103" s="35"/>
      <c r="FU103" s="35"/>
      <c r="FV103" s="35"/>
      <c r="FW103" s="35"/>
      <c r="FX103" s="35"/>
      <c r="FY103" s="35"/>
      <c r="FZ103" s="35"/>
      <c r="GA103" s="35"/>
      <c r="GB103" s="35"/>
      <c r="GC103" s="35"/>
      <c r="GD103" s="35"/>
      <c r="GE103" s="35"/>
      <c r="GF103" s="35"/>
      <c r="GG103" s="35"/>
      <c r="GH103" s="35"/>
      <c r="GI103" s="35"/>
      <c r="GJ103" s="35"/>
      <c r="GK103" s="35"/>
      <c r="GL103" s="35"/>
      <c r="GM103" s="35"/>
      <c r="GN103" s="35"/>
      <c r="GO103" s="35"/>
      <c r="GP103" s="35"/>
      <c r="GQ103" s="35"/>
      <c r="GR103" s="35"/>
      <c r="GS103" s="35"/>
      <c r="GT103" s="35"/>
      <c r="GU103" s="35"/>
      <c r="GV103" s="35"/>
      <c r="GW103" s="35"/>
      <c r="GX103" s="35"/>
      <c r="GY103" s="35"/>
      <c r="GZ103" s="35"/>
      <c r="HA103" s="35"/>
      <c r="HB103" s="35"/>
      <c r="HC103" s="35"/>
      <c r="HD103" s="35"/>
      <c r="HE103" s="35"/>
      <c r="HF103" s="35"/>
      <c r="HG103" s="35"/>
      <c r="HH103" s="35"/>
      <c r="HI103" s="35"/>
      <c r="HJ103" s="35"/>
      <c r="HK103" s="35"/>
      <c r="HL103" s="35"/>
      <c r="HM103" s="35"/>
      <c r="HN103" s="35"/>
      <c r="HO103" s="35"/>
      <c r="HP103" s="35"/>
      <c r="HQ103" s="35"/>
      <c r="HR103" s="35"/>
      <c r="HS103" s="35"/>
      <c r="HT103" s="35"/>
      <c r="HU103" s="35"/>
      <c r="HV103" s="35"/>
      <c r="HW103" s="35"/>
      <c r="HX103" s="35"/>
      <c r="HY103" s="35"/>
      <c r="HZ103" s="35"/>
      <c r="IA103" s="35"/>
      <c r="IB103" s="35"/>
      <c r="IC103" s="35"/>
      <c r="ID103" s="35"/>
      <c r="IE103" s="35"/>
      <c r="IF103" s="35"/>
      <c r="IG103" s="35"/>
      <c r="IH103" s="35"/>
      <c r="II103" s="35"/>
      <c r="IJ103" s="35"/>
      <c r="IK103" s="35"/>
      <c r="IL103" s="35"/>
      <c r="IM103" s="35"/>
      <c r="IN103" s="35"/>
      <c r="IO103" s="35"/>
      <c r="IP103" s="35"/>
      <c r="IQ103" s="35"/>
      <c r="IR103" s="35"/>
      <c r="IS103" s="35"/>
      <c r="IT103" s="35"/>
      <c r="IU103" s="35"/>
      <c r="IV103" s="35"/>
      <c r="IW103" s="35"/>
      <c r="IX103" s="35"/>
      <c r="IY103" s="35"/>
      <c r="IZ103" s="35"/>
      <c r="JA103" s="35"/>
      <c r="JB103" s="35"/>
      <c r="JC103" s="35"/>
      <c r="JD103" s="35"/>
      <c r="JE103" s="35"/>
      <c r="JF103" s="35"/>
      <c r="JG103" s="35"/>
      <c r="JH103" s="35"/>
      <c r="JI103" s="35"/>
      <c r="JJ103" s="35"/>
      <c r="JK103" s="35"/>
      <c r="JL103" s="35"/>
      <c r="JM103" s="35"/>
      <c r="JN103" s="35"/>
      <c r="JO103" s="35"/>
      <c r="JP103" s="35"/>
      <c r="JQ103" s="35"/>
      <c r="JR103" s="35"/>
      <c r="JS103" s="35"/>
      <c r="JT103" s="35"/>
      <c r="JU103" s="35"/>
      <c r="JV103" s="35"/>
      <c r="JW103" s="35"/>
      <c r="JX103" s="35"/>
      <c r="JY103" s="35"/>
      <c r="JZ103" s="35"/>
      <c r="KA103" s="35"/>
      <c r="KB103" s="35"/>
      <c r="KC103" s="35"/>
      <c r="KD103" s="35"/>
      <c r="KE103" s="35"/>
      <c r="KF103" s="35"/>
      <c r="KG103" s="35"/>
      <c r="KH103" s="35"/>
      <c r="KI103" s="35"/>
      <c r="KJ103" s="35"/>
      <c r="KK103" s="35"/>
      <c r="KL103" s="35"/>
      <c r="KM103" s="35"/>
      <c r="KN103" s="35"/>
      <c r="KO103" s="35"/>
      <c r="KP103" s="35"/>
      <c r="KQ103" s="35"/>
      <c r="KR103" s="35"/>
      <c r="KS103" s="35"/>
      <c r="KT103" s="35"/>
      <c r="KU103" s="35"/>
      <c r="KV103" s="35"/>
      <c r="KW103" s="35"/>
      <c r="KX103" s="35"/>
      <c r="KY103" s="35"/>
      <c r="KZ103" s="35"/>
      <c r="LA103" s="35"/>
      <c r="LB103" s="35"/>
      <c r="LC103" s="35"/>
      <c r="LD103" s="35"/>
      <c r="LE103" s="35"/>
      <c r="LF103" s="35"/>
      <c r="LG103" s="35"/>
      <c r="LH103" s="35"/>
      <c r="LI103" s="35"/>
      <c r="LJ103" s="35"/>
      <c r="LK103" s="35"/>
      <c r="LL103" s="35"/>
      <c r="LM103" s="35"/>
      <c r="LN103" s="35"/>
      <c r="LO103" s="35"/>
      <c r="LP103" s="35"/>
      <c r="LQ103" s="35"/>
      <c r="LR103" s="35"/>
      <c r="LS103" s="35"/>
      <c r="LT103" s="35"/>
      <c r="LU103" s="35"/>
      <c r="LV103" s="35"/>
      <c r="LW103" s="35"/>
      <c r="LX103" s="35"/>
      <c r="LY103" s="35"/>
      <c r="LZ103" s="35"/>
      <c r="MA103" s="35"/>
      <c r="MB103" s="35"/>
      <c r="MC103" s="35"/>
      <c r="MD103" s="35"/>
      <c r="ME103" s="35"/>
      <c r="MF103" s="35"/>
      <c r="MG103" s="35"/>
    </row>
    <row r="104" spans="1:345" s="67" customFormat="1" ht="36" customHeight="1" x14ac:dyDescent="0.25">
      <c r="B104" s="28">
        <v>4153</v>
      </c>
      <c r="C104" s="24" t="s">
        <v>21</v>
      </c>
      <c r="D104" s="19" t="s">
        <v>4556</v>
      </c>
      <c r="E104" s="18">
        <v>44085</v>
      </c>
      <c r="F104" s="27">
        <f t="shared" ca="1" si="2"/>
        <v>388</v>
      </c>
      <c r="G104" s="69"/>
      <c r="H104" s="68"/>
      <c r="I104" s="25"/>
      <c r="J104" s="25"/>
      <c r="K104" s="68"/>
      <c r="L104" s="68"/>
      <c r="M104" s="68" t="s">
        <v>4443</v>
      </c>
      <c r="N104" s="22" t="s">
        <v>4566</v>
      </c>
      <c r="O104" s="26"/>
      <c r="P104" s="35"/>
      <c r="Q104" s="35"/>
      <c r="R104" s="20"/>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35"/>
      <c r="AS104" s="35"/>
      <c r="AT104" s="35"/>
      <c r="AU104" s="35"/>
      <c r="AV104" s="35"/>
      <c r="AW104" s="35"/>
      <c r="AX104" s="35"/>
      <c r="AY104" s="35"/>
      <c r="AZ104" s="35"/>
      <c r="BA104" s="35"/>
      <c r="BB104" s="35"/>
      <c r="BC104" s="35"/>
      <c r="BD104" s="35"/>
      <c r="BE104" s="35"/>
      <c r="BF104" s="35"/>
      <c r="BG104" s="35"/>
      <c r="BH104" s="35"/>
      <c r="BI104" s="35"/>
      <c r="BJ104" s="35"/>
      <c r="BK104" s="35"/>
      <c r="BL104" s="35"/>
      <c r="BM104" s="35"/>
      <c r="BN104" s="35"/>
      <c r="BO104" s="35"/>
      <c r="BP104" s="35"/>
      <c r="BQ104" s="35"/>
      <c r="BR104" s="35"/>
      <c r="BS104" s="35"/>
      <c r="BT104" s="35"/>
      <c r="BU104" s="35"/>
      <c r="BV104" s="35"/>
      <c r="BW104" s="35"/>
      <c r="BX104" s="35"/>
      <c r="BY104" s="35"/>
      <c r="BZ104" s="35"/>
      <c r="CA104" s="35"/>
      <c r="CB104" s="35"/>
      <c r="CC104" s="35"/>
      <c r="CD104" s="35"/>
      <c r="CE104" s="35"/>
      <c r="CF104" s="35"/>
      <c r="CG104" s="35"/>
      <c r="CH104" s="35"/>
      <c r="CI104" s="35"/>
      <c r="CJ104" s="35"/>
      <c r="CK104" s="35"/>
      <c r="CL104" s="35"/>
      <c r="CM104" s="35"/>
      <c r="CN104" s="35"/>
      <c r="CO104" s="35"/>
      <c r="CP104" s="35"/>
      <c r="CQ104" s="35"/>
      <c r="CR104" s="35"/>
      <c r="CS104" s="35"/>
      <c r="CT104" s="35"/>
      <c r="CU104" s="35"/>
      <c r="CV104" s="35"/>
      <c r="CW104" s="35"/>
      <c r="CX104" s="35"/>
      <c r="CY104" s="35"/>
      <c r="CZ104" s="35"/>
      <c r="DA104" s="35"/>
      <c r="DB104" s="35"/>
      <c r="DC104" s="35"/>
      <c r="DD104" s="35"/>
      <c r="DE104" s="35"/>
      <c r="DF104" s="35"/>
      <c r="DG104" s="35"/>
      <c r="DH104" s="35"/>
      <c r="DI104" s="35"/>
      <c r="DJ104" s="35"/>
      <c r="DK104" s="35"/>
      <c r="DL104" s="35"/>
      <c r="DM104" s="35"/>
      <c r="DN104" s="35"/>
      <c r="DO104" s="35"/>
      <c r="DP104" s="35"/>
      <c r="DQ104" s="35"/>
      <c r="DR104" s="35"/>
      <c r="DS104" s="35"/>
      <c r="DT104" s="35"/>
      <c r="DU104" s="35"/>
      <c r="DV104" s="35"/>
      <c r="DW104" s="35"/>
      <c r="DX104" s="35"/>
      <c r="DY104" s="35"/>
      <c r="DZ104" s="35"/>
      <c r="EA104" s="35"/>
      <c r="EB104" s="35"/>
      <c r="EC104" s="35"/>
      <c r="ED104" s="35"/>
      <c r="EE104" s="35"/>
      <c r="EF104" s="35"/>
      <c r="EG104" s="35"/>
      <c r="EH104" s="35"/>
      <c r="EI104" s="35"/>
      <c r="EJ104" s="35"/>
      <c r="EK104" s="35"/>
      <c r="EL104" s="35"/>
      <c r="EM104" s="35"/>
      <c r="EN104" s="35"/>
      <c r="EO104" s="35"/>
      <c r="EP104" s="35"/>
      <c r="EQ104" s="35"/>
      <c r="ER104" s="35"/>
      <c r="ES104" s="35"/>
      <c r="ET104" s="35"/>
      <c r="EU104" s="35"/>
      <c r="EV104" s="35"/>
      <c r="EW104" s="35"/>
      <c r="EX104" s="35"/>
      <c r="EY104" s="35"/>
      <c r="EZ104" s="35"/>
      <c r="FA104" s="35"/>
      <c r="FB104" s="35"/>
      <c r="FC104" s="35"/>
      <c r="FD104" s="35"/>
      <c r="FE104" s="35"/>
      <c r="FF104" s="35"/>
      <c r="FG104" s="35"/>
      <c r="FH104" s="35"/>
      <c r="FI104" s="35"/>
      <c r="FJ104" s="35"/>
      <c r="FK104" s="35"/>
      <c r="FL104" s="35"/>
      <c r="FM104" s="35"/>
      <c r="FN104" s="35"/>
      <c r="FO104" s="35"/>
      <c r="FP104" s="35"/>
      <c r="FQ104" s="35"/>
      <c r="FR104" s="35"/>
      <c r="FS104" s="35"/>
      <c r="FT104" s="35"/>
      <c r="FU104" s="35"/>
      <c r="FV104" s="35"/>
      <c r="FW104" s="35"/>
      <c r="FX104" s="35"/>
      <c r="FY104" s="35"/>
      <c r="FZ104" s="35"/>
      <c r="GA104" s="35"/>
      <c r="GB104" s="35"/>
      <c r="GC104" s="35"/>
      <c r="GD104" s="35"/>
      <c r="GE104" s="35"/>
      <c r="GF104" s="35"/>
      <c r="GG104" s="35"/>
      <c r="GH104" s="35"/>
      <c r="GI104" s="35"/>
      <c r="GJ104" s="35"/>
      <c r="GK104" s="35"/>
      <c r="GL104" s="35"/>
      <c r="GM104" s="35"/>
      <c r="GN104" s="35"/>
      <c r="GO104" s="35"/>
      <c r="GP104" s="35"/>
      <c r="GQ104" s="35"/>
      <c r="GR104" s="35"/>
      <c r="GS104" s="35"/>
      <c r="GT104" s="35"/>
      <c r="GU104" s="35"/>
      <c r="GV104" s="35"/>
      <c r="GW104" s="35"/>
      <c r="GX104" s="35"/>
      <c r="GY104" s="35"/>
      <c r="GZ104" s="35"/>
      <c r="HA104" s="35"/>
      <c r="HB104" s="35"/>
      <c r="HC104" s="35"/>
      <c r="HD104" s="35"/>
      <c r="HE104" s="35"/>
      <c r="HF104" s="35"/>
      <c r="HG104" s="35"/>
      <c r="HH104" s="35"/>
      <c r="HI104" s="35"/>
      <c r="HJ104" s="35"/>
      <c r="HK104" s="35"/>
      <c r="HL104" s="35"/>
      <c r="HM104" s="35"/>
      <c r="HN104" s="35"/>
      <c r="HO104" s="35"/>
      <c r="HP104" s="35"/>
      <c r="HQ104" s="35"/>
      <c r="HR104" s="35"/>
      <c r="HS104" s="35"/>
      <c r="HT104" s="35"/>
      <c r="HU104" s="35"/>
      <c r="HV104" s="35"/>
      <c r="HW104" s="35"/>
      <c r="HX104" s="35"/>
      <c r="HY104" s="35"/>
      <c r="HZ104" s="35"/>
      <c r="IA104" s="35"/>
      <c r="IB104" s="35"/>
      <c r="IC104" s="35"/>
      <c r="ID104" s="35"/>
      <c r="IE104" s="35"/>
      <c r="IF104" s="35"/>
      <c r="IG104" s="35"/>
      <c r="IH104" s="35"/>
      <c r="II104" s="35"/>
      <c r="IJ104" s="35"/>
      <c r="IK104" s="35"/>
      <c r="IL104" s="35"/>
      <c r="IM104" s="35"/>
      <c r="IN104" s="35"/>
      <c r="IO104" s="35"/>
      <c r="IP104" s="35"/>
      <c r="IQ104" s="35"/>
      <c r="IR104" s="35"/>
      <c r="IS104" s="35"/>
      <c r="IT104" s="35"/>
      <c r="IU104" s="35"/>
      <c r="IV104" s="35"/>
      <c r="IW104" s="35"/>
      <c r="IX104" s="35"/>
      <c r="IY104" s="35"/>
      <c r="IZ104" s="35"/>
      <c r="JA104" s="35"/>
      <c r="JB104" s="35"/>
      <c r="JC104" s="35"/>
      <c r="JD104" s="35"/>
      <c r="JE104" s="35"/>
      <c r="JF104" s="35"/>
      <c r="JG104" s="35"/>
      <c r="JH104" s="35"/>
      <c r="JI104" s="35"/>
      <c r="JJ104" s="35"/>
      <c r="JK104" s="35"/>
      <c r="JL104" s="35"/>
      <c r="JM104" s="35"/>
      <c r="JN104" s="35"/>
      <c r="JO104" s="35"/>
      <c r="JP104" s="35"/>
      <c r="JQ104" s="35"/>
      <c r="JR104" s="35"/>
      <c r="JS104" s="35"/>
      <c r="JT104" s="35"/>
      <c r="JU104" s="35"/>
      <c r="JV104" s="35"/>
      <c r="JW104" s="35"/>
      <c r="JX104" s="35"/>
      <c r="JY104" s="35"/>
      <c r="JZ104" s="35"/>
      <c r="KA104" s="35"/>
      <c r="KB104" s="35"/>
      <c r="KC104" s="35"/>
      <c r="KD104" s="35"/>
      <c r="KE104" s="35"/>
      <c r="KF104" s="35"/>
      <c r="KG104" s="35"/>
      <c r="KH104" s="35"/>
      <c r="KI104" s="35"/>
      <c r="KJ104" s="35"/>
      <c r="KK104" s="35"/>
      <c r="KL104" s="35"/>
      <c r="KM104" s="35"/>
      <c r="KN104" s="35"/>
      <c r="KO104" s="35"/>
      <c r="KP104" s="35"/>
      <c r="KQ104" s="35"/>
      <c r="KR104" s="35"/>
      <c r="KS104" s="35"/>
      <c r="KT104" s="35"/>
      <c r="KU104" s="35"/>
      <c r="KV104" s="35"/>
      <c r="KW104" s="35"/>
      <c r="KX104" s="35"/>
      <c r="KY104" s="35"/>
      <c r="KZ104" s="35"/>
      <c r="LA104" s="35"/>
      <c r="LB104" s="35"/>
      <c r="LC104" s="35"/>
      <c r="LD104" s="35"/>
      <c r="LE104" s="35"/>
      <c r="LF104" s="35"/>
      <c r="LG104" s="35"/>
      <c r="LH104" s="35"/>
      <c r="LI104" s="35"/>
      <c r="LJ104" s="35"/>
      <c r="LK104" s="35"/>
      <c r="LL104" s="35"/>
      <c r="LM104" s="35"/>
      <c r="LN104" s="35"/>
      <c r="LO104" s="35"/>
      <c r="LP104" s="35"/>
      <c r="LQ104" s="35"/>
      <c r="LR104" s="35"/>
      <c r="LS104" s="35"/>
      <c r="LT104" s="35"/>
      <c r="LU104" s="35"/>
      <c r="LV104" s="35"/>
      <c r="LW104" s="35"/>
      <c r="LX104" s="35"/>
      <c r="LY104" s="35"/>
      <c r="LZ104" s="35"/>
      <c r="MA104" s="35"/>
      <c r="MB104" s="35"/>
      <c r="MC104" s="35"/>
      <c r="MD104" s="35"/>
      <c r="ME104" s="35"/>
      <c r="MF104" s="35"/>
      <c r="MG104" s="35"/>
    </row>
    <row r="105" spans="1:345" s="67" customFormat="1" ht="36" customHeight="1" x14ac:dyDescent="0.25">
      <c r="A105" s="110"/>
      <c r="B105" s="28">
        <v>4142</v>
      </c>
      <c r="C105" s="24" t="s">
        <v>31</v>
      </c>
      <c r="D105" s="19" t="s">
        <v>4558</v>
      </c>
      <c r="E105" s="18">
        <v>44085.800694444442</v>
      </c>
      <c r="F105" s="27">
        <f t="shared" ca="1" si="2"/>
        <v>387.19930555555766</v>
      </c>
      <c r="G105" s="69"/>
      <c r="H105" s="68"/>
      <c r="I105" s="62" t="s">
        <v>206</v>
      </c>
      <c r="J105" s="25"/>
      <c r="K105" s="68"/>
      <c r="L105" s="68"/>
      <c r="M105" s="68"/>
      <c r="N105" s="22"/>
      <c r="O105" s="26"/>
      <c r="P105" s="35"/>
      <c r="Q105" s="35"/>
      <c r="R105" s="20"/>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35"/>
      <c r="AS105" s="35"/>
      <c r="AT105" s="35"/>
      <c r="AU105" s="35"/>
      <c r="AV105" s="35"/>
      <c r="AW105" s="35"/>
      <c r="AX105" s="35"/>
      <c r="AY105" s="35"/>
      <c r="AZ105" s="35"/>
      <c r="BA105" s="35"/>
      <c r="BB105" s="35"/>
      <c r="BC105" s="35"/>
      <c r="BD105" s="35"/>
      <c r="BE105" s="35"/>
      <c r="BF105" s="35"/>
      <c r="BG105" s="35"/>
      <c r="BH105" s="35"/>
      <c r="BI105" s="35"/>
      <c r="BJ105" s="35"/>
      <c r="BK105" s="35"/>
      <c r="BL105" s="35"/>
      <c r="BM105" s="35"/>
      <c r="BN105" s="35"/>
      <c r="BO105" s="35"/>
      <c r="BP105" s="35"/>
      <c r="BQ105" s="35"/>
      <c r="BR105" s="35"/>
      <c r="BS105" s="35"/>
      <c r="BT105" s="35"/>
      <c r="BU105" s="35"/>
      <c r="BV105" s="35"/>
      <c r="BW105" s="35"/>
      <c r="BX105" s="35"/>
      <c r="BY105" s="35"/>
      <c r="BZ105" s="35"/>
      <c r="CA105" s="35"/>
      <c r="CB105" s="35"/>
      <c r="CC105" s="35"/>
      <c r="CD105" s="35"/>
      <c r="CE105" s="35"/>
      <c r="CF105" s="35"/>
      <c r="CG105" s="35"/>
      <c r="CH105" s="35"/>
      <c r="CI105" s="35"/>
      <c r="CJ105" s="35"/>
      <c r="CK105" s="35"/>
      <c r="CL105" s="35"/>
      <c r="CM105" s="35"/>
      <c r="CN105" s="35"/>
      <c r="CO105" s="35"/>
      <c r="CP105" s="35"/>
      <c r="CQ105" s="35"/>
      <c r="CR105" s="35"/>
      <c r="CS105" s="35"/>
      <c r="CT105" s="35"/>
      <c r="CU105" s="35"/>
      <c r="CV105" s="35"/>
      <c r="CW105" s="35"/>
      <c r="CX105" s="35"/>
      <c r="CY105" s="35"/>
      <c r="CZ105" s="35"/>
      <c r="DA105" s="35"/>
      <c r="DB105" s="35"/>
      <c r="DC105" s="35"/>
      <c r="DD105" s="35"/>
      <c r="DE105" s="35"/>
      <c r="DF105" s="35"/>
      <c r="DG105" s="35"/>
      <c r="DH105" s="35"/>
      <c r="DI105" s="35"/>
      <c r="DJ105" s="35"/>
      <c r="DK105" s="35"/>
      <c r="DL105" s="35"/>
      <c r="DM105" s="35"/>
      <c r="DN105" s="35"/>
      <c r="DO105" s="35"/>
      <c r="DP105" s="35"/>
      <c r="DQ105" s="35"/>
      <c r="DR105" s="35"/>
      <c r="DS105" s="35"/>
      <c r="DT105" s="35"/>
      <c r="DU105" s="35"/>
      <c r="DV105" s="35"/>
      <c r="DW105" s="35"/>
      <c r="DX105" s="35"/>
      <c r="DY105" s="35"/>
      <c r="DZ105" s="35"/>
      <c r="EA105" s="35"/>
      <c r="EB105" s="35"/>
      <c r="EC105" s="35"/>
      <c r="ED105" s="35"/>
      <c r="EE105" s="35"/>
      <c r="EF105" s="35"/>
      <c r="EG105" s="35"/>
      <c r="EH105" s="35"/>
      <c r="EI105" s="35"/>
      <c r="EJ105" s="35"/>
      <c r="EK105" s="35"/>
      <c r="EL105" s="35"/>
      <c r="EM105" s="35"/>
      <c r="EN105" s="35"/>
      <c r="EO105" s="35"/>
      <c r="EP105" s="35"/>
      <c r="EQ105" s="35"/>
      <c r="ER105" s="35"/>
      <c r="ES105" s="35"/>
      <c r="ET105" s="35"/>
      <c r="EU105" s="35"/>
      <c r="EV105" s="35"/>
      <c r="EW105" s="35"/>
      <c r="EX105" s="35"/>
      <c r="EY105" s="35"/>
      <c r="EZ105" s="35"/>
      <c r="FA105" s="35"/>
      <c r="FB105" s="35"/>
      <c r="FC105" s="35"/>
      <c r="FD105" s="35"/>
      <c r="FE105" s="35"/>
      <c r="FF105" s="35"/>
      <c r="FG105" s="35"/>
      <c r="FH105" s="35"/>
      <c r="FI105" s="35"/>
      <c r="FJ105" s="35"/>
      <c r="FK105" s="35"/>
      <c r="FL105" s="35"/>
      <c r="FM105" s="35"/>
      <c r="FN105" s="35"/>
      <c r="FO105" s="35"/>
      <c r="FP105" s="35"/>
      <c r="FQ105" s="35"/>
      <c r="FR105" s="35"/>
      <c r="FS105" s="35"/>
      <c r="FT105" s="35"/>
      <c r="FU105" s="35"/>
      <c r="FV105" s="35"/>
      <c r="FW105" s="35"/>
      <c r="FX105" s="35"/>
      <c r="FY105" s="35"/>
      <c r="FZ105" s="35"/>
      <c r="GA105" s="35"/>
      <c r="GB105" s="35"/>
      <c r="GC105" s="35"/>
      <c r="GD105" s="35"/>
      <c r="GE105" s="35"/>
      <c r="GF105" s="35"/>
      <c r="GG105" s="35"/>
      <c r="GH105" s="35"/>
      <c r="GI105" s="35"/>
      <c r="GJ105" s="35"/>
      <c r="GK105" s="35"/>
      <c r="GL105" s="35"/>
      <c r="GM105" s="35"/>
      <c r="GN105" s="35"/>
      <c r="GO105" s="35"/>
      <c r="GP105" s="35"/>
      <c r="GQ105" s="35"/>
      <c r="GR105" s="35"/>
      <c r="GS105" s="35"/>
      <c r="GT105" s="35"/>
      <c r="GU105" s="35"/>
      <c r="GV105" s="35"/>
      <c r="GW105" s="35"/>
      <c r="GX105" s="35"/>
      <c r="GY105" s="35"/>
      <c r="GZ105" s="35"/>
      <c r="HA105" s="35"/>
      <c r="HB105" s="35"/>
      <c r="HC105" s="35"/>
      <c r="HD105" s="35"/>
      <c r="HE105" s="35"/>
      <c r="HF105" s="35"/>
      <c r="HG105" s="35"/>
      <c r="HH105" s="35"/>
      <c r="HI105" s="35"/>
      <c r="HJ105" s="35"/>
      <c r="HK105" s="35"/>
      <c r="HL105" s="35"/>
      <c r="HM105" s="35"/>
      <c r="HN105" s="35"/>
      <c r="HO105" s="35"/>
      <c r="HP105" s="35"/>
      <c r="HQ105" s="35"/>
      <c r="HR105" s="35"/>
      <c r="HS105" s="35"/>
      <c r="HT105" s="35"/>
      <c r="HU105" s="35"/>
      <c r="HV105" s="35"/>
      <c r="HW105" s="35"/>
      <c r="HX105" s="35"/>
      <c r="HY105" s="35"/>
      <c r="HZ105" s="35"/>
      <c r="IA105" s="35"/>
      <c r="IB105" s="35"/>
      <c r="IC105" s="35"/>
      <c r="ID105" s="35"/>
      <c r="IE105" s="35"/>
      <c r="IF105" s="35"/>
      <c r="IG105" s="35"/>
      <c r="IH105" s="35"/>
      <c r="II105" s="35"/>
      <c r="IJ105" s="35"/>
      <c r="IK105" s="35"/>
      <c r="IL105" s="35"/>
      <c r="IM105" s="35"/>
      <c r="IN105" s="35"/>
      <c r="IO105" s="35"/>
      <c r="IP105" s="35"/>
      <c r="IQ105" s="35"/>
      <c r="IR105" s="35"/>
      <c r="IS105" s="35"/>
      <c r="IT105" s="35"/>
      <c r="IU105" s="35"/>
      <c r="IV105" s="35"/>
      <c r="IW105" s="35"/>
      <c r="IX105" s="35"/>
      <c r="IY105" s="35"/>
      <c r="IZ105" s="35"/>
      <c r="JA105" s="35"/>
      <c r="JB105" s="35"/>
      <c r="JC105" s="35"/>
      <c r="JD105" s="35"/>
      <c r="JE105" s="35"/>
      <c r="JF105" s="35"/>
      <c r="JG105" s="35"/>
      <c r="JH105" s="35"/>
      <c r="JI105" s="35"/>
      <c r="JJ105" s="35"/>
      <c r="JK105" s="35"/>
      <c r="JL105" s="35"/>
      <c r="JM105" s="35"/>
      <c r="JN105" s="35"/>
      <c r="JO105" s="35"/>
      <c r="JP105" s="35"/>
      <c r="JQ105" s="35"/>
      <c r="JR105" s="35"/>
      <c r="JS105" s="35"/>
      <c r="JT105" s="35"/>
      <c r="JU105" s="35"/>
      <c r="JV105" s="35"/>
      <c r="JW105" s="35"/>
      <c r="JX105" s="35"/>
      <c r="JY105" s="35"/>
      <c r="JZ105" s="35"/>
      <c r="KA105" s="35"/>
      <c r="KB105" s="35"/>
      <c r="KC105" s="35"/>
      <c r="KD105" s="35"/>
      <c r="KE105" s="35"/>
      <c r="KF105" s="35"/>
      <c r="KG105" s="35"/>
      <c r="KH105" s="35"/>
      <c r="KI105" s="35"/>
      <c r="KJ105" s="35"/>
      <c r="KK105" s="35"/>
      <c r="KL105" s="35"/>
      <c r="KM105" s="35"/>
      <c r="KN105" s="35"/>
      <c r="KO105" s="35"/>
      <c r="KP105" s="35"/>
      <c r="KQ105" s="35"/>
      <c r="KR105" s="35"/>
      <c r="KS105" s="35"/>
      <c r="KT105" s="35"/>
      <c r="KU105" s="35"/>
      <c r="KV105" s="35"/>
      <c r="KW105" s="35"/>
      <c r="KX105" s="35"/>
      <c r="KY105" s="35"/>
      <c r="KZ105" s="35"/>
      <c r="LA105" s="35"/>
      <c r="LB105" s="35"/>
      <c r="LC105" s="35"/>
      <c r="LD105" s="35"/>
      <c r="LE105" s="35"/>
      <c r="LF105" s="35"/>
      <c r="LG105" s="35"/>
      <c r="LH105" s="35"/>
      <c r="LI105" s="35"/>
      <c r="LJ105" s="35"/>
      <c r="LK105" s="35"/>
      <c r="LL105" s="35"/>
      <c r="LM105" s="35"/>
      <c r="LN105" s="35"/>
      <c r="LO105" s="35"/>
      <c r="LP105" s="35"/>
      <c r="LQ105" s="35"/>
      <c r="LR105" s="35"/>
      <c r="LS105" s="35"/>
      <c r="LT105" s="35"/>
      <c r="LU105" s="35"/>
      <c r="LV105" s="35"/>
      <c r="LW105" s="35"/>
      <c r="LX105" s="35"/>
      <c r="LY105" s="35"/>
      <c r="LZ105" s="35"/>
      <c r="MA105" s="35"/>
      <c r="MB105" s="35"/>
      <c r="MC105" s="35"/>
      <c r="MD105" s="35"/>
      <c r="ME105" s="35"/>
      <c r="MF105" s="35"/>
      <c r="MG105" s="35"/>
    </row>
    <row r="106" spans="1:345" s="67" customFormat="1" ht="36" customHeight="1" x14ac:dyDescent="0.25">
      <c r="A106" s="110"/>
      <c r="B106" s="28">
        <v>4142</v>
      </c>
      <c r="C106" s="24" t="s">
        <v>37</v>
      </c>
      <c r="D106" s="19" t="s">
        <v>4559</v>
      </c>
      <c r="E106" s="18">
        <v>44085</v>
      </c>
      <c r="F106" s="27">
        <f t="shared" ca="1" si="2"/>
        <v>388</v>
      </c>
      <c r="G106" s="69"/>
      <c r="H106" s="68"/>
      <c r="I106" s="25"/>
      <c r="J106" s="25"/>
      <c r="K106" s="68"/>
      <c r="L106" s="68"/>
      <c r="M106" s="68"/>
      <c r="N106" s="22"/>
      <c r="O106" s="26"/>
      <c r="P106" s="35"/>
      <c r="Q106" s="35"/>
      <c r="R106" s="20"/>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35"/>
      <c r="AS106" s="35"/>
      <c r="AT106" s="35"/>
      <c r="AU106" s="35"/>
      <c r="AV106" s="35"/>
      <c r="AW106" s="35"/>
      <c r="AX106" s="35"/>
      <c r="AY106" s="35"/>
      <c r="AZ106" s="35"/>
      <c r="BA106" s="35"/>
      <c r="BB106" s="35"/>
      <c r="BC106" s="35"/>
      <c r="BD106" s="35"/>
      <c r="BE106" s="35"/>
      <c r="BF106" s="35"/>
      <c r="BG106" s="35"/>
      <c r="BH106" s="35"/>
      <c r="BI106" s="35"/>
      <c r="BJ106" s="35"/>
      <c r="BK106" s="35"/>
      <c r="BL106" s="35"/>
      <c r="BM106" s="35"/>
      <c r="BN106" s="35"/>
      <c r="BO106" s="35"/>
      <c r="BP106" s="35"/>
      <c r="BQ106" s="35"/>
      <c r="BR106" s="35"/>
      <c r="BS106" s="35"/>
      <c r="BT106" s="35"/>
      <c r="BU106" s="35"/>
      <c r="BV106" s="35"/>
      <c r="BW106" s="35"/>
      <c r="BX106" s="35"/>
      <c r="BY106" s="35"/>
      <c r="BZ106" s="35"/>
      <c r="CA106" s="35"/>
      <c r="CB106" s="35"/>
      <c r="CC106" s="35"/>
      <c r="CD106" s="35"/>
      <c r="CE106" s="35"/>
      <c r="CF106" s="35"/>
      <c r="CG106" s="35"/>
      <c r="CH106" s="35"/>
      <c r="CI106" s="35"/>
      <c r="CJ106" s="35"/>
      <c r="CK106" s="35"/>
      <c r="CL106" s="35"/>
      <c r="CM106" s="35"/>
      <c r="CN106" s="35"/>
      <c r="CO106" s="35"/>
      <c r="CP106" s="35"/>
      <c r="CQ106" s="35"/>
      <c r="CR106" s="35"/>
      <c r="CS106" s="35"/>
      <c r="CT106" s="35"/>
      <c r="CU106" s="35"/>
      <c r="CV106" s="35"/>
      <c r="CW106" s="35"/>
      <c r="CX106" s="35"/>
      <c r="CY106" s="35"/>
      <c r="CZ106" s="35"/>
      <c r="DA106" s="35"/>
      <c r="DB106" s="35"/>
      <c r="DC106" s="35"/>
      <c r="DD106" s="35"/>
      <c r="DE106" s="35"/>
      <c r="DF106" s="35"/>
      <c r="DG106" s="35"/>
      <c r="DH106" s="35"/>
      <c r="DI106" s="35"/>
      <c r="DJ106" s="35"/>
      <c r="DK106" s="35"/>
      <c r="DL106" s="35"/>
      <c r="DM106" s="35"/>
      <c r="DN106" s="35"/>
      <c r="DO106" s="35"/>
      <c r="DP106" s="35"/>
      <c r="DQ106" s="35"/>
      <c r="DR106" s="35"/>
      <c r="DS106" s="35"/>
      <c r="DT106" s="35"/>
      <c r="DU106" s="35"/>
      <c r="DV106" s="35"/>
      <c r="DW106" s="35"/>
      <c r="DX106" s="35"/>
      <c r="DY106" s="35"/>
      <c r="DZ106" s="35"/>
      <c r="EA106" s="35"/>
      <c r="EB106" s="35"/>
      <c r="EC106" s="35"/>
      <c r="ED106" s="35"/>
      <c r="EE106" s="35"/>
      <c r="EF106" s="35"/>
      <c r="EG106" s="35"/>
      <c r="EH106" s="35"/>
      <c r="EI106" s="35"/>
      <c r="EJ106" s="35"/>
      <c r="EK106" s="35"/>
      <c r="EL106" s="35"/>
      <c r="EM106" s="35"/>
      <c r="EN106" s="35"/>
      <c r="EO106" s="35"/>
      <c r="EP106" s="35"/>
      <c r="EQ106" s="35"/>
      <c r="ER106" s="35"/>
      <c r="ES106" s="35"/>
      <c r="ET106" s="35"/>
      <c r="EU106" s="35"/>
      <c r="EV106" s="35"/>
      <c r="EW106" s="35"/>
      <c r="EX106" s="35"/>
      <c r="EY106" s="35"/>
      <c r="EZ106" s="35"/>
      <c r="FA106" s="35"/>
      <c r="FB106" s="35"/>
      <c r="FC106" s="35"/>
      <c r="FD106" s="35"/>
      <c r="FE106" s="35"/>
      <c r="FF106" s="35"/>
      <c r="FG106" s="35"/>
      <c r="FH106" s="35"/>
      <c r="FI106" s="35"/>
      <c r="FJ106" s="35"/>
      <c r="FK106" s="35"/>
      <c r="FL106" s="35"/>
      <c r="FM106" s="35"/>
      <c r="FN106" s="35"/>
      <c r="FO106" s="35"/>
      <c r="FP106" s="35"/>
      <c r="FQ106" s="35"/>
      <c r="FR106" s="35"/>
      <c r="FS106" s="35"/>
      <c r="FT106" s="35"/>
      <c r="FU106" s="35"/>
      <c r="FV106" s="35"/>
      <c r="FW106" s="35"/>
      <c r="FX106" s="35"/>
      <c r="FY106" s="35"/>
      <c r="FZ106" s="35"/>
      <c r="GA106" s="35"/>
      <c r="GB106" s="35"/>
      <c r="GC106" s="35"/>
      <c r="GD106" s="35"/>
      <c r="GE106" s="35"/>
      <c r="GF106" s="35"/>
      <c r="GG106" s="35"/>
      <c r="GH106" s="35"/>
      <c r="GI106" s="35"/>
      <c r="GJ106" s="35"/>
      <c r="GK106" s="35"/>
      <c r="GL106" s="35"/>
      <c r="GM106" s="35"/>
      <c r="GN106" s="35"/>
      <c r="GO106" s="35"/>
      <c r="GP106" s="35"/>
      <c r="GQ106" s="35"/>
      <c r="GR106" s="35"/>
      <c r="GS106" s="35"/>
      <c r="GT106" s="35"/>
      <c r="GU106" s="35"/>
      <c r="GV106" s="35"/>
      <c r="GW106" s="35"/>
      <c r="GX106" s="35"/>
      <c r="GY106" s="35"/>
      <c r="GZ106" s="35"/>
      <c r="HA106" s="35"/>
      <c r="HB106" s="35"/>
      <c r="HC106" s="35"/>
      <c r="HD106" s="35"/>
      <c r="HE106" s="35"/>
      <c r="HF106" s="35"/>
      <c r="HG106" s="35"/>
      <c r="HH106" s="35"/>
      <c r="HI106" s="35"/>
      <c r="HJ106" s="35"/>
      <c r="HK106" s="35"/>
      <c r="HL106" s="35"/>
      <c r="HM106" s="35"/>
      <c r="HN106" s="35"/>
      <c r="HO106" s="35"/>
      <c r="HP106" s="35"/>
      <c r="HQ106" s="35"/>
      <c r="HR106" s="35"/>
      <c r="HS106" s="35"/>
      <c r="HT106" s="35"/>
      <c r="HU106" s="35"/>
      <c r="HV106" s="35"/>
      <c r="HW106" s="35"/>
      <c r="HX106" s="35"/>
      <c r="HY106" s="35"/>
      <c r="HZ106" s="35"/>
      <c r="IA106" s="35"/>
      <c r="IB106" s="35"/>
      <c r="IC106" s="35"/>
      <c r="ID106" s="35"/>
      <c r="IE106" s="35"/>
      <c r="IF106" s="35"/>
      <c r="IG106" s="35"/>
      <c r="IH106" s="35"/>
      <c r="II106" s="35"/>
      <c r="IJ106" s="35"/>
      <c r="IK106" s="35"/>
      <c r="IL106" s="35"/>
      <c r="IM106" s="35"/>
      <c r="IN106" s="35"/>
      <c r="IO106" s="35"/>
      <c r="IP106" s="35"/>
      <c r="IQ106" s="35"/>
      <c r="IR106" s="35"/>
      <c r="IS106" s="35"/>
      <c r="IT106" s="35"/>
      <c r="IU106" s="35"/>
      <c r="IV106" s="35"/>
      <c r="IW106" s="35"/>
      <c r="IX106" s="35"/>
      <c r="IY106" s="35"/>
      <c r="IZ106" s="35"/>
      <c r="JA106" s="35"/>
      <c r="JB106" s="35"/>
      <c r="JC106" s="35"/>
      <c r="JD106" s="35"/>
      <c r="JE106" s="35"/>
      <c r="JF106" s="35"/>
      <c r="JG106" s="35"/>
      <c r="JH106" s="35"/>
      <c r="JI106" s="35"/>
      <c r="JJ106" s="35"/>
      <c r="JK106" s="35"/>
      <c r="JL106" s="35"/>
      <c r="JM106" s="35"/>
      <c r="JN106" s="35"/>
      <c r="JO106" s="35"/>
      <c r="JP106" s="35"/>
      <c r="JQ106" s="35"/>
      <c r="JR106" s="35"/>
      <c r="JS106" s="35"/>
      <c r="JT106" s="35"/>
      <c r="JU106" s="35"/>
      <c r="JV106" s="35"/>
      <c r="JW106" s="35"/>
      <c r="JX106" s="35"/>
      <c r="JY106" s="35"/>
      <c r="JZ106" s="35"/>
      <c r="KA106" s="35"/>
      <c r="KB106" s="35"/>
      <c r="KC106" s="35"/>
      <c r="KD106" s="35"/>
      <c r="KE106" s="35"/>
      <c r="KF106" s="35"/>
      <c r="KG106" s="35"/>
      <c r="KH106" s="35"/>
      <c r="KI106" s="35"/>
      <c r="KJ106" s="35"/>
      <c r="KK106" s="35"/>
      <c r="KL106" s="35"/>
      <c r="KM106" s="35"/>
      <c r="KN106" s="35"/>
      <c r="KO106" s="35"/>
      <c r="KP106" s="35"/>
      <c r="KQ106" s="35"/>
      <c r="KR106" s="35"/>
      <c r="KS106" s="35"/>
      <c r="KT106" s="35"/>
      <c r="KU106" s="35"/>
      <c r="KV106" s="35"/>
      <c r="KW106" s="35"/>
      <c r="KX106" s="35"/>
      <c r="KY106" s="35"/>
      <c r="KZ106" s="35"/>
      <c r="LA106" s="35"/>
      <c r="LB106" s="35"/>
      <c r="LC106" s="35"/>
      <c r="LD106" s="35"/>
      <c r="LE106" s="35"/>
      <c r="LF106" s="35"/>
      <c r="LG106" s="35"/>
      <c r="LH106" s="35"/>
      <c r="LI106" s="35"/>
      <c r="LJ106" s="35"/>
      <c r="LK106" s="35"/>
      <c r="LL106" s="35"/>
      <c r="LM106" s="35"/>
      <c r="LN106" s="35"/>
      <c r="LO106" s="35"/>
      <c r="LP106" s="35"/>
      <c r="LQ106" s="35"/>
      <c r="LR106" s="35"/>
      <c r="LS106" s="35"/>
      <c r="LT106" s="35"/>
      <c r="LU106" s="35"/>
      <c r="LV106" s="35"/>
      <c r="LW106" s="35"/>
      <c r="LX106" s="35"/>
      <c r="LY106" s="35"/>
      <c r="LZ106" s="35"/>
      <c r="MA106" s="35"/>
      <c r="MB106" s="35"/>
      <c r="MC106" s="35"/>
      <c r="MD106" s="35"/>
      <c r="ME106" s="35"/>
      <c r="MF106" s="35"/>
      <c r="MG106" s="35"/>
    </row>
    <row r="107" spans="1:345" s="67" customFormat="1" ht="36" customHeight="1" x14ac:dyDescent="0.25">
      <c r="B107" s="28"/>
      <c r="C107" s="24"/>
      <c r="D107" s="19"/>
      <c r="E107" s="18"/>
      <c r="F107" s="27" t="str">
        <f t="shared" ca="1" si="2"/>
        <v/>
      </c>
      <c r="G107" s="69"/>
      <c r="H107" s="68"/>
      <c r="I107" s="25"/>
      <c r="J107" s="25"/>
      <c r="K107" s="68"/>
      <c r="L107" s="68"/>
      <c r="M107" s="68"/>
      <c r="N107" s="22"/>
      <c r="O107" s="26"/>
      <c r="P107" s="35"/>
      <c r="Q107" s="35"/>
      <c r="R107" s="20"/>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35"/>
      <c r="AS107" s="35"/>
      <c r="AT107" s="35"/>
      <c r="AU107" s="35"/>
      <c r="AV107" s="35"/>
      <c r="AW107" s="35"/>
      <c r="AX107" s="35"/>
      <c r="AY107" s="35"/>
      <c r="AZ107" s="35"/>
      <c r="BA107" s="35"/>
      <c r="BB107" s="35"/>
      <c r="BC107" s="35"/>
      <c r="BD107" s="35"/>
      <c r="BE107" s="35"/>
      <c r="BF107" s="35"/>
      <c r="BG107" s="35"/>
      <c r="BH107" s="35"/>
      <c r="BI107" s="35"/>
      <c r="BJ107" s="35"/>
      <c r="BK107" s="35"/>
      <c r="BL107" s="35"/>
      <c r="BM107" s="35"/>
      <c r="BN107" s="35"/>
      <c r="BO107" s="35"/>
      <c r="BP107" s="35"/>
      <c r="BQ107" s="35"/>
      <c r="BR107" s="35"/>
      <c r="BS107" s="35"/>
      <c r="BT107" s="35"/>
      <c r="BU107" s="35"/>
      <c r="BV107" s="35"/>
      <c r="BW107" s="35"/>
      <c r="BX107" s="35"/>
      <c r="BY107" s="35"/>
      <c r="BZ107" s="35"/>
      <c r="CA107" s="35"/>
      <c r="CB107" s="35"/>
      <c r="CC107" s="35"/>
      <c r="CD107" s="35"/>
      <c r="CE107" s="35"/>
      <c r="CF107" s="35"/>
      <c r="CG107" s="35"/>
      <c r="CH107" s="35"/>
      <c r="CI107" s="35"/>
      <c r="CJ107" s="35"/>
      <c r="CK107" s="35"/>
      <c r="CL107" s="35"/>
      <c r="CM107" s="35"/>
      <c r="CN107" s="35"/>
      <c r="CO107" s="35"/>
      <c r="CP107" s="35"/>
      <c r="CQ107" s="35"/>
      <c r="CR107" s="35"/>
      <c r="CS107" s="35"/>
      <c r="CT107" s="35"/>
      <c r="CU107" s="35"/>
      <c r="CV107" s="35"/>
      <c r="CW107" s="35"/>
      <c r="CX107" s="35"/>
      <c r="CY107" s="35"/>
      <c r="CZ107" s="35"/>
      <c r="DA107" s="35"/>
      <c r="DB107" s="35"/>
      <c r="DC107" s="35"/>
      <c r="DD107" s="35"/>
      <c r="DE107" s="35"/>
      <c r="DF107" s="35"/>
      <c r="DG107" s="35"/>
      <c r="DH107" s="35"/>
      <c r="DI107" s="35"/>
      <c r="DJ107" s="35"/>
      <c r="DK107" s="35"/>
      <c r="DL107" s="35"/>
      <c r="DM107" s="35"/>
      <c r="DN107" s="35"/>
      <c r="DO107" s="35"/>
      <c r="DP107" s="35"/>
      <c r="DQ107" s="35"/>
      <c r="DR107" s="35"/>
      <c r="DS107" s="35"/>
      <c r="DT107" s="35"/>
      <c r="DU107" s="35"/>
      <c r="DV107" s="35"/>
      <c r="DW107" s="35"/>
      <c r="DX107" s="35"/>
      <c r="DY107" s="35"/>
      <c r="DZ107" s="35"/>
      <c r="EA107" s="35"/>
      <c r="EB107" s="35"/>
      <c r="EC107" s="35"/>
      <c r="ED107" s="35"/>
      <c r="EE107" s="35"/>
      <c r="EF107" s="35"/>
      <c r="EG107" s="35"/>
      <c r="EH107" s="35"/>
      <c r="EI107" s="35"/>
      <c r="EJ107" s="35"/>
      <c r="EK107" s="35"/>
      <c r="EL107" s="35"/>
      <c r="EM107" s="35"/>
      <c r="EN107" s="35"/>
      <c r="EO107" s="35"/>
      <c r="EP107" s="35"/>
      <c r="EQ107" s="35"/>
      <c r="ER107" s="35"/>
      <c r="ES107" s="35"/>
      <c r="ET107" s="35"/>
      <c r="EU107" s="35"/>
      <c r="EV107" s="35"/>
      <c r="EW107" s="35"/>
      <c r="EX107" s="35"/>
      <c r="EY107" s="35"/>
      <c r="EZ107" s="35"/>
      <c r="FA107" s="35"/>
      <c r="FB107" s="35"/>
      <c r="FC107" s="35"/>
      <c r="FD107" s="35"/>
      <c r="FE107" s="35"/>
      <c r="FF107" s="35"/>
      <c r="FG107" s="35"/>
      <c r="FH107" s="35"/>
      <c r="FI107" s="35"/>
      <c r="FJ107" s="35"/>
      <c r="FK107" s="35"/>
      <c r="FL107" s="35"/>
      <c r="FM107" s="35"/>
      <c r="FN107" s="35"/>
      <c r="FO107" s="35"/>
      <c r="FP107" s="35"/>
      <c r="FQ107" s="35"/>
      <c r="FR107" s="35"/>
      <c r="FS107" s="35"/>
      <c r="FT107" s="35"/>
      <c r="FU107" s="35"/>
      <c r="FV107" s="35"/>
      <c r="FW107" s="35"/>
      <c r="FX107" s="35"/>
      <c r="FY107" s="35"/>
      <c r="FZ107" s="35"/>
      <c r="GA107" s="35"/>
      <c r="GB107" s="35"/>
      <c r="GC107" s="35"/>
      <c r="GD107" s="35"/>
      <c r="GE107" s="35"/>
      <c r="GF107" s="35"/>
      <c r="GG107" s="35"/>
      <c r="GH107" s="35"/>
      <c r="GI107" s="35"/>
      <c r="GJ107" s="35"/>
      <c r="GK107" s="35"/>
      <c r="GL107" s="35"/>
      <c r="GM107" s="35"/>
      <c r="GN107" s="35"/>
      <c r="GO107" s="35"/>
      <c r="GP107" s="35"/>
      <c r="GQ107" s="35"/>
      <c r="GR107" s="35"/>
      <c r="GS107" s="35"/>
      <c r="GT107" s="35"/>
      <c r="GU107" s="35"/>
      <c r="GV107" s="35"/>
      <c r="GW107" s="35"/>
      <c r="GX107" s="35"/>
      <c r="GY107" s="35"/>
      <c r="GZ107" s="35"/>
      <c r="HA107" s="35"/>
      <c r="HB107" s="35"/>
      <c r="HC107" s="35"/>
      <c r="HD107" s="35"/>
      <c r="HE107" s="35"/>
      <c r="HF107" s="35"/>
      <c r="HG107" s="35"/>
      <c r="HH107" s="35"/>
      <c r="HI107" s="35"/>
      <c r="HJ107" s="35"/>
      <c r="HK107" s="35"/>
      <c r="HL107" s="35"/>
      <c r="HM107" s="35"/>
      <c r="HN107" s="35"/>
      <c r="HO107" s="35"/>
      <c r="HP107" s="35"/>
      <c r="HQ107" s="35"/>
      <c r="HR107" s="35"/>
      <c r="HS107" s="35"/>
      <c r="HT107" s="35"/>
      <c r="HU107" s="35"/>
      <c r="HV107" s="35"/>
      <c r="HW107" s="35"/>
      <c r="HX107" s="35"/>
      <c r="HY107" s="35"/>
      <c r="HZ107" s="35"/>
      <c r="IA107" s="35"/>
      <c r="IB107" s="35"/>
      <c r="IC107" s="35"/>
      <c r="ID107" s="35"/>
      <c r="IE107" s="35"/>
      <c r="IF107" s="35"/>
      <c r="IG107" s="35"/>
      <c r="IH107" s="35"/>
      <c r="II107" s="35"/>
      <c r="IJ107" s="35"/>
      <c r="IK107" s="35"/>
      <c r="IL107" s="35"/>
      <c r="IM107" s="35"/>
      <c r="IN107" s="35"/>
      <c r="IO107" s="35"/>
      <c r="IP107" s="35"/>
      <c r="IQ107" s="35"/>
      <c r="IR107" s="35"/>
      <c r="IS107" s="35"/>
      <c r="IT107" s="35"/>
      <c r="IU107" s="35"/>
      <c r="IV107" s="35"/>
      <c r="IW107" s="35"/>
      <c r="IX107" s="35"/>
      <c r="IY107" s="35"/>
      <c r="IZ107" s="35"/>
      <c r="JA107" s="35"/>
      <c r="JB107" s="35"/>
      <c r="JC107" s="35"/>
      <c r="JD107" s="35"/>
      <c r="JE107" s="35"/>
      <c r="JF107" s="35"/>
      <c r="JG107" s="35"/>
      <c r="JH107" s="35"/>
      <c r="JI107" s="35"/>
      <c r="JJ107" s="35"/>
      <c r="JK107" s="35"/>
      <c r="JL107" s="35"/>
      <c r="JM107" s="35"/>
      <c r="JN107" s="35"/>
      <c r="JO107" s="35"/>
      <c r="JP107" s="35"/>
      <c r="JQ107" s="35"/>
      <c r="JR107" s="35"/>
      <c r="JS107" s="35"/>
      <c r="JT107" s="35"/>
      <c r="JU107" s="35"/>
      <c r="JV107" s="35"/>
      <c r="JW107" s="35"/>
      <c r="JX107" s="35"/>
      <c r="JY107" s="35"/>
      <c r="JZ107" s="35"/>
      <c r="KA107" s="35"/>
      <c r="KB107" s="35"/>
      <c r="KC107" s="35"/>
      <c r="KD107" s="35"/>
      <c r="KE107" s="35"/>
      <c r="KF107" s="35"/>
      <c r="KG107" s="35"/>
      <c r="KH107" s="35"/>
      <c r="KI107" s="35"/>
      <c r="KJ107" s="35"/>
      <c r="KK107" s="35"/>
      <c r="KL107" s="35"/>
      <c r="KM107" s="35"/>
      <c r="KN107" s="35"/>
      <c r="KO107" s="35"/>
      <c r="KP107" s="35"/>
      <c r="KQ107" s="35"/>
      <c r="KR107" s="35"/>
      <c r="KS107" s="35"/>
      <c r="KT107" s="35"/>
      <c r="KU107" s="35"/>
      <c r="KV107" s="35"/>
      <c r="KW107" s="35"/>
      <c r="KX107" s="35"/>
      <c r="KY107" s="35"/>
      <c r="KZ107" s="35"/>
      <c r="LA107" s="35"/>
      <c r="LB107" s="35"/>
      <c r="LC107" s="35"/>
      <c r="LD107" s="35"/>
      <c r="LE107" s="35"/>
      <c r="LF107" s="35"/>
      <c r="LG107" s="35"/>
      <c r="LH107" s="35"/>
      <c r="LI107" s="35"/>
      <c r="LJ107" s="35"/>
      <c r="LK107" s="35"/>
      <c r="LL107" s="35"/>
      <c r="LM107" s="35"/>
      <c r="LN107" s="35"/>
      <c r="LO107" s="35"/>
      <c r="LP107" s="35"/>
      <c r="LQ107" s="35"/>
      <c r="LR107" s="35"/>
      <c r="LS107" s="35"/>
      <c r="LT107" s="35"/>
      <c r="LU107" s="35"/>
      <c r="LV107" s="35"/>
      <c r="LW107" s="35"/>
      <c r="LX107" s="35"/>
      <c r="LY107" s="35"/>
      <c r="LZ107" s="35"/>
      <c r="MA107" s="35"/>
      <c r="MB107" s="35"/>
      <c r="MC107" s="35"/>
      <c r="MD107" s="35"/>
      <c r="ME107" s="35"/>
      <c r="MF107" s="35"/>
      <c r="MG107" s="35"/>
    </row>
    <row r="108" spans="1:345" s="67" customFormat="1" ht="36" customHeight="1" x14ac:dyDescent="0.25">
      <c r="A108" s="113"/>
      <c r="B108" s="28"/>
      <c r="C108" s="24"/>
      <c r="D108" s="19"/>
      <c r="E108" s="18"/>
      <c r="F108" s="27" t="str">
        <f t="shared" ca="1" si="2"/>
        <v/>
      </c>
      <c r="G108" s="69"/>
      <c r="H108" s="68"/>
      <c r="I108" s="25"/>
      <c r="J108" s="25"/>
      <c r="K108" s="68"/>
      <c r="L108" s="68"/>
      <c r="M108" s="68"/>
      <c r="N108" s="22"/>
      <c r="O108" s="26"/>
      <c r="P108" s="35"/>
      <c r="Q108" s="35"/>
      <c r="R108" s="20"/>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35"/>
      <c r="AS108" s="35"/>
      <c r="AT108" s="35"/>
      <c r="AU108" s="35"/>
      <c r="AV108" s="35"/>
      <c r="AW108" s="35"/>
      <c r="AX108" s="35"/>
      <c r="AY108" s="35"/>
      <c r="AZ108" s="35"/>
      <c r="BA108" s="35"/>
      <c r="BB108" s="35"/>
      <c r="BC108" s="35"/>
      <c r="BD108" s="35"/>
      <c r="BE108" s="35"/>
      <c r="BF108" s="35"/>
      <c r="BG108" s="35"/>
      <c r="BH108" s="35"/>
      <c r="BI108" s="35"/>
      <c r="BJ108" s="35"/>
      <c r="BK108" s="35"/>
      <c r="BL108" s="35"/>
      <c r="BM108" s="35"/>
      <c r="BN108" s="35"/>
      <c r="BO108" s="35"/>
      <c r="BP108" s="35"/>
      <c r="BQ108" s="35"/>
      <c r="BR108" s="35"/>
      <c r="BS108" s="35"/>
      <c r="BT108" s="35"/>
      <c r="BU108" s="35"/>
      <c r="BV108" s="35"/>
      <c r="BW108" s="35"/>
      <c r="BX108" s="35"/>
      <c r="BY108" s="35"/>
      <c r="BZ108" s="35"/>
      <c r="CA108" s="35"/>
      <c r="CB108" s="35"/>
      <c r="CC108" s="35"/>
      <c r="CD108" s="35"/>
      <c r="CE108" s="35"/>
      <c r="CF108" s="35"/>
      <c r="CG108" s="35"/>
      <c r="CH108" s="35"/>
      <c r="CI108" s="35"/>
      <c r="CJ108" s="35"/>
      <c r="CK108" s="35"/>
      <c r="CL108" s="35"/>
      <c r="CM108" s="35"/>
      <c r="CN108" s="35"/>
      <c r="CO108" s="35"/>
      <c r="CP108" s="35"/>
      <c r="CQ108" s="35"/>
      <c r="CR108" s="35"/>
      <c r="CS108" s="35"/>
      <c r="CT108" s="35"/>
      <c r="CU108" s="35"/>
      <c r="CV108" s="35"/>
      <c r="CW108" s="35"/>
      <c r="CX108" s="35"/>
      <c r="CY108" s="35"/>
      <c r="CZ108" s="35"/>
      <c r="DA108" s="35"/>
      <c r="DB108" s="35"/>
      <c r="DC108" s="35"/>
      <c r="DD108" s="35"/>
      <c r="DE108" s="35"/>
      <c r="DF108" s="35"/>
      <c r="DG108" s="35"/>
      <c r="DH108" s="35"/>
      <c r="DI108" s="35"/>
      <c r="DJ108" s="35"/>
      <c r="DK108" s="35"/>
      <c r="DL108" s="35"/>
      <c r="DM108" s="35"/>
      <c r="DN108" s="35"/>
      <c r="DO108" s="35"/>
      <c r="DP108" s="35"/>
      <c r="DQ108" s="35"/>
      <c r="DR108" s="35"/>
      <c r="DS108" s="35"/>
      <c r="DT108" s="35"/>
      <c r="DU108" s="35"/>
      <c r="DV108" s="35"/>
      <c r="DW108" s="35"/>
      <c r="DX108" s="35"/>
      <c r="DY108" s="35"/>
      <c r="DZ108" s="35"/>
      <c r="EA108" s="35"/>
      <c r="EB108" s="35"/>
      <c r="EC108" s="35"/>
      <c r="ED108" s="35"/>
      <c r="EE108" s="35"/>
      <c r="EF108" s="35"/>
      <c r="EG108" s="35"/>
      <c r="EH108" s="35"/>
      <c r="EI108" s="35"/>
      <c r="EJ108" s="35"/>
      <c r="EK108" s="35"/>
      <c r="EL108" s="35"/>
      <c r="EM108" s="35"/>
      <c r="EN108" s="35"/>
      <c r="EO108" s="35"/>
      <c r="EP108" s="35"/>
      <c r="EQ108" s="35"/>
      <c r="ER108" s="35"/>
      <c r="ES108" s="35"/>
      <c r="ET108" s="35"/>
      <c r="EU108" s="35"/>
      <c r="EV108" s="35"/>
      <c r="EW108" s="35"/>
      <c r="EX108" s="35"/>
      <c r="EY108" s="35"/>
      <c r="EZ108" s="35"/>
      <c r="FA108" s="35"/>
      <c r="FB108" s="35"/>
      <c r="FC108" s="35"/>
      <c r="FD108" s="35"/>
      <c r="FE108" s="35"/>
      <c r="FF108" s="35"/>
      <c r="FG108" s="35"/>
      <c r="FH108" s="35"/>
      <c r="FI108" s="35"/>
      <c r="FJ108" s="35"/>
      <c r="FK108" s="35"/>
      <c r="FL108" s="35"/>
      <c r="FM108" s="35"/>
      <c r="FN108" s="35"/>
      <c r="FO108" s="35"/>
      <c r="FP108" s="35"/>
      <c r="FQ108" s="35"/>
      <c r="FR108" s="35"/>
      <c r="FS108" s="35"/>
      <c r="FT108" s="35"/>
      <c r="FU108" s="35"/>
      <c r="FV108" s="35"/>
      <c r="FW108" s="35"/>
      <c r="FX108" s="35"/>
      <c r="FY108" s="35"/>
      <c r="FZ108" s="35"/>
      <c r="GA108" s="35"/>
      <c r="GB108" s="35"/>
      <c r="GC108" s="35"/>
      <c r="GD108" s="35"/>
      <c r="GE108" s="35"/>
      <c r="GF108" s="35"/>
      <c r="GG108" s="35"/>
      <c r="GH108" s="35"/>
      <c r="GI108" s="35"/>
      <c r="GJ108" s="35"/>
      <c r="GK108" s="35"/>
      <c r="GL108" s="35"/>
      <c r="GM108" s="35"/>
      <c r="GN108" s="35"/>
      <c r="GO108" s="35"/>
      <c r="GP108" s="35"/>
      <c r="GQ108" s="35"/>
      <c r="GR108" s="35"/>
      <c r="GS108" s="35"/>
      <c r="GT108" s="35"/>
      <c r="GU108" s="35"/>
      <c r="GV108" s="35"/>
      <c r="GW108" s="35"/>
      <c r="GX108" s="35"/>
      <c r="GY108" s="35"/>
      <c r="GZ108" s="35"/>
      <c r="HA108" s="35"/>
      <c r="HB108" s="35"/>
      <c r="HC108" s="35"/>
      <c r="HD108" s="35"/>
      <c r="HE108" s="35"/>
      <c r="HF108" s="35"/>
      <c r="HG108" s="35"/>
      <c r="HH108" s="35"/>
      <c r="HI108" s="35"/>
      <c r="HJ108" s="35"/>
      <c r="HK108" s="35"/>
      <c r="HL108" s="35"/>
      <c r="HM108" s="35"/>
      <c r="HN108" s="35"/>
      <c r="HO108" s="35"/>
      <c r="HP108" s="35"/>
      <c r="HQ108" s="35"/>
      <c r="HR108" s="35"/>
      <c r="HS108" s="35"/>
      <c r="HT108" s="35"/>
      <c r="HU108" s="35"/>
      <c r="HV108" s="35"/>
      <c r="HW108" s="35"/>
      <c r="HX108" s="35"/>
      <c r="HY108" s="35"/>
      <c r="HZ108" s="35"/>
      <c r="IA108" s="35"/>
      <c r="IB108" s="35"/>
      <c r="IC108" s="35"/>
      <c r="ID108" s="35"/>
      <c r="IE108" s="35"/>
      <c r="IF108" s="35"/>
      <c r="IG108" s="35"/>
      <c r="IH108" s="35"/>
      <c r="II108" s="35"/>
      <c r="IJ108" s="35"/>
      <c r="IK108" s="35"/>
      <c r="IL108" s="35"/>
      <c r="IM108" s="35"/>
      <c r="IN108" s="35"/>
      <c r="IO108" s="35"/>
      <c r="IP108" s="35"/>
      <c r="IQ108" s="35"/>
      <c r="IR108" s="35"/>
      <c r="IS108" s="35"/>
      <c r="IT108" s="35"/>
      <c r="IU108" s="35"/>
      <c r="IV108" s="35"/>
      <c r="IW108" s="35"/>
      <c r="IX108" s="35"/>
      <c r="IY108" s="35"/>
      <c r="IZ108" s="35"/>
      <c r="JA108" s="35"/>
      <c r="JB108" s="35"/>
      <c r="JC108" s="35"/>
      <c r="JD108" s="35"/>
      <c r="JE108" s="35"/>
      <c r="JF108" s="35"/>
      <c r="JG108" s="35"/>
      <c r="JH108" s="35"/>
      <c r="JI108" s="35"/>
      <c r="JJ108" s="35"/>
      <c r="JK108" s="35"/>
      <c r="JL108" s="35"/>
      <c r="JM108" s="35"/>
      <c r="JN108" s="35"/>
      <c r="JO108" s="35"/>
      <c r="JP108" s="35"/>
      <c r="JQ108" s="35"/>
      <c r="JR108" s="35"/>
      <c r="JS108" s="35"/>
      <c r="JT108" s="35"/>
      <c r="JU108" s="35"/>
      <c r="JV108" s="35"/>
      <c r="JW108" s="35"/>
      <c r="JX108" s="35"/>
      <c r="JY108" s="35"/>
      <c r="JZ108" s="35"/>
      <c r="KA108" s="35"/>
      <c r="KB108" s="35"/>
      <c r="KC108" s="35"/>
      <c r="KD108" s="35"/>
      <c r="KE108" s="35"/>
      <c r="KF108" s="35"/>
      <c r="KG108" s="35"/>
      <c r="KH108" s="35"/>
      <c r="KI108" s="35"/>
      <c r="KJ108" s="35"/>
      <c r="KK108" s="35"/>
      <c r="KL108" s="35"/>
      <c r="KM108" s="35"/>
      <c r="KN108" s="35"/>
      <c r="KO108" s="35"/>
      <c r="KP108" s="35"/>
      <c r="KQ108" s="35"/>
      <c r="KR108" s="35"/>
      <c r="KS108" s="35"/>
      <c r="KT108" s="35"/>
      <c r="KU108" s="35"/>
      <c r="KV108" s="35"/>
      <c r="KW108" s="35"/>
      <c r="KX108" s="35"/>
      <c r="KY108" s="35"/>
      <c r="KZ108" s="35"/>
      <c r="LA108" s="35"/>
      <c r="LB108" s="35"/>
      <c r="LC108" s="35"/>
      <c r="LD108" s="35"/>
      <c r="LE108" s="35"/>
      <c r="LF108" s="35"/>
      <c r="LG108" s="35"/>
      <c r="LH108" s="35"/>
      <c r="LI108" s="35"/>
      <c r="LJ108" s="35"/>
      <c r="LK108" s="35"/>
      <c r="LL108" s="35"/>
      <c r="LM108" s="35"/>
      <c r="LN108" s="35"/>
      <c r="LO108" s="35"/>
      <c r="LP108" s="35"/>
      <c r="LQ108" s="35"/>
      <c r="LR108" s="35"/>
      <c r="LS108" s="35"/>
      <c r="LT108" s="35"/>
      <c r="LU108" s="35"/>
      <c r="LV108" s="35"/>
      <c r="LW108" s="35"/>
      <c r="LX108" s="35"/>
      <c r="LY108" s="35"/>
      <c r="LZ108" s="35"/>
      <c r="MA108" s="35"/>
      <c r="MB108" s="35"/>
      <c r="MC108" s="35"/>
      <c r="MD108" s="35"/>
      <c r="ME108" s="35"/>
      <c r="MF108" s="35"/>
      <c r="MG108" s="35"/>
    </row>
    <row r="109" spans="1:345" s="67" customFormat="1" ht="36" customHeight="1" x14ac:dyDescent="0.25">
      <c r="A109" s="113"/>
      <c r="B109" s="28"/>
      <c r="C109" s="24"/>
      <c r="D109" s="19"/>
      <c r="E109" s="18"/>
      <c r="F109" s="27" t="str">
        <f t="shared" ca="1" si="2"/>
        <v/>
      </c>
      <c r="G109" s="69"/>
      <c r="H109" s="68"/>
      <c r="I109" s="25"/>
      <c r="J109" s="25"/>
      <c r="K109" s="68"/>
      <c r="L109" s="68"/>
      <c r="M109" s="68"/>
      <c r="N109" s="22"/>
      <c r="O109" s="26"/>
      <c r="P109" s="35"/>
      <c r="Q109" s="35"/>
      <c r="R109" s="20"/>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35"/>
      <c r="AS109" s="35"/>
      <c r="AT109" s="35"/>
      <c r="AU109" s="35"/>
      <c r="AV109" s="35"/>
      <c r="AW109" s="35"/>
      <c r="AX109" s="35"/>
      <c r="AY109" s="35"/>
      <c r="AZ109" s="35"/>
      <c r="BA109" s="35"/>
      <c r="BB109" s="35"/>
      <c r="BC109" s="35"/>
      <c r="BD109" s="35"/>
      <c r="BE109" s="35"/>
      <c r="BF109" s="35"/>
      <c r="BG109" s="35"/>
      <c r="BH109" s="35"/>
      <c r="BI109" s="35"/>
      <c r="BJ109" s="35"/>
      <c r="BK109" s="35"/>
      <c r="BL109" s="35"/>
      <c r="BM109" s="35"/>
      <c r="BN109" s="35"/>
      <c r="BO109" s="35"/>
      <c r="BP109" s="35"/>
      <c r="BQ109" s="35"/>
      <c r="BR109" s="35"/>
      <c r="BS109" s="35"/>
      <c r="BT109" s="35"/>
      <c r="BU109" s="35"/>
      <c r="BV109" s="35"/>
      <c r="BW109" s="35"/>
      <c r="BX109" s="35"/>
      <c r="BY109" s="35"/>
      <c r="BZ109" s="35"/>
      <c r="CA109" s="35"/>
      <c r="CB109" s="35"/>
      <c r="CC109" s="35"/>
      <c r="CD109" s="35"/>
      <c r="CE109" s="35"/>
      <c r="CF109" s="35"/>
      <c r="CG109" s="35"/>
      <c r="CH109" s="35"/>
      <c r="CI109" s="35"/>
      <c r="CJ109" s="35"/>
      <c r="CK109" s="35"/>
      <c r="CL109" s="35"/>
      <c r="CM109" s="35"/>
      <c r="CN109" s="35"/>
      <c r="CO109" s="35"/>
      <c r="CP109" s="35"/>
      <c r="CQ109" s="35"/>
      <c r="CR109" s="35"/>
      <c r="CS109" s="35"/>
      <c r="CT109" s="35"/>
      <c r="CU109" s="35"/>
      <c r="CV109" s="35"/>
      <c r="CW109" s="35"/>
      <c r="CX109" s="35"/>
      <c r="CY109" s="35"/>
      <c r="CZ109" s="35"/>
      <c r="DA109" s="35"/>
      <c r="DB109" s="35"/>
      <c r="DC109" s="35"/>
      <c r="DD109" s="35"/>
      <c r="DE109" s="35"/>
      <c r="DF109" s="35"/>
      <c r="DG109" s="35"/>
      <c r="DH109" s="35"/>
      <c r="DI109" s="35"/>
      <c r="DJ109" s="35"/>
      <c r="DK109" s="35"/>
      <c r="DL109" s="35"/>
      <c r="DM109" s="35"/>
      <c r="DN109" s="35"/>
      <c r="DO109" s="35"/>
      <c r="DP109" s="35"/>
      <c r="DQ109" s="35"/>
      <c r="DR109" s="35"/>
      <c r="DS109" s="35"/>
      <c r="DT109" s="35"/>
      <c r="DU109" s="35"/>
      <c r="DV109" s="35"/>
      <c r="DW109" s="35"/>
      <c r="DX109" s="35"/>
      <c r="DY109" s="35"/>
      <c r="DZ109" s="35"/>
      <c r="EA109" s="35"/>
      <c r="EB109" s="35"/>
      <c r="EC109" s="35"/>
      <c r="ED109" s="35"/>
      <c r="EE109" s="35"/>
      <c r="EF109" s="35"/>
      <c r="EG109" s="35"/>
      <c r="EH109" s="35"/>
      <c r="EI109" s="35"/>
      <c r="EJ109" s="35"/>
      <c r="EK109" s="35"/>
      <c r="EL109" s="35"/>
      <c r="EM109" s="35"/>
      <c r="EN109" s="35"/>
      <c r="EO109" s="35"/>
      <c r="EP109" s="35"/>
      <c r="EQ109" s="35"/>
      <c r="ER109" s="35"/>
      <c r="ES109" s="35"/>
      <c r="ET109" s="35"/>
      <c r="EU109" s="35"/>
      <c r="EV109" s="35"/>
      <c r="EW109" s="35"/>
      <c r="EX109" s="35"/>
      <c r="EY109" s="35"/>
      <c r="EZ109" s="35"/>
      <c r="FA109" s="35"/>
      <c r="FB109" s="35"/>
      <c r="FC109" s="35"/>
      <c r="FD109" s="35"/>
      <c r="FE109" s="35"/>
      <c r="FF109" s="35"/>
      <c r="FG109" s="35"/>
      <c r="FH109" s="35"/>
      <c r="FI109" s="35"/>
      <c r="FJ109" s="35"/>
      <c r="FK109" s="35"/>
      <c r="FL109" s="35"/>
      <c r="FM109" s="35"/>
      <c r="FN109" s="35"/>
      <c r="FO109" s="35"/>
      <c r="FP109" s="35"/>
      <c r="FQ109" s="35"/>
      <c r="FR109" s="35"/>
      <c r="FS109" s="35"/>
      <c r="FT109" s="35"/>
      <c r="FU109" s="35"/>
      <c r="FV109" s="35"/>
      <c r="FW109" s="35"/>
      <c r="FX109" s="35"/>
      <c r="FY109" s="35"/>
      <c r="FZ109" s="35"/>
      <c r="GA109" s="35"/>
      <c r="GB109" s="35"/>
      <c r="GC109" s="35"/>
      <c r="GD109" s="35"/>
      <c r="GE109" s="35"/>
      <c r="GF109" s="35"/>
      <c r="GG109" s="35"/>
      <c r="GH109" s="35"/>
      <c r="GI109" s="35"/>
      <c r="GJ109" s="35"/>
      <c r="GK109" s="35"/>
      <c r="GL109" s="35"/>
      <c r="GM109" s="35"/>
      <c r="GN109" s="35"/>
      <c r="GO109" s="35"/>
      <c r="GP109" s="35"/>
      <c r="GQ109" s="35"/>
      <c r="GR109" s="35"/>
      <c r="GS109" s="35"/>
      <c r="GT109" s="35"/>
      <c r="GU109" s="35"/>
      <c r="GV109" s="35"/>
      <c r="GW109" s="35"/>
      <c r="GX109" s="35"/>
      <c r="GY109" s="35"/>
      <c r="GZ109" s="35"/>
      <c r="HA109" s="35"/>
      <c r="HB109" s="35"/>
      <c r="HC109" s="35"/>
      <c r="HD109" s="35"/>
      <c r="HE109" s="35"/>
      <c r="HF109" s="35"/>
      <c r="HG109" s="35"/>
      <c r="HH109" s="35"/>
      <c r="HI109" s="35"/>
      <c r="HJ109" s="35"/>
      <c r="HK109" s="35"/>
      <c r="HL109" s="35"/>
      <c r="HM109" s="35"/>
      <c r="HN109" s="35"/>
      <c r="HO109" s="35"/>
      <c r="HP109" s="35"/>
      <c r="HQ109" s="35"/>
      <c r="HR109" s="35"/>
      <c r="HS109" s="35"/>
      <c r="HT109" s="35"/>
      <c r="HU109" s="35"/>
      <c r="HV109" s="35"/>
      <c r="HW109" s="35"/>
      <c r="HX109" s="35"/>
      <c r="HY109" s="35"/>
      <c r="HZ109" s="35"/>
      <c r="IA109" s="35"/>
      <c r="IB109" s="35"/>
      <c r="IC109" s="35"/>
      <c r="ID109" s="35"/>
      <c r="IE109" s="35"/>
      <c r="IF109" s="35"/>
      <c r="IG109" s="35"/>
      <c r="IH109" s="35"/>
      <c r="II109" s="35"/>
      <c r="IJ109" s="35"/>
      <c r="IK109" s="35"/>
      <c r="IL109" s="35"/>
      <c r="IM109" s="35"/>
      <c r="IN109" s="35"/>
      <c r="IO109" s="35"/>
      <c r="IP109" s="35"/>
      <c r="IQ109" s="35"/>
      <c r="IR109" s="35"/>
      <c r="IS109" s="35"/>
      <c r="IT109" s="35"/>
      <c r="IU109" s="35"/>
      <c r="IV109" s="35"/>
      <c r="IW109" s="35"/>
      <c r="IX109" s="35"/>
      <c r="IY109" s="35"/>
      <c r="IZ109" s="35"/>
      <c r="JA109" s="35"/>
      <c r="JB109" s="35"/>
      <c r="JC109" s="35"/>
      <c r="JD109" s="35"/>
      <c r="JE109" s="35"/>
      <c r="JF109" s="35"/>
      <c r="JG109" s="35"/>
      <c r="JH109" s="35"/>
      <c r="JI109" s="35"/>
      <c r="JJ109" s="35"/>
      <c r="JK109" s="35"/>
      <c r="JL109" s="35"/>
      <c r="JM109" s="35"/>
      <c r="JN109" s="35"/>
      <c r="JO109" s="35"/>
      <c r="JP109" s="35"/>
      <c r="JQ109" s="35"/>
      <c r="JR109" s="35"/>
      <c r="JS109" s="35"/>
      <c r="JT109" s="35"/>
      <c r="JU109" s="35"/>
      <c r="JV109" s="35"/>
      <c r="JW109" s="35"/>
      <c r="JX109" s="35"/>
      <c r="JY109" s="35"/>
      <c r="JZ109" s="35"/>
      <c r="KA109" s="35"/>
      <c r="KB109" s="35"/>
      <c r="KC109" s="35"/>
      <c r="KD109" s="35"/>
      <c r="KE109" s="35"/>
      <c r="KF109" s="35"/>
      <c r="KG109" s="35"/>
      <c r="KH109" s="35"/>
      <c r="KI109" s="35"/>
      <c r="KJ109" s="35"/>
      <c r="KK109" s="35"/>
      <c r="KL109" s="35"/>
      <c r="KM109" s="35"/>
      <c r="KN109" s="35"/>
      <c r="KO109" s="35"/>
      <c r="KP109" s="35"/>
      <c r="KQ109" s="35"/>
      <c r="KR109" s="35"/>
      <c r="KS109" s="35"/>
      <c r="KT109" s="35"/>
      <c r="KU109" s="35"/>
      <c r="KV109" s="35"/>
      <c r="KW109" s="35"/>
      <c r="KX109" s="35"/>
      <c r="KY109" s="35"/>
      <c r="KZ109" s="35"/>
      <c r="LA109" s="35"/>
      <c r="LB109" s="35"/>
      <c r="LC109" s="35"/>
      <c r="LD109" s="35"/>
      <c r="LE109" s="35"/>
      <c r="LF109" s="35"/>
      <c r="LG109" s="35"/>
      <c r="LH109" s="35"/>
      <c r="LI109" s="35"/>
      <c r="LJ109" s="35"/>
      <c r="LK109" s="35"/>
      <c r="LL109" s="35"/>
      <c r="LM109" s="35"/>
      <c r="LN109" s="35"/>
      <c r="LO109" s="35"/>
      <c r="LP109" s="35"/>
      <c r="LQ109" s="35"/>
      <c r="LR109" s="35"/>
      <c r="LS109" s="35"/>
      <c r="LT109" s="35"/>
      <c r="LU109" s="35"/>
      <c r="LV109" s="35"/>
      <c r="LW109" s="35"/>
      <c r="LX109" s="35"/>
      <c r="LY109" s="35"/>
      <c r="LZ109" s="35"/>
      <c r="MA109" s="35"/>
      <c r="MB109" s="35"/>
      <c r="MC109" s="35"/>
      <c r="MD109" s="35"/>
      <c r="ME109" s="35"/>
      <c r="MF109" s="35"/>
      <c r="MG109" s="35"/>
    </row>
    <row r="110" spans="1:345" s="67" customFormat="1" ht="36" customHeight="1" x14ac:dyDescent="0.25">
      <c r="A110" s="113"/>
      <c r="B110" s="28"/>
      <c r="C110" s="24"/>
      <c r="D110" s="19"/>
      <c r="E110" s="18"/>
      <c r="F110" s="27" t="str">
        <f t="shared" ca="1" si="2"/>
        <v/>
      </c>
      <c r="G110" s="69"/>
      <c r="H110" s="68"/>
      <c r="I110" s="25"/>
      <c r="J110" s="25"/>
      <c r="K110" s="68"/>
      <c r="L110" s="68"/>
      <c r="M110" s="68"/>
      <c r="N110" s="22"/>
      <c r="O110" s="26"/>
      <c r="P110" s="35"/>
      <c r="Q110" s="35"/>
      <c r="R110" s="20"/>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35"/>
      <c r="AS110" s="35"/>
      <c r="AT110" s="35"/>
      <c r="AU110" s="35"/>
      <c r="AV110" s="35"/>
      <c r="AW110" s="35"/>
      <c r="AX110" s="35"/>
      <c r="AY110" s="35"/>
      <c r="AZ110" s="35"/>
      <c r="BA110" s="35"/>
      <c r="BB110" s="35"/>
      <c r="BC110" s="35"/>
      <c r="BD110" s="35"/>
      <c r="BE110" s="35"/>
      <c r="BF110" s="35"/>
      <c r="BG110" s="35"/>
      <c r="BH110" s="35"/>
      <c r="BI110" s="35"/>
      <c r="BJ110" s="35"/>
      <c r="BK110" s="35"/>
      <c r="BL110" s="35"/>
      <c r="BM110" s="35"/>
      <c r="BN110" s="35"/>
      <c r="BO110" s="35"/>
      <c r="BP110" s="35"/>
      <c r="BQ110" s="35"/>
      <c r="BR110" s="35"/>
      <c r="BS110" s="35"/>
      <c r="BT110" s="35"/>
      <c r="BU110" s="35"/>
      <c r="BV110" s="35"/>
      <c r="BW110" s="35"/>
      <c r="BX110" s="35"/>
      <c r="BY110" s="35"/>
      <c r="BZ110" s="35"/>
      <c r="CA110" s="35"/>
      <c r="CB110" s="35"/>
      <c r="CC110" s="35"/>
      <c r="CD110" s="35"/>
      <c r="CE110" s="35"/>
      <c r="CF110" s="35"/>
      <c r="CG110" s="35"/>
      <c r="CH110" s="35"/>
      <c r="CI110" s="35"/>
      <c r="CJ110" s="35"/>
      <c r="CK110" s="35"/>
      <c r="CL110" s="35"/>
      <c r="CM110" s="35"/>
      <c r="CN110" s="35"/>
      <c r="CO110" s="35"/>
      <c r="CP110" s="35"/>
      <c r="CQ110" s="35"/>
      <c r="CR110" s="35"/>
      <c r="CS110" s="35"/>
      <c r="CT110" s="35"/>
      <c r="CU110" s="35"/>
      <c r="CV110" s="35"/>
      <c r="CW110" s="35"/>
      <c r="CX110" s="35"/>
      <c r="CY110" s="35"/>
      <c r="CZ110" s="35"/>
      <c r="DA110" s="35"/>
      <c r="DB110" s="35"/>
      <c r="DC110" s="35"/>
      <c r="DD110" s="35"/>
      <c r="DE110" s="35"/>
      <c r="DF110" s="35"/>
      <c r="DG110" s="35"/>
      <c r="DH110" s="35"/>
      <c r="DI110" s="35"/>
      <c r="DJ110" s="35"/>
      <c r="DK110" s="35"/>
      <c r="DL110" s="35"/>
      <c r="DM110" s="35"/>
      <c r="DN110" s="35"/>
      <c r="DO110" s="35"/>
      <c r="DP110" s="35"/>
      <c r="DQ110" s="35"/>
      <c r="DR110" s="35"/>
      <c r="DS110" s="35"/>
      <c r="DT110" s="35"/>
      <c r="DU110" s="35"/>
      <c r="DV110" s="35"/>
      <c r="DW110" s="35"/>
      <c r="DX110" s="35"/>
      <c r="DY110" s="35"/>
      <c r="DZ110" s="35"/>
      <c r="EA110" s="35"/>
      <c r="EB110" s="35"/>
      <c r="EC110" s="35"/>
      <c r="ED110" s="35"/>
      <c r="EE110" s="35"/>
      <c r="EF110" s="35"/>
      <c r="EG110" s="35"/>
      <c r="EH110" s="35"/>
      <c r="EI110" s="35"/>
      <c r="EJ110" s="35"/>
      <c r="EK110" s="35"/>
      <c r="EL110" s="35"/>
      <c r="EM110" s="35"/>
      <c r="EN110" s="35"/>
      <c r="EO110" s="35"/>
      <c r="EP110" s="35"/>
      <c r="EQ110" s="35"/>
      <c r="ER110" s="35"/>
      <c r="ES110" s="35"/>
      <c r="ET110" s="35"/>
      <c r="EU110" s="35"/>
      <c r="EV110" s="35"/>
      <c r="EW110" s="35"/>
      <c r="EX110" s="35"/>
      <c r="EY110" s="35"/>
      <c r="EZ110" s="35"/>
      <c r="FA110" s="35"/>
      <c r="FB110" s="35"/>
      <c r="FC110" s="35"/>
      <c r="FD110" s="35"/>
      <c r="FE110" s="35"/>
      <c r="FF110" s="35"/>
      <c r="FG110" s="35"/>
      <c r="FH110" s="35"/>
      <c r="FI110" s="35"/>
      <c r="FJ110" s="35"/>
      <c r="FK110" s="35"/>
      <c r="FL110" s="35"/>
      <c r="FM110" s="35"/>
      <c r="FN110" s="35"/>
      <c r="FO110" s="35"/>
      <c r="FP110" s="35"/>
      <c r="FQ110" s="35"/>
      <c r="FR110" s="35"/>
      <c r="FS110" s="35"/>
      <c r="FT110" s="35"/>
      <c r="FU110" s="35"/>
      <c r="FV110" s="35"/>
      <c r="FW110" s="35"/>
      <c r="FX110" s="35"/>
      <c r="FY110" s="35"/>
      <c r="FZ110" s="35"/>
      <c r="GA110" s="35"/>
      <c r="GB110" s="35"/>
      <c r="GC110" s="35"/>
      <c r="GD110" s="35"/>
      <c r="GE110" s="35"/>
      <c r="GF110" s="35"/>
      <c r="GG110" s="35"/>
      <c r="GH110" s="35"/>
      <c r="GI110" s="35"/>
      <c r="GJ110" s="35"/>
      <c r="GK110" s="35"/>
      <c r="GL110" s="35"/>
      <c r="GM110" s="35"/>
      <c r="GN110" s="35"/>
      <c r="GO110" s="35"/>
      <c r="GP110" s="35"/>
      <c r="GQ110" s="35"/>
      <c r="GR110" s="35"/>
      <c r="GS110" s="35"/>
      <c r="GT110" s="35"/>
      <c r="GU110" s="35"/>
      <c r="GV110" s="35"/>
      <c r="GW110" s="35"/>
      <c r="GX110" s="35"/>
      <c r="GY110" s="35"/>
      <c r="GZ110" s="35"/>
      <c r="HA110" s="35"/>
      <c r="HB110" s="35"/>
      <c r="HC110" s="35"/>
      <c r="HD110" s="35"/>
      <c r="HE110" s="35"/>
      <c r="HF110" s="35"/>
      <c r="HG110" s="35"/>
      <c r="HH110" s="35"/>
      <c r="HI110" s="35"/>
      <c r="HJ110" s="35"/>
      <c r="HK110" s="35"/>
      <c r="HL110" s="35"/>
      <c r="HM110" s="35"/>
      <c r="HN110" s="35"/>
      <c r="HO110" s="35"/>
      <c r="HP110" s="35"/>
      <c r="HQ110" s="35"/>
      <c r="HR110" s="35"/>
      <c r="HS110" s="35"/>
      <c r="HT110" s="35"/>
      <c r="HU110" s="35"/>
      <c r="HV110" s="35"/>
      <c r="HW110" s="35"/>
      <c r="HX110" s="35"/>
      <c r="HY110" s="35"/>
      <c r="HZ110" s="35"/>
      <c r="IA110" s="35"/>
      <c r="IB110" s="35"/>
      <c r="IC110" s="35"/>
      <c r="ID110" s="35"/>
      <c r="IE110" s="35"/>
      <c r="IF110" s="35"/>
      <c r="IG110" s="35"/>
      <c r="IH110" s="35"/>
      <c r="II110" s="35"/>
      <c r="IJ110" s="35"/>
      <c r="IK110" s="35"/>
      <c r="IL110" s="35"/>
      <c r="IM110" s="35"/>
      <c r="IN110" s="35"/>
      <c r="IO110" s="35"/>
      <c r="IP110" s="35"/>
      <c r="IQ110" s="35"/>
      <c r="IR110" s="35"/>
      <c r="IS110" s="35"/>
      <c r="IT110" s="35"/>
      <c r="IU110" s="35"/>
      <c r="IV110" s="35"/>
      <c r="IW110" s="35"/>
      <c r="IX110" s="35"/>
      <c r="IY110" s="35"/>
      <c r="IZ110" s="35"/>
      <c r="JA110" s="35"/>
      <c r="JB110" s="35"/>
      <c r="JC110" s="35"/>
      <c r="JD110" s="35"/>
      <c r="JE110" s="35"/>
      <c r="JF110" s="35"/>
      <c r="JG110" s="35"/>
      <c r="JH110" s="35"/>
      <c r="JI110" s="35"/>
      <c r="JJ110" s="35"/>
      <c r="JK110" s="35"/>
      <c r="JL110" s="35"/>
      <c r="JM110" s="35"/>
      <c r="JN110" s="35"/>
      <c r="JO110" s="35"/>
      <c r="JP110" s="35"/>
      <c r="JQ110" s="35"/>
      <c r="JR110" s="35"/>
      <c r="JS110" s="35"/>
      <c r="JT110" s="35"/>
      <c r="JU110" s="35"/>
      <c r="JV110" s="35"/>
      <c r="JW110" s="35"/>
      <c r="JX110" s="35"/>
      <c r="JY110" s="35"/>
      <c r="JZ110" s="35"/>
      <c r="KA110" s="35"/>
      <c r="KB110" s="35"/>
      <c r="KC110" s="35"/>
      <c r="KD110" s="35"/>
      <c r="KE110" s="35"/>
      <c r="KF110" s="35"/>
      <c r="KG110" s="35"/>
      <c r="KH110" s="35"/>
      <c r="KI110" s="35"/>
      <c r="KJ110" s="35"/>
      <c r="KK110" s="35"/>
      <c r="KL110" s="35"/>
      <c r="KM110" s="35"/>
      <c r="KN110" s="35"/>
      <c r="KO110" s="35"/>
      <c r="KP110" s="35"/>
      <c r="KQ110" s="35"/>
      <c r="KR110" s="35"/>
      <c r="KS110" s="35"/>
      <c r="KT110" s="35"/>
      <c r="KU110" s="35"/>
      <c r="KV110" s="35"/>
      <c r="KW110" s="35"/>
      <c r="KX110" s="35"/>
      <c r="KY110" s="35"/>
      <c r="KZ110" s="35"/>
      <c r="LA110" s="35"/>
      <c r="LB110" s="35"/>
      <c r="LC110" s="35"/>
      <c r="LD110" s="35"/>
      <c r="LE110" s="35"/>
      <c r="LF110" s="35"/>
      <c r="LG110" s="35"/>
      <c r="LH110" s="35"/>
      <c r="LI110" s="35"/>
      <c r="LJ110" s="35"/>
      <c r="LK110" s="35"/>
      <c r="LL110" s="35"/>
      <c r="LM110" s="35"/>
      <c r="LN110" s="35"/>
      <c r="LO110" s="35"/>
      <c r="LP110" s="35"/>
      <c r="LQ110" s="35"/>
      <c r="LR110" s="35"/>
      <c r="LS110" s="35"/>
      <c r="LT110" s="35"/>
      <c r="LU110" s="35"/>
      <c r="LV110" s="35"/>
      <c r="LW110" s="35"/>
      <c r="LX110" s="35"/>
      <c r="LY110" s="35"/>
      <c r="LZ110" s="35"/>
      <c r="MA110" s="35"/>
      <c r="MB110" s="35"/>
      <c r="MC110" s="35"/>
      <c r="MD110" s="35"/>
      <c r="ME110" s="35"/>
      <c r="MF110" s="35"/>
      <c r="MG110" s="35"/>
    </row>
    <row r="111" spans="1:345" s="67" customFormat="1" ht="36" customHeight="1" x14ac:dyDescent="0.25">
      <c r="B111" s="28"/>
      <c r="C111" s="24"/>
      <c r="D111" s="19"/>
      <c r="E111" s="18"/>
      <c r="F111" s="27" t="str">
        <f t="shared" ca="1" si="2"/>
        <v/>
      </c>
      <c r="G111" s="69"/>
      <c r="H111" s="68"/>
      <c r="I111" s="25"/>
      <c r="J111" s="25"/>
      <c r="K111" s="68"/>
      <c r="L111" s="68"/>
      <c r="M111" s="68"/>
      <c r="N111" s="22"/>
      <c r="O111" s="26"/>
      <c r="P111" s="35"/>
      <c r="Q111" s="35"/>
      <c r="R111" s="20"/>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35"/>
      <c r="AS111" s="35"/>
      <c r="AT111" s="35"/>
      <c r="AU111" s="35"/>
      <c r="AV111" s="35"/>
      <c r="AW111" s="35"/>
      <c r="AX111" s="35"/>
      <c r="AY111" s="35"/>
      <c r="AZ111" s="35"/>
      <c r="BA111" s="35"/>
      <c r="BB111" s="35"/>
      <c r="BC111" s="35"/>
      <c r="BD111" s="35"/>
      <c r="BE111" s="35"/>
      <c r="BF111" s="35"/>
      <c r="BG111" s="35"/>
      <c r="BH111" s="35"/>
      <c r="BI111" s="35"/>
      <c r="BJ111" s="35"/>
      <c r="BK111" s="35"/>
      <c r="BL111" s="35"/>
      <c r="BM111" s="35"/>
      <c r="BN111" s="35"/>
      <c r="BO111" s="35"/>
      <c r="BP111" s="35"/>
      <c r="BQ111" s="35"/>
      <c r="BR111" s="35"/>
      <c r="BS111" s="35"/>
      <c r="BT111" s="35"/>
      <c r="BU111" s="35"/>
      <c r="BV111" s="35"/>
      <c r="BW111" s="35"/>
      <c r="BX111" s="35"/>
      <c r="BY111" s="35"/>
      <c r="BZ111" s="35"/>
      <c r="CA111" s="35"/>
      <c r="CB111" s="35"/>
      <c r="CC111" s="35"/>
      <c r="CD111" s="35"/>
      <c r="CE111" s="35"/>
      <c r="CF111" s="35"/>
      <c r="CG111" s="35"/>
      <c r="CH111" s="35"/>
      <c r="CI111" s="35"/>
      <c r="CJ111" s="35"/>
      <c r="CK111" s="35"/>
      <c r="CL111" s="35"/>
      <c r="CM111" s="35"/>
      <c r="CN111" s="35"/>
      <c r="CO111" s="35"/>
      <c r="CP111" s="35"/>
      <c r="CQ111" s="35"/>
      <c r="CR111" s="35"/>
      <c r="CS111" s="35"/>
      <c r="CT111" s="35"/>
      <c r="CU111" s="35"/>
      <c r="CV111" s="35"/>
      <c r="CW111" s="35"/>
      <c r="CX111" s="35"/>
      <c r="CY111" s="35"/>
      <c r="CZ111" s="35"/>
      <c r="DA111" s="35"/>
      <c r="DB111" s="35"/>
      <c r="DC111" s="35"/>
      <c r="DD111" s="35"/>
      <c r="DE111" s="35"/>
      <c r="DF111" s="35"/>
      <c r="DG111" s="35"/>
      <c r="DH111" s="35"/>
      <c r="DI111" s="35"/>
      <c r="DJ111" s="35"/>
      <c r="DK111" s="35"/>
      <c r="DL111" s="35"/>
      <c r="DM111" s="35"/>
      <c r="DN111" s="35"/>
      <c r="DO111" s="35"/>
      <c r="DP111" s="35"/>
      <c r="DQ111" s="35"/>
      <c r="DR111" s="35"/>
      <c r="DS111" s="35"/>
      <c r="DT111" s="35"/>
      <c r="DU111" s="35"/>
      <c r="DV111" s="35"/>
      <c r="DW111" s="35"/>
      <c r="DX111" s="35"/>
      <c r="DY111" s="35"/>
      <c r="DZ111" s="35"/>
      <c r="EA111" s="35"/>
      <c r="EB111" s="35"/>
      <c r="EC111" s="35"/>
      <c r="ED111" s="35"/>
      <c r="EE111" s="35"/>
      <c r="EF111" s="35"/>
      <c r="EG111" s="35"/>
      <c r="EH111" s="35"/>
      <c r="EI111" s="35"/>
      <c r="EJ111" s="35"/>
      <c r="EK111" s="35"/>
      <c r="EL111" s="35"/>
      <c r="EM111" s="35"/>
      <c r="EN111" s="35"/>
      <c r="EO111" s="35"/>
      <c r="EP111" s="35"/>
      <c r="EQ111" s="35"/>
      <c r="ER111" s="35"/>
      <c r="ES111" s="35"/>
      <c r="ET111" s="35"/>
      <c r="EU111" s="35"/>
      <c r="EV111" s="35"/>
      <c r="EW111" s="35"/>
      <c r="EX111" s="35"/>
      <c r="EY111" s="35"/>
      <c r="EZ111" s="35"/>
      <c r="FA111" s="35"/>
      <c r="FB111" s="35"/>
      <c r="FC111" s="35"/>
      <c r="FD111" s="35"/>
      <c r="FE111" s="35"/>
      <c r="FF111" s="35"/>
      <c r="FG111" s="35"/>
      <c r="FH111" s="35"/>
      <c r="FI111" s="35"/>
      <c r="FJ111" s="35"/>
      <c r="FK111" s="35"/>
      <c r="FL111" s="35"/>
      <c r="FM111" s="35"/>
      <c r="FN111" s="35"/>
      <c r="FO111" s="35"/>
      <c r="FP111" s="35"/>
      <c r="FQ111" s="35"/>
      <c r="FR111" s="35"/>
      <c r="FS111" s="35"/>
      <c r="FT111" s="35"/>
      <c r="FU111" s="35"/>
      <c r="FV111" s="35"/>
      <c r="FW111" s="35"/>
      <c r="FX111" s="35"/>
      <c r="FY111" s="35"/>
      <c r="FZ111" s="35"/>
      <c r="GA111" s="35"/>
      <c r="GB111" s="35"/>
      <c r="GC111" s="35"/>
      <c r="GD111" s="35"/>
      <c r="GE111" s="35"/>
      <c r="GF111" s="35"/>
      <c r="GG111" s="35"/>
      <c r="GH111" s="35"/>
      <c r="GI111" s="35"/>
      <c r="GJ111" s="35"/>
      <c r="GK111" s="35"/>
      <c r="GL111" s="35"/>
      <c r="GM111" s="35"/>
      <c r="GN111" s="35"/>
      <c r="GO111" s="35"/>
      <c r="GP111" s="35"/>
      <c r="GQ111" s="35"/>
      <c r="GR111" s="35"/>
      <c r="GS111" s="35"/>
      <c r="GT111" s="35"/>
      <c r="GU111" s="35"/>
      <c r="GV111" s="35"/>
      <c r="GW111" s="35"/>
      <c r="GX111" s="35"/>
      <c r="GY111" s="35"/>
      <c r="GZ111" s="35"/>
      <c r="HA111" s="35"/>
      <c r="HB111" s="35"/>
      <c r="HC111" s="35"/>
      <c r="HD111" s="35"/>
      <c r="HE111" s="35"/>
      <c r="HF111" s="35"/>
      <c r="HG111" s="35"/>
      <c r="HH111" s="35"/>
      <c r="HI111" s="35"/>
      <c r="HJ111" s="35"/>
      <c r="HK111" s="35"/>
      <c r="HL111" s="35"/>
      <c r="HM111" s="35"/>
      <c r="HN111" s="35"/>
      <c r="HO111" s="35"/>
      <c r="HP111" s="35"/>
      <c r="HQ111" s="35"/>
      <c r="HR111" s="35"/>
      <c r="HS111" s="35"/>
      <c r="HT111" s="35"/>
      <c r="HU111" s="35"/>
      <c r="HV111" s="35"/>
      <c r="HW111" s="35"/>
      <c r="HX111" s="35"/>
      <c r="HY111" s="35"/>
      <c r="HZ111" s="35"/>
      <c r="IA111" s="35"/>
      <c r="IB111" s="35"/>
      <c r="IC111" s="35"/>
      <c r="ID111" s="35"/>
      <c r="IE111" s="35"/>
      <c r="IF111" s="35"/>
      <c r="IG111" s="35"/>
      <c r="IH111" s="35"/>
      <c r="II111" s="35"/>
      <c r="IJ111" s="35"/>
      <c r="IK111" s="35"/>
      <c r="IL111" s="35"/>
      <c r="IM111" s="35"/>
      <c r="IN111" s="35"/>
      <c r="IO111" s="35"/>
      <c r="IP111" s="35"/>
      <c r="IQ111" s="35"/>
      <c r="IR111" s="35"/>
      <c r="IS111" s="35"/>
      <c r="IT111" s="35"/>
      <c r="IU111" s="35"/>
      <c r="IV111" s="35"/>
      <c r="IW111" s="35"/>
      <c r="IX111" s="35"/>
      <c r="IY111" s="35"/>
      <c r="IZ111" s="35"/>
      <c r="JA111" s="35"/>
      <c r="JB111" s="35"/>
      <c r="JC111" s="35"/>
      <c r="JD111" s="35"/>
      <c r="JE111" s="35"/>
      <c r="JF111" s="35"/>
      <c r="JG111" s="35"/>
      <c r="JH111" s="35"/>
      <c r="JI111" s="35"/>
      <c r="JJ111" s="35"/>
      <c r="JK111" s="35"/>
      <c r="JL111" s="35"/>
      <c r="JM111" s="35"/>
      <c r="JN111" s="35"/>
      <c r="JO111" s="35"/>
      <c r="JP111" s="35"/>
      <c r="JQ111" s="35"/>
      <c r="JR111" s="35"/>
      <c r="JS111" s="35"/>
      <c r="JT111" s="35"/>
      <c r="JU111" s="35"/>
      <c r="JV111" s="35"/>
      <c r="JW111" s="35"/>
      <c r="JX111" s="35"/>
      <c r="JY111" s="35"/>
      <c r="JZ111" s="35"/>
      <c r="KA111" s="35"/>
      <c r="KB111" s="35"/>
      <c r="KC111" s="35"/>
      <c r="KD111" s="35"/>
      <c r="KE111" s="35"/>
      <c r="KF111" s="35"/>
      <c r="KG111" s="35"/>
      <c r="KH111" s="35"/>
      <c r="KI111" s="35"/>
      <c r="KJ111" s="35"/>
      <c r="KK111" s="35"/>
      <c r="KL111" s="35"/>
      <c r="KM111" s="35"/>
      <c r="KN111" s="35"/>
      <c r="KO111" s="35"/>
      <c r="KP111" s="35"/>
      <c r="KQ111" s="35"/>
      <c r="KR111" s="35"/>
      <c r="KS111" s="35"/>
      <c r="KT111" s="35"/>
      <c r="KU111" s="35"/>
      <c r="KV111" s="35"/>
      <c r="KW111" s="35"/>
      <c r="KX111" s="35"/>
      <c r="KY111" s="35"/>
      <c r="KZ111" s="35"/>
      <c r="LA111" s="35"/>
      <c r="LB111" s="35"/>
      <c r="LC111" s="35"/>
      <c r="LD111" s="35"/>
      <c r="LE111" s="35"/>
      <c r="LF111" s="35"/>
      <c r="LG111" s="35"/>
      <c r="LH111" s="35"/>
      <c r="LI111" s="35"/>
      <c r="LJ111" s="35"/>
      <c r="LK111" s="35"/>
      <c r="LL111" s="35"/>
      <c r="LM111" s="35"/>
      <c r="LN111" s="35"/>
      <c r="LO111" s="35"/>
      <c r="LP111" s="35"/>
      <c r="LQ111" s="35"/>
      <c r="LR111" s="35"/>
      <c r="LS111" s="35"/>
      <c r="LT111" s="35"/>
      <c r="LU111" s="35"/>
      <c r="LV111" s="35"/>
      <c r="LW111" s="35"/>
      <c r="LX111" s="35"/>
      <c r="LY111" s="35"/>
      <c r="LZ111" s="35"/>
      <c r="MA111" s="35"/>
      <c r="MB111" s="35"/>
      <c r="MC111" s="35"/>
      <c r="MD111" s="35"/>
      <c r="ME111" s="35"/>
      <c r="MF111" s="35"/>
      <c r="MG111" s="35"/>
    </row>
  </sheetData>
  <autoFilter ref="B15:O111" xr:uid="{00000000-0009-0000-0000-000000000000}">
    <filterColumn colId="10">
      <filters blank="1"/>
    </filterColumn>
    <sortState xmlns:xlrd2="http://schemas.microsoft.com/office/spreadsheetml/2017/richdata2" ref="B16:O111">
      <sortCondition ref="E43:E384"/>
    </sortState>
  </autoFilter>
  <mergeCells count="3">
    <mergeCell ref="B2:D3"/>
    <mergeCell ref="B12:C12"/>
    <mergeCell ref="B13:D14"/>
  </mergeCells>
  <conditionalFormatting sqref="F107:G111 F16:F106">
    <cfRule type="cellIs" dxfId="31" priority="106" operator="equal">
      <formula>0</formula>
    </cfRule>
    <cfRule type="cellIs" dxfId="30" priority="107" operator="lessThan">
      <formula>7</formula>
    </cfRule>
    <cfRule type="cellIs" dxfId="29" priority="108" operator="between">
      <formula>7</formula>
      <formula>30</formula>
    </cfRule>
    <cfRule type="cellIs" dxfId="28" priority="109" operator="greaterThan">
      <formula>30</formula>
    </cfRule>
  </conditionalFormatting>
  <conditionalFormatting sqref="F107:G111 F16:F106">
    <cfRule type="cellIs" dxfId="27" priority="105" operator="equal">
      <formula>0</formula>
    </cfRule>
  </conditionalFormatting>
  <conditionalFormatting sqref="G16:G106">
    <cfRule type="cellIs" dxfId="26" priority="28" operator="equal">
      <formula>0</formula>
    </cfRule>
    <cfRule type="cellIs" dxfId="25" priority="29" operator="lessThan">
      <formula>7</formula>
    </cfRule>
    <cfRule type="cellIs" dxfId="24" priority="30" operator="between">
      <formula>7</formula>
      <formula>30</formula>
    </cfRule>
    <cfRule type="cellIs" dxfId="23" priority="31" operator="greaterThan">
      <formula>30</formula>
    </cfRule>
  </conditionalFormatting>
  <conditionalFormatting sqref="G16:G106">
    <cfRule type="cellIs" dxfId="22" priority="27" operator="equal">
      <formula>0</formula>
    </cfRule>
  </conditionalFormatting>
  <conditionalFormatting sqref="G16">
    <cfRule type="cellIs" dxfId="21" priority="21" operator="equal">
      <formula>0</formula>
    </cfRule>
    <cfRule type="cellIs" dxfId="20" priority="22" operator="lessThan">
      <formula>7</formula>
    </cfRule>
    <cfRule type="cellIs" dxfId="19" priority="23" operator="between">
      <formula>7</formula>
      <formula>30</formula>
    </cfRule>
    <cfRule type="cellIs" dxfId="18" priority="24" operator="greaterThan">
      <formula>30</formula>
    </cfRule>
  </conditionalFormatting>
  <conditionalFormatting sqref="G16">
    <cfRule type="cellIs" dxfId="17" priority="20" operator="equal">
      <formula>0</formula>
    </cfRule>
  </conditionalFormatting>
  <conditionalFormatting sqref="M16:M111">
    <cfRule type="cellIs" dxfId="16" priority="5" operator="equal">
      <formula>$D$10</formula>
    </cfRule>
  </conditionalFormatting>
  <conditionalFormatting sqref="M16:M111">
    <cfRule type="cellIs" dxfId="15" priority="3" operator="equal">
      <formula>$D$11</formula>
    </cfRule>
  </conditionalFormatting>
  <dataValidations count="2">
    <dataValidation type="list" allowBlank="1" showInputMessage="1" showErrorMessage="1" sqref="J16" xr:uid="{14B4C7A3-7F07-4570-867D-8EDBBFCDD1E0}">
      <formula1>$D$8:$D$9</formula1>
    </dataValidation>
    <dataValidation type="list" allowBlank="1" showInputMessage="1" showErrorMessage="1" sqref="M16:M111" xr:uid="{8F1EF456-CAF6-4577-81C8-73383DEB7E1D}">
      <formula1>$D$10:$D$11</formula1>
    </dataValidation>
  </dataValidations>
  <printOptions horizontalCentered="1"/>
  <pageMargins left="0.25" right="0.25" top="0.75" bottom="0.75" header="0.3" footer="0.3"/>
  <pageSetup paperSize="3" scale="51"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clearScanFolder">
                <anchor moveWithCells="1" sizeWithCells="1">
                  <from>
                    <xdr:col>3</xdr:col>
                    <xdr:colOff>4781550</xdr:colOff>
                    <xdr:row>2</xdr:row>
                    <xdr:rowOff>107950</xdr:rowOff>
                  </from>
                  <to>
                    <xdr:col>4</xdr:col>
                    <xdr:colOff>508000</xdr:colOff>
                    <xdr:row>3</xdr:row>
                    <xdr:rowOff>146050</xdr:rowOff>
                  </to>
                </anchor>
              </controlPr>
            </control>
          </mc:Choice>
        </mc:AlternateContent>
        <mc:AlternateContent xmlns:mc="http://schemas.openxmlformats.org/markup-compatibility/2006">
          <mc:Choice Requires="x14">
            <control shapeId="3075" r:id="rId5" name="Button 3">
              <controlPr defaultSize="0" print="0" autoFill="0" autoPict="0" macro="[0]!autoMailer_NEW">
                <anchor moveWithCells="1">
                  <from>
                    <xdr:col>6</xdr:col>
                    <xdr:colOff>190500</xdr:colOff>
                    <xdr:row>0</xdr:row>
                    <xdr:rowOff>203200</xdr:rowOff>
                  </from>
                  <to>
                    <xdr:col>7</xdr:col>
                    <xdr:colOff>171450</xdr:colOff>
                    <xdr:row>3</xdr:row>
                    <xdr:rowOff>69850</xdr:rowOff>
                  </to>
                </anchor>
              </controlPr>
            </control>
          </mc:Choice>
        </mc:AlternateContent>
        <mc:AlternateContent xmlns:mc="http://schemas.openxmlformats.org/markup-compatibility/2006">
          <mc:Choice Requires="x14">
            <control shapeId="3077" r:id="rId6" name="Button 5">
              <controlPr defaultSize="0" print="0" autoFill="0" autoPict="0" macro="[0]!autoMailer_PENDING">
                <anchor moveWithCells="1">
                  <from>
                    <xdr:col>7</xdr:col>
                    <xdr:colOff>781050</xdr:colOff>
                    <xdr:row>0</xdr:row>
                    <xdr:rowOff>184150</xdr:rowOff>
                  </from>
                  <to>
                    <xdr:col>8</xdr:col>
                    <xdr:colOff>1162050</xdr:colOff>
                    <xdr:row>3</xdr:row>
                    <xdr:rowOff>57150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93" stopIfTrue="1" operator="containsText" id="{4BF6F627-24F5-4CCB-8AC1-AF157349F0A9}">
            <xm:f>NOT(ISERROR(SEARCH($D$9,I16)))</xm:f>
            <xm:f>$D$9</xm:f>
            <x14:dxf>
              <fill>
                <patternFill>
                  <bgColor rgb="FF0070C0"/>
                </patternFill>
              </fill>
            </x14:dxf>
          </x14:cfRule>
          <x14:cfRule type="containsText" priority="94" stopIfTrue="1" operator="containsText" id="{E89EAD87-E453-4D9A-A2C3-803FC5AEA9AA}">
            <xm:f>NOT(ISERROR(SEARCH($D$8,I16)))</xm:f>
            <xm:f>$D$8</xm:f>
            <x14:dxf>
              <fill>
                <patternFill>
                  <bgColor rgb="FFFF0000"/>
                </patternFill>
              </fill>
            </x14:dxf>
          </x14:cfRule>
          <xm:sqref>I16 I107:J107 I111:J111 J108:J110</xm:sqref>
        </x14:conditionalFormatting>
        <x14:conditionalFormatting xmlns:xm="http://schemas.microsoft.com/office/excel/2006/main">
          <x14:cfRule type="containsText" priority="39" stopIfTrue="1" operator="containsText" id="{5B7DDB18-D186-445A-A777-78600C52ED13}">
            <xm:f>NOT(ISERROR(SEARCH($D$9,J16)))</xm:f>
            <xm:f>$D$9</xm:f>
            <x14:dxf>
              <fill>
                <patternFill>
                  <bgColor rgb="FF0070C0"/>
                </patternFill>
              </fill>
            </x14:dxf>
          </x14:cfRule>
          <x14:cfRule type="containsText" priority="40" stopIfTrue="1" operator="containsText" id="{A2AC2247-F6CF-4F18-8EE6-FAFECA2A04F5}">
            <xm:f>NOT(ISERROR(SEARCH($D$8,J16)))</xm:f>
            <xm:f>$D$8</xm:f>
            <x14:dxf>
              <fill>
                <patternFill>
                  <bgColor rgb="FFFF0000"/>
                </patternFill>
              </fill>
            </x14:dxf>
          </x14:cfRule>
          <xm:sqref>J16</xm:sqref>
        </x14:conditionalFormatting>
        <x14:conditionalFormatting xmlns:xm="http://schemas.microsoft.com/office/excel/2006/main">
          <x14:cfRule type="containsText" priority="32" stopIfTrue="1" operator="containsText" id="{C13D1E0A-16E0-4CF6-B96C-74687459ACCC}">
            <xm:f>NOT(ISERROR(SEARCH($D$9,I17)))</xm:f>
            <xm:f>$D$9</xm:f>
            <x14:dxf>
              <fill>
                <patternFill>
                  <bgColor rgb="FF0070C0"/>
                </patternFill>
              </fill>
            </x14:dxf>
          </x14:cfRule>
          <x14:cfRule type="containsText" priority="33" stopIfTrue="1" operator="containsText" id="{AA3FD0B9-E358-4C0F-A2D1-A185545D9E98}">
            <xm:f>NOT(ISERROR(SEARCH($D$8,I17)))</xm:f>
            <xm:f>$D$8</xm:f>
            <x14:dxf>
              <fill>
                <patternFill>
                  <bgColor rgb="FFFF0000"/>
                </patternFill>
              </fill>
            </x14:dxf>
          </x14:cfRule>
          <xm:sqref>I17:I106</xm:sqref>
        </x14:conditionalFormatting>
        <x14:conditionalFormatting xmlns:xm="http://schemas.microsoft.com/office/excel/2006/main">
          <x14:cfRule type="containsText" priority="25" stopIfTrue="1" operator="containsText" id="{B6B0E444-A3FA-4BF6-85D4-D88C47E1A429}">
            <xm:f>NOT(ISERROR(SEARCH($D$9,J17)))</xm:f>
            <xm:f>$D$9</xm:f>
            <x14:dxf>
              <fill>
                <patternFill>
                  <bgColor rgb="FF0070C0"/>
                </patternFill>
              </fill>
            </x14:dxf>
          </x14:cfRule>
          <x14:cfRule type="containsText" priority="26" stopIfTrue="1" operator="containsText" id="{B11AEAC6-8CC1-4924-912C-9D153C700048}">
            <xm:f>NOT(ISERROR(SEARCH($D$8,J17)))</xm:f>
            <xm:f>$D$8</xm:f>
            <x14:dxf>
              <fill>
                <patternFill>
                  <bgColor rgb="FFFF0000"/>
                </patternFill>
              </fill>
            </x14:dxf>
          </x14:cfRule>
          <xm:sqref>J17:J106</xm:sqref>
        </x14:conditionalFormatting>
        <x14:conditionalFormatting xmlns:xm="http://schemas.microsoft.com/office/excel/2006/main">
          <x14:cfRule type="containsText" priority="1" stopIfTrue="1" operator="containsText" id="{A44CEEF7-4364-44FC-8295-20E7ABC98A4E}">
            <xm:f>NOT(ISERROR(SEARCH($D$9,I108)))</xm:f>
            <xm:f>$D$9</xm:f>
            <x14:dxf>
              <fill>
                <patternFill>
                  <bgColor rgb="FF0070C0"/>
                </patternFill>
              </fill>
            </x14:dxf>
          </x14:cfRule>
          <x14:cfRule type="containsText" priority="2" stopIfTrue="1" operator="containsText" id="{E7FC9BE4-B32A-4A20-B586-0857377F6B57}">
            <xm:f>NOT(ISERROR(SEARCH($D$8,I108)))</xm:f>
            <xm:f>$D$8</xm:f>
            <x14:dxf>
              <fill>
                <patternFill>
                  <bgColor rgb="FFFF0000"/>
                </patternFill>
              </fill>
            </x14:dxf>
          </x14:cfRule>
          <xm:sqref>I108:I110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1FA5D879-DD67-41E3-A7E4-B64246EC3DC6}">
          <x14:formula1>
            <xm:f>UnitNums!$E$2:$E$1048576</xm:f>
          </x14:formula1>
          <xm:sqref>C16:C111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47657-2BBE-4A15-9541-D01CA5AFFC16}">
  <sheetPr codeName="Sheet3"/>
  <dimension ref="A1:I48"/>
  <sheetViews>
    <sheetView topLeftCell="D1" workbookViewId="0">
      <selection activeCell="G15" sqref="G15"/>
    </sheetView>
  </sheetViews>
  <sheetFormatPr defaultRowHeight="12.5" x14ac:dyDescent="0.25"/>
  <cols>
    <col min="1" max="2" width="12.453125" style="70" customWidth="1"/>
    <col min="3" max="3" width="19.26953125" customWidth="1"/>
    <col min="5" max="5" width="18" style="107" customWidth="1"/>
    <col min="7" max="9" width="46.26953125" style="107" customWidth="1"/>
  </cols>
  <sheetData>
    <row r="1" spans="1:9" ht="13" x14ac:dyDescent="0.3">
      <c r="A1" s="101" t="s">
        <v>4421</v>
      </c>
      <c r="B1" s="101" t="s">
        <v>4419</v>
      </c>
      <c r="C1" s="101" t="s">
        <v>4420</v>
      </c>
      <c r="E1" s="105" t="s">
        <v>4422</v>
      </c>
      <c r="G1" s="101" t="s">
        <v>4436</v>
      </c>
      <c r="H1" s="101" t="s">
        <v>4437</v>
      </c>
      <c r="I1" s="101" t="s">
        <v>4438</v>
      </c>
    </row>
    <row r="2" spans="1:9" x14ac:dyDescent="0.25">
      <c r="A2" s="102">
        <v>1641</v>
      </c>
      <c r="B2" s="102">
        <v>1816</v>
      </c>
      <c r="C2" s="102">
        <v>4142</v>
      </c>
      <c r="E2" s="106" t="s">
        <v>4423</v>
      </c>
      <c r="G2" s="104" t="s">
        <v>4440</v>
      </c>
      <c r="H2" s="108" t="s">
        <v>4451</v>
      </c>
      <c r="I2" s="104" t="s">
        <v>4439</v>
      </c>
    </row>
    <row r="3" spans="1:9" x14ac:dyDescent="0.25">
      <c r="A3" s="102">
        <v>1642</v>
      </c>
      <c r="B3" s="102">
        <v>1817</v>
      </c>
      <c r="C3" s="102">
        <v>4143</v>
      </c>
      <c r="E3" s="106" t="s">
        <v>8</v>
      </c>
      <c r="G3" s="104"/>
      <c r="H3" s="108" t="s">
        <v>4450</v>
      </c>
      <c r="I3" s="104"/>
    </row>
    <row r="4" spans="1:9" x14ac:dyDescent="0.25">
      <c r="A4" s="102">
        <v>1643</v>
      </c>
      <c r="B4" s="102">
        <v>1818</v>
      </c>
      <c r="C4" s="102">
        <v>4153</v>
      </c>
      <c r="E4" s="106" t="s">
        <v>4424</v>
      </c>
      <c r="G4" s="104"/>
      <c r="H4" s="108" t="s">
        <v>4449</v>
      </c>
      <c r="I4" s="104"/>
    </row>
    <row r="5" spans="1:9" x14ac:dyDescent="0.25">
      <c r="A5" s="102">
        <v>1644</v>
      </c>
      <c r="B5" s="102">
        <v>1819</v>
      </c>
      <c r="C5" s="102">
        <v>4184</v>
      </c>
      <c r="E5" s="106" t="s">
        <v>9</v>
      </c>
      <c r="G5" s="104"/>
      <c r="H5" s="108" t="s">
        <v>4448</v>
      </c>
      <c r="I5" s="104"/>
    </row>
    <row r="6" spans="1:9" x14ac:dyDescent="0.25">
      <c r="A6" s="102">
        <v>1645</v>
      </c>
      <c r="B6" s="102">
        <v>1820</v>
      </c>
      <c r="C6" s="103" t="s">
        <v>4392</v>
      </c>
      <c r="E6" s="106" t="s">
        <v>4425</v>
      </c>
      <c r="G6" s="104"/>
      <c r="H6" s="108" t="s">
        <v>4444</v>
      </c>
      <c r="I6" s="104"/>
    </row>
    <row r="7" spans="1:9" x14ac:dyDescent="0.25">
      <c r="A7" s="102">
        <v>1646</v>
      </c>
      <c r="B7" s="102">
        <v>1821</v>
      </c>
      <c r="C7" s="103" t="s">
        <v>4404</v>
      </c>
      <c r="E7" s="106" t="s">
        <v>10</v>
      </c>
      <c r="G7" s="104"/>
      <c r="H7" s="108" t="s">
        <v>4445</v>
      </c>
      <c r="I7" s="104"/>
    </row>
    <row r="8" spans="1:9" x14ac:dyDescent="0.25">
      <c r="A8" s="102">
        <v>1647</v>
      </c>
      <c r="B8" s="102">
        <v>1822</v>
      </c>
      <c r="C8" s="102"/>
      <c r="E8" s="106" t="s">
        <v>11</v>
      </c>
      <c r="G8" s="104"/>
      <c r="H8" s="108" t="s">
        <v>4446</v>
      </c>
      <c r="I8" s="104"/>
    </row>
    <row r="9" spans="1:9" x14ac:dyDescent="0.25">
      <c r="A9" s="102"/>
      <c r="B9" s="102">
        <v>1823</v>
      </c>
      <c r="C9" s="102"/>
      <c r="E9" s="106" t="s">
        <v>12</v>
      </c>
      <c r="G9" s="104"/>
      <c r="H9" s="108" t="s">
        <v>4447</v>
      </c>
      <c r="I9" s="104"/>
    </row>
    <row r="10" spans="1:9" x14ac:dyDescent="0.25">
      <c r="A10" s="102"/>
      <c r="B10" s="102">
        <v>1824</v>
      </c>
      <c r="C10" s="102"/>
      <c r="E10" s="106" t="s">
        <v>15</v>
      </c>
      <c r="G10" s="104"/>
      <c r="H10" s="104"/>
      <c r="I10" s="104"/>
    </row>
    <row r="11" spans="1:9" x14ac:dyDescent="0.25">
      <c r="A11" s="102"/>
      <c r="B11" s="102">
        <v>1825</v>
      </c>
      <c r="C11" s="102"/>
      <c r="E11" s="106" t="s">
        <v>16</v>
      </c>
      <c r="G11" s="104"/>
      <c r="H11" s="104"/>
      <c r="I11" s="104"/>
    </row>
    <row r="12" spans="1:9" x14ac:dyDescent="0.25">
      <c r="A12" s="102"/>
      <c r="B12" s="102">
        <v>1826</v>
      </c>
      <c r="C12" s="102"/>
      <c r="E12" s="106" t="s">
        <v>4426</v>
      </c>
      <c r="G12" s="104"/>
      <c r="H12" s="104"/>
      <c r="I12" s="104"/>
    </row>
    <row r="13" spans="1:9" x14ac:dyDescent="0.25">
      <c r="A13" s="102"/>
      <c r="B13" s="102">
        <v>1827</v>
      </c>
      <c r="C13" s="102"/>
      <c r="E13" s="106" t="s">
        <v>17</v>
      </c>
      <c r="G13" s="104"/>
      <c r="H13" s="104"/>
      <c r="I13" s="104"/>
    </row>
    <row r="14" spans="1:9" x14ac:dyDescent="0.25">
      <c r="A14" s="102"/>
      <c r="B14" s="102">
        <v>1828</v>
      </c>
      <c r="C14" s="102"/>
      <c r="E14" s="106" t="s">
        <v>4427</v>
      </c>
      <c r="G14" s="104"/>
      <c r="H14" s="104"/>
      <c r="I14" s="104"/>
    </row>
    <row r="15" spans="1:9" x14ac:dyDescent="0.25">
      <c r="A15" s="102"/>
      <c r="B15" s="102">
        <v>1829</v>
      </c>
      <c r="C15" s="102"/>
      <c r="E15" s="106" t="s">
        <v>18</v>
      </c>
      <c r="G15" s="104"/>
      <c r="H15" s="104"/>
      <c r="I15" s="104"/>
    </row>
    <row r="16" spans="1:9" x14ac:dyDescent="0.25">
      <c r="A16" s="102"/>
      <c r="B16" s="102">
        <v>1830</v>
      </c>
      <c r="C16" s="102"/>
      <c r="E16" s="106" t="s">
        <v>4428</v>
      </c>
      <c r="G16" s="104"/>
      <c r="H16" s="104"/>
      <c r="I16" s="104"/>
    </row>
    <row r="17" spans="1:9" x14ac:dyDescent="0.25">
      <c r="A17" s="102"/>
      <c r="B17" s="102"/>
      <c r="C17" s="104"/>
      <c r="E17" s="106" t="s">
        <v>4435</v>
      </c>
      <c r="G17" s="104"/>
      <c r="H17" s="104"/>
      <c r="I17" s="104"/>
    </row>
    <row r="18" spans="1:9" x14ac:dyDescent="0.25">
      <c r="A18" s="102"/>
      <c r="B18" s="102"/>
      <c r="C18" s="104"/>
      <c r="E18" s="106" t="s">
        <v>19</v>
      </c>
      <c r="G18" s="104"/>
      <c r="H18" s="104"/>
      <c r="I18" s="104"/>
    </row>
    <row r="19" spans="1:9" x14ac:dyDescent="0.25">
      <c r="A19" s="102"/>
      <c r="B19" s="102"/>
      <c r="C19" s="104"/>
      <c r="E19" s="106" t="s">
        <v>20</v>
      </c>
      <c r="G19" s="104"/>
      <c r="H19" s="104"/>
      <c r="I19" s="104"/>
    </row>
    <row r="20" spans="1:9" x14ac:dyDescent="0.25">
      <c r="A20" s="102"/>
      <c r="B20" s="102"/>
      <c r="C20" s="104"/>
      <c r="E20" s="106" t="s">
        <v>21</v>
      </c>
      <c r="G20" s="104"/>
      <c r="H20" s="104"/>
      <c r="I20" s="104"/>
    </row>
    <row r="21" spans="1:9" x14ac:dyDescent="0.25">
      <c r="A21" s="102"/>
      <c r="B21" s="102"/>
      <c r="C21" s="104"/>
      <c r="E21" s="106" t="s">
        <v>4311</v>
      </c>
      <c r="G21" s="104"/>
      <c r="H21" s="104"/>
      <c r="I21" s="104"/>
    </row>
    <row r="22" spans="1:9" x14ac:dyDescent="0.25">
      <c r="A22" s="102"/>
      <c r="B22" s="102"/>
      <c r="C22" s="104"/>
      <c r="E22" s="106" t="s">
        <v>22</v>
      </c>
      <c r="G22" s="104"/>
      <c r="H22" s="104"/>
      <c r="I22" s="104"/>
    </row>
    <row r="23" spans="1:9" x14ac:dyDescent="0.25">
      <c r="A23" s="102"/>
      <c r="B23" s="102"/>
      <c r="C23" s="104"/>
      <c r="E23" s="106" t="s">
        <v>4429</v>
      </c>
      <c r="G23" s="104"/>
      <c r="H23" s="104"/>
      <c r="I23" s="104"/>
    </row>
    <row r="24" spans="1:9" x14ac:dyDescent="0.25">
      <c r="A24" s="102"/>
      <c r="B24" s="102"/>
      <c r="C24" s="104"/>
      <c r="E24" s="106" t="s">
        <v>4430</v>
      </c>
      <c r="G24" s="104"/>
      <c r="H24" s="104"/>
      <c r="I24" s="104"/>
    </row>
    <row r="25" spans="1:9" x14ac:dyDescent="0.25">
      <c r="A25" s="102"/>
      <c r="B25" s="102"/>
      <c r="C25" s="104"/>
      <c r="E25" s="106" t="s">
        <v>4431</v>
      </c>
      <c r="G25" s="104"/>
      <c r="H25" s="104"/>
      <c r="I25" s="104"/>
    </row>
    <row r="26" spans="1:9" x14ac:dyDescent="0.25">
      <c r="A26" s="102"/>
      <c r="B26" s="102"/>
      <c r="C26" s="104"/>
      <c r="E26" s="106" t="s">
        <v>23</v>
      </c>
      <c r="G26" s="104"/>
      <c r="H26" s="104"/>
      <c r="I26" s="104"/>
    </row>
    <row r="27" spans="1:9" x14ac:dyDescent="0.25">
      <c r="A27" s="102"/>
      <c r="B27" s="102"/>
      <c r="C27" s="104"/>
      <c r="E27" s="106" t="s">
        <v>4434</v>
      </c>
      <c r="G27" s="104"/>
      <c r="H27" s="104"/>
      <c r="I27" s="104"/>
    </row>
    <row r="28" spans="1:9" x14ac:dyDescent="0.25">
      <c r="E28" s="106" t="s">
        <v>24</v>
      </c>
      <c r="G28" s="104"/>
      <c r="H28" s="104"/>
      <c r="I28" s="104"/>
    </row>
    <row r="29" spans="1:9" x14ac:dyDescent="0.25">
      <c r="E29" s="106" t="s">
        <v>4432</v>
      </c>
      <c r="G29" s="104"/>
      <c r="H29" s="104"/>
      <c r="I29" s="104"/>
    </row>
    <row r="30" spans="1:9" x14ac:dyDescent="0.25">
      <c r="E30" s="106" t="s">
        <v>25</v>
      </c>
      <c r="G30" s="104"/>
      <c r="H30" s="104"/>
      <c r="I30" s="104"/>
    </row>
    <row r="31" spans="1:9" x14ac:dyDescent="0.25">
      <c r="E31" s="106" t="s">
        <v>26</v>
      </c>
      <c r="G31" s="104"/>
      <c r="H31" s="104"/>
      <c r="I31" s="104"/>
    </row>
    <row r="32" spans="1:9" x14ac:dyDescent="0.25">
      <c r="E32" s="106" t="s">
        <v>13</v>
      </c>
      <c r="G32" s="104"/>
      <c r="H32" s="104"/>
      <c r="I32" s="104"/>
    </row>
    <row r="33" spans="5:9" x14ac:dyDescent="0.25">
      <c r="E33" s="106" t="s">
        <v>27</v>
      </c>
      <c r="G33" s="104"/>
      <c r="H33" s="104"/>
      <c r="I33" s="104"/>
    </row>
    <row r="34" spans="5:9" x14ac:dyDescent="0.25">
      <c r="E34" s="106" t="s">
        <v>28</v>
      </c>
      <c r="G34" s="104"/>
      <c r="H34" s="104"/>
      <c r="I34" s="104"/>
    </row>
    <row r="35" spans="5:9" x14ac:dyDescent="0.25">
      <c r="E35" s="106" t="s">
        <v>29</v>
      </c>
      <c r="G35" s="104"/>
      <c r="H35" s="104"/>
      <c r="I35" s="104"/>
    </row>
    <row r="36" spans="5:9" x14ac:dyDescent="0.25">
      <c r="E36" s="106" t="s">
        <v>30</v>
      </c>
      <c r="G36" s="104"/>
      <c r="H36" s="104"/>
      <c r="I36" s="104"/>
    </row>
    <row r="37" spans="5:9" x14ac:dyDescent="0.25">
      <c r="E37" s="106" t="s">
        <v>4433</v>
      </c>
      <c r="G37" s="104"/>
      <c r="H37" s="104"/>
      <c r="I37" s="104"/>
    </row>
    <row r="38" spans="5:9" x14ac:dyDescent="0.25">
      <c r="E38" s="106" t="s">
        <v>14</v>
      </c>
      <c r="G38" s="104"/>
      <c r="H38" s="104"/>
      <c r="I38" s="104"/>
    </row>
    <row r="39" spans="5:9" x14ac:dyDescent="0.25">
      <c r="E39" s="106" t="s">
        <v>32</v>
      </c>
      <c r="G39" s="104"/>
      <c r="H39" s="104"/>
      <c r="I39" s="104"/>
    </row>
    <row r="40" spans="5:9" x14ac:dyDescent="0.25">
      <c r="E40" s="106" t="s">
        <v>33</v>
      </c>
      <c r="G40" s="104"/>
      <c r="H40" s="104"/>
      <c r="I40" s="104"/>
    </row>
    <row r="41" spans="5:9" x14ac:dyDescent="0.25">
      <c r="E41" s="106" t="s">
        <v>31</v>
      </c>
      <c r="G41" s="104"/>
      <c r="H41" s="104"/>
      <c r="I41" s="104"/>
    </row>
    <row r="42" spans="5:9" x14ac:dyDescent="0.25">
      <c r="E42" s="106" t="s">
        <v>34</v>
      </c>
      <c r="G42" s="104"/>
      <c r="H42" s="104"/>
      <c r="I42" s="104"/>
    </row>
    <row r="43" spans="5:9" x14ac:dyDescent="0.25">
      <c r="E43" s="106" t="s">
        <v>35</v>
      </c>
      <c r="G43" s="104"/>
      <c r="H43" s="104"/>
      <c r="I43" s="104"/>
    </row>
    <row r="44" spans="5:9" x14ac:dyDescent="0.25">
      <c r="E44" s="106" t="s">
        <v>36</v>
      </c>
      <c r="G44" s="104"/>
      <c r="H44" s="104"/>
      <c r="I44" s="104"/>
    </row>
    <row r="45" spans="5:9" x14ac:dyDescent="0.25">
      <c r="E45" s="106" t="s">
        <v>37</v>
      </c>
      <c r="G45" s="104"/>
      <c r="H45" s="104"/>
      <c r="I45" s="104"/>
    </row>
    <row r="46" spans="5:9" x14ac:dyDescent="0.25">
      <c r="E46" s="106" t="s">
        <v>38</v>
      </c>
      <c r="G46" s="104"/>
      <c r="H46" s="104"/>
      <c r="I46" s="104"/>
    </row>
    <row r="47" spans="5:9" x14ac:dyDescent="0.25">
      <c r="E47" s="106" t="s">
        <v>39</v>
      </c>
      <c r="G47" s="104"/>
      <c r="H47" s="104"/>
      <c r="I47" s="104"/>
    </row>
    <row r="48" spans="5:9" x14ac:dyDescent="0.25">
      <c r="E48" s="106" t="s">
        <v>40</v>
      </c>
      <c r="G48" s="104"/>
      <c r="H48" s="104"/>
      <c r="I48" s="104"/>
    </row>
  </sheetData>
  <hyperlinks>
    <hyperlink ref="H2" r:id="rId1" display="mailto:CLittle@cervusequipment.com" xr:uid="{05DABB7A-E7C6-422F-8975-B9F5F8D5A058}"/>
    <hyperlink ref="H3" r:id="rId2" display="mailto:melliott@cervusequipment.com" xr:uid="{EECAF6AE-8F3E-43EA-AA99-E3A85C75AC62}"/>
    <hyperlink ref="H4" r:id="rId3" display="mailto:dkiss@cervusequipment.com" xr:uid="{06D0F1A8-7EE4-4FE1-ADE2-3112DA879F30}"/>
    <hyperlink ref="H5" r:id="rId4" display="mailto:dlavin@cervusequipment.com" xr:uid="{E6F78980-646D-48C5-8F40-546E902B04D3}"/>
    <hyperlink ref="H7" r:id="rId5" display="mailto:kchabot@cervusequipment.com" xr:uid="{5909B6D0-6504-4C6F-B4E5-D625E3BEE8C6}"/>
    <hyperlink ref="H8" r:id="rId6" display="mailto:Abulmer@cervusequipment.com" xr:uid="{520FB0F8-F53B-4702-B356-87CBCD13B1CA}"/>
    <hyperlink ref="I2" r:id="rId7" xr:uid="{7E374CFF-A245-4132-A656-6062BA5596BB}"/>
    <hyperlink ref="G2" r:id="rId8" xr:uid="{39CD852F-5AEB-4E40-895F-EA39783B2CDB}"/>
    <hyperlink ref="H9" r:id="rId9" display="mailto:JDasilva@cervusequipment.com" xr:uid="{3FE23464-2D93-4331-9382-DB1E3BAACBD2}"/>
    <hyperlink ref="H6" r:id="rId10" display="mailto:mThibodeau@cervusequipment.com" xr:uid="{A4127783-144F-4DCB-9A8B-2EDACBB15653}"/>
  </hyperlinks>
  <pageMargins left="0.7" right="0.7" top="0.75" bottom="0.75" header="0.3" footer="0.3"/>
  <pageSetup orientation="portrait" r:id="rId11"/>
  <drawing r:id="rId1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3:B13"/>
  <sheetViews>
    <sheetView zoomScaleNormal="100" workbookViewId="0">
      <selection activeCell="B21" sqref="B21"/>
    </sheetView>
  </sheetViews>
  <sheetFormatPr defaultColWidth="9.1796875" defaultRowHeight="12.5" x14ac:dyDescent="0.25"/>
  <cols>
    <col min="1" max="1" width="18" style="10" customWidth="1"/>
    <col min="2" max="2" width="48.26953125" style="10" bestFit="1" customWidth="1"/>
    <col min="3" max="7" width="5" style="10" customWidth="1"/>
    <col min="8" max="9" width="12" style="10" bestFit="1" customWidth="1"/>
    <col min="10" max="10" width="5" style="10" customWidth="1"/>
    <col min="11" max="11" width="12" style="10" bestFit="1" customWidth="1"/>
    <col min="12" max="14" width="5" style="10" customWidth="1"/>
    <col min="15" max="15" width="11.7265625" style="10" bestFit="1" customWidth="1"/>
    <col min="16" max="22" width="9.1796875" style="10"/>
    <col min="23" max="23" width="5.54296875" style="10" customWidth="1"/>
    <col min="24" max="16384" width="9.1796875" style="10"/>
  </cols>
  <sheetData>
    <row r="3" spans="1:2" x14ac:dyDescent="0.25">
      <c r="A3" s="29" t="s">
        <v>47</v>
      </c>
      <c r="B3" s="29" t="s">
        <v>50</v>
      </c>
    </row>
    <row r="4" spans="1:2" x14ac:dyDescent="0.25">
      <c r="A4" s="31" t="s">
        <v>20</v>
      </c>
      <c r="B4" s="32">
        <v>395.97872340425533</v>
      </c>
    </row>
    <row r="5" spans="1:2" x14ac:dyDescent="0.25">
      <c r="A5" s="31" t="s">
        <v>31</v>
      </c>
      <c r="B5" s="32">
        <v>398.75</v>
      </c>
    </row>
    <row r="6" spans="1:2" x14ac:dyDescent="0.25">
      <c r="A6" s="31" t="s">
        <v>15</v>
      </c>
      <c r="B6" s="32">
        <v>480.84615384615387</v>
      </c>
    </row>
    <row r="7" spans="1:2" x14ac:dyDescent="0.25">
      <c r="A7" s="31" t="s">
        <v>40</v>
      </c>
      <c r="B7" s="32">
        <v>502.41534988713317</v>
      </c>
    </row>
    <row r="8" spans="1:2" x14ac:dyDescent="0.25">
      <c r="A8" s="31" t="s">
        <v>23</v>
      </c>
      <c r="B8" s="32">
        <v>520.93095768374167</v>
      </c>
    </row>
    <row r="9" spans="1:2" x14ac:dyDescent="0.25">
      <c r="A9" s="31" t="s">
        <v>38</v>
      </c>
      <c r="B9" s="32">
        <v>556.93548387096769</v>
      </c>
    </row>
    <row r="10" spans="1:2" x14ac:dyDescent="0.25">
      <c r="A10" s="31" t="s">
        <v>18</v>
      </c>
      <c r="B10" s="32">
        <v>593.74193548387098</v>
      </c>
    </row>
    <row r="11" spans="1:2" x14ac:dyDescent="0.25">
      <c r="A11" s="31" t="s">
        <v>24</v>
      </c>
      <c r="B11" s="32">
        <v>612.79999999999995</v>
      </c>
    </row>
    <row r="12" spans="1:2" x14ac:dyDescent="0.25">
      <c r="A12" s="31" t="s">
        <v>12</v>
      </c>
      <c r="B12" s="32">
        <v>806.26506024096386</v>
      </c>
    </row>
    <row r="13" spans="1:2" x14ac:dyDescent="0.25">
      <c r="A13" s="29" t="s">
        <v>48</v>
      </c>
      <c r="B13" s="30">
        <v>526.70627615062756</v>
      </c>
    </row>
  </sheetData>
  <pageMargins left="0.7" right="0.7" top="0.75" bottom="0.75" header="0.3" footer="0.3"/>
  <pageSetup scale="39"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5C90D-6C19-41B4-A165-764F4A5E346D}">
  <sheetPr codeName="Sheet4"/>
  <dimension ref="A1"/>
  <sheetViews>
    <sheetView workbookViewId="0"/>
  </sheetViews>
  <sheetFormatPr defaultRowHeight="12.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ELITE Service Record</vt:lpstr>
      <vt:lpstr>Peterbilt Service Record</vt:lpstr>
      <vt:lpstr>Kenworth Service Record</vt:lpstr>
      <vt:lpstr>UnitNums</vt:lpstr>
      <vt:lpstr>Average Days Graph</vt:lpstr>
      <vt:lpstr>Sheet1</vt:lpstr>
      <vt:lpstr>'Average Days Graph'!Print_Area</vt:lpstr>
      <vt:lpstr>'ELITE Service Record'!Print_Area</vt:lpstr>
      <vt:lpstr>'Kenworth Service Record'!Print_Area</vt:lpstr>
      <vt:lpstr>'Peterbilt Service Record'!Print_Area</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Parsons</dc:creator>
  <cp:lastModifiedBy>Matt Ruetz</cp:lastModifiedBy>
  <cp:lastPrinted>2020-09-03T16:41:02Z</cp:lastPrinted>
  <dcterms:created xsi:type="dcterms:W3CDTF">2002-05-01T17:52:22Z</dcterms:created>
  <dcterms:modified xsi:type="dcterms:W3CDTF">2021-10-04T22:57:57Z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TC061061511033</vt:lpwstr>
  </property>
</Properties>
</file>